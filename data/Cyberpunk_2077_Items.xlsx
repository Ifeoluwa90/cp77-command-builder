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 sheetId="1" r:id="rId5"/>
    <sheet state="visible" name="Weapons - All v2.2" sheetId="2" r:id="rId6"/>
    <sheet state="visible" name="Weapon - Grenades v2.2" sheetId="3" r:id="rId7"/>
    <sheet state="visible" name="Weapon Mods - All v2.2" sheetId="4" r:id="rId8"/>
    <sheet state="visible" name="Cyberware All v2.2" sheetId="5" r:id="rId9"/>
    <sheet state="visible" name="Cyberdeck QuickHacks v2.2" sheetId="6" r:id="rId10"/>
    <sheet state="visible" name="Clothing - All v2.2" sheetId="7" r:id="rId11"/>
    <sheet state="visible" name="Clothing Outfit Sets v2.2" sheetId="8" r:id="rId12"/>
    <sheet state="visible" name="Crafting Mats &amp; Recipes - All v" sheetId="9" r:id="rId13"/>
    <sheet state="visible" name="Consumables v2.2" sheetId="10" r:id="rId14"/>
    <sheet state="visible" name="Vehicles - All v2.3" sheetId="11" r:id="rId15"/>
    <sheet state="visible" name="Teleports Locations v2.2" sheetId="12" r:id="rId16"/>
    <sheet state="visible" name="Progression Items v2.2" sheetId="13" r:id="rId17"/>
    <sheet state="visible" name="Misc Commands v2.3" sheetId="14" r:id="rId18"/>
    <sheet state="visible" name="Commands With Varibles v2" sheetId="15" r:id="rId19"/>
    <sheet state="visible" name="Links v2.2" sheetId="16" r:id="rId20"/>
  </sheets>
  <definedNames>
    <definedName hidden="1" localSheetId="10" name="Z_5A59F9EA_B2F3_408C_B3A9_DCA2D232261E_.wvu.FilterData">'Vehicles - All v2.3'!$A$1:$S$209</definedName>
  </definedNames>
  <calcPr/>
  <customWorkbookViews>
    <customWorkbookView activeSheetId="0" maximized="1" windowHeight="0" windowWidth="0" guid="{5A59F9EA-B2F3-408C-B3A9-DCA2D232261E}" name="Group by Category"/>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tc={0e124ac9-0dd6-446d-884d-c1dae92b1553}</author>
    <author>tc={15f873f4-fbad-48b4-9a8f-c747eff8636c}</author>
    <author>tc={16c5d0c5-31f3-4680-ace1-81db28fe19e0}</author>
    <author>tc={17b7c09e-be10-4b4a-aaac-908d2f502e52}</author>
    <author>tc={2204e3f3-0aaa-4951-a11a-c53e427057d9}</author>
    <author>tc={23ee5c7d-24bf-4dd2-872f-aefcf98fd798}</author>
    <author>tc={2e4c7ae6-633c-42f4-9534-3501bd15447e}</author>
    <author>tc={31594830-b3b1-4887-88ff-09b0c8fd3a7f}</author>
    <author>tc={41a7bbde-516b-4134-8aaf-711742af97aa}</author>
    <author>tc={44d25122-7b20-405d-969b-6776ef9cdb1e}</author>
    <author>tc={459e8b78-7eab-4aa9-b6c4-ed18ce6748fb}</author>
    <author>tc={4ff9b399-968e-458d-9e08-9bc8983ff976}</author>
    <author>tc={6e81ca15-48f3-47f1-887e-6374c15064cc}</author>
    <author>tc={7f4d48c5-144c-4e04-98a9-6969295bc6a6}</author>
    <author>tc={bb78dd6c-b937-4f1b-a738-33c1c46dd56e}</author>
    <author>tc={bdb8f9b0-362b-433d-b998-a7d7d1f95d7d}</author>
    <author>tc={c28cf229-9eae-43b8-97d9-f97f67dddf98}</author>
    <author>tc={c954bf1b-57e3-4747-9695-0a16a706ae2f}</author>
    <author>tc={d3f10f61-5fa6-4392-b010-fe66b3212767}</author>
    <author>tc={df9e9811-b2a4-491c-8580-9a9da6c301c7}</author>
    <author>tc={e4a905a2-27fd-4097-b500-02c35e2aff0e}</author>
    <author>tc={ea735eec-35a3-49f5-9a20-0f976d3eb9f4}</author>
    <author>tc={eb0e3dff-775c-498e-92eb-b15282c42884}</author>
    <author>tc={f5ea86c2-bd08-4601-86b6-7cba044807ae}</author>
    <author>tc={f7fd9e74-7d2e-455d-af9a-9e089de7e06b}</author>
  </authors>
  <commentList>
    <comment authorId="0" xr:uid="{0e124ac9-0dd6-446d-884d-c1dae92b1553}" ref="A1">
      <text>
        <t xml:space="preserve">[Threaded comment]
 Your version of Excel allows you to read this threaded comment; however, any edits to it will get removed if the file is opened in a newer version of Excel. Learn more: https://go.microsoft.com/fwlink/?linkid=870924
Comment:
	Should be - Damage per pellet
</t>
      </text>
    </comment>
    <comment authorId="1" xr:uid="{15f873f4-fbad-48b4-9a8f-c747eff8636c}" ref="A1">
      <text>
        <t xml:space="preserve">[Threaded comment]
 Your version of Excel allows you to read this threaded comment; however, any edits to it will get removed if the file is opened in a newer version of Excel. Learn more: https://go.microsoft.com/fwlink/?linkid=870924
Comment:
	Police
Reply:
	Marked as resolved
Reply:
	Re-opened
Reply:
	the name is NCPD = Night City Police Department.
</t>
      </text>
    </comment>
    <comment authorId="2" xr:uid="{16c5d0c5-31f3-4680-ace1-81db28fe19e0}"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SQ031_Samurai_Jacket is the only valid one.
</t>
      </text>
    </comment>
    <comment authorId="3" xr:uid="{17b7c09e-be10-4b4a-aaac-908d2f502e52}" ref="A1">
      <text>
        <t xml:space="preserve">[Threaded comment]
 Your version of Excel allows you to read this threaded comment; however, any edits to it will get removed if the file is opened in a newer version of Excel. Learn more: https://go.microsoft.com/fwlink/?linkid=870924
Comment:
	Just a spelling fix &gt;&gt; CATEGORY   👍
</t>
      </text>
    </comment>
    <comment authorId="4" xr:uid="{2204e3f3-0aaa-4951-a11a-c53e427057d9}" ref="A1">
      <text>
        <t xml:space="preserve">[Threaded comment]
 Your version of Excel allows you to read this threaded comment; however, any edits to it will get removed if the file is opened in a newer version of Excel. Learn more: https://go.microsoft.com/fwlink/?linkid=870924
Comment:
	gotta capitalize t and i in command
</t>
      </text>
    </comment>
    <comment authorId="5" xr:uid="{23ee5c7d-24bf-4dd2-872f-aefcf98fd798}" ref="A1">
      <text>
        <t xml:space="preserve">[Threaded comment]
 Your version of Excel allows you to read this threaded comment; however, any edits to it will get removed if the file is opened in a newer version of Excel. Learn more: https://go.microsoft.com/fwlink/?linkid=870924
Comment:
	Police
Reply:
	the name is NCPD = Night City Police Department.
</t>
      </text>
    </comment>
    <comment authorId="6" xr:uid="{2e4c7ae6-633c-42f4-9534-3501bd15447e}"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t>
      </text>
    </comment>
    <comment authorId="7" xr:uid="{31594830-b3b1-4887-88ff-09b0c8fd3a7f}" ref="A1">
      <text>
        <t xml:space="preserve">[Threaded comment]
 Your version of Excel allows you to read this threaded comment; however, any edits to it will get removed if the file is opened in a newer version of Excel. Learn more: https://go.microsoft.com/fwlink/?linkid=870924
Comment:
	switch "Addtoinventory" with "AddToInventory"
</t>
      </text>
    </comment>
    <comment authorId="8" xr:uid="{41a7bbde-516b-4134-8aaf-711742af97aa}" ref="A1">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9" xr:uid="{44d25122-7b20-405d-969b-6776ef9cdb1e}" ref="B14">
      <text>
        <t xml:space="preserve">[Threaded comment]
 Your version of Excel allows you to read this threaded comment; however, any edits to it will get removed if the file is opened in a newer version of Excel. Learn more: https://go.microsoft.com/fwlink/?linkid=870924
Comment:
	What the fucking shit is that
Reply:
	Marked as resolved
Reply:
	Re-opened
</t>
      </text>
    </comment>
    <comment authorId="10" xr:uid="{459e8b78-7eab-4aa9-b6c4-ed18ce6748fb}"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SQ031_Samurai_Jacket is the only valid one.
</t>
      </text>
    </comment>
    <comment authorId="11" xr:uid="{4ff9b399-968e-458d-9e08-9bc8983ff976}" ref="A1">
      <text>
        <t xml:space="preserve">[Threaded comment]
 Your version of Excel allows you to read this threaded comment; however, any edits to it will get removed if the file is opened in a newer version of Excel. Learn more: https://go.microsoft.com/fwlink/?linkid=870924
Comment:
	This isn't a smart sniper, tis a power one.
</t>
      </text>
    </comment>
    <comment authorId="12" xr:uid="{6e81ca15-48f3-47f1-887e-6374c15064cc}" ref="A1">
      <text>
        <t xml:space="preserve">[Threaded comment]
 Your version of Excel allows you to read this threaded comment; however, any edits to it will get removed if the file is opened in a newer version of Excel. Learn more: https://go.microsoft.com/fwlink/?linkid=870924
Comment:
	this
</t>
      </text>
    </comment>
    <comment authorId="13" xr:uid="{7f4d48c5-144c-4e04-98a9-6969295bc6a6}" ref="A1">
      <text>
        <t xml:space="preserve">[Threaded comment]
 Your version of Excel allows you to read this threaded comment; however, any edits to it will get removed if the file is opened in a newer version of Excel. Learn more: https://go.microsoft.com/fwlink/?linkid=870924
Comment:
	how do i make it legendary it keeps going to tier 1
Reply:
	upgrade it
</t>
      </text>
    </comment>
    <comment authorId="14" xr:uid="{bb78dd6c-b937-4f1b-a738-33c1c46dd56e}" ref="A1">
      <text>
        <t xml:space="preserve">[Threaded comment]
 Your version of Excel allows you to read this threaded comment; however, any edits to it will get removed if the file is opened in a newer version of Excel. Learn more: https://go.microsoft.com/fwlink/?linkid=870924
Comment:
	Police
</t>
      </text>
    </comment>
    <comment authorId="15" xr:uid="{bdb8f9b0-362b-433d-b998-a7d7d1f95d7d}" ref="A1">
      <text>
        <t xml:space="preserve">[Threaded comment]
 Your version of Excel allows you to read this threaded comment; however, any edits to it will get removed if the file is opened in a newer version of Excel. Learn more: https://go.microsoft.com/fwlink/?linkid=870924
Comment:
	maybe make all quickhacks on the left say [insert quickhack] (Tier [insert number]) [Insert rarity]
Reply:
	I don't plan on adding rarities to it. the tier level is already there. legendary is tier 5, and iconic is after that.
</t>
      </text>
    </comment>
    <comment authorId="16" xr:uid="{c28cf229-9eae-43b8-97d9-f97f67dddf98}" ref="A1">
      <text>
        <t xml:space="preserve">[Threaded comment]
 Your version of Excel allows you to read this threaded comment; however, any edits to it will get removed if the file is opened in a newer version of Excel. Learn more: https://go.microsoft.com/fwlink/?linkid=870924
Comment:
	clothes commands not working. copy/paste them and nothing happens. f.e. guns commands work fine.
Reply:
	Marked as resolved
Reply:
	Re-opened
Reply:
	seems like the some characters/glyphs got converted when i pasted it from my text editor. so i re-imported it. and tested few hundred. seems like its working now. let me know if something doesn't work. marking as resolved.
</t>
      </text>
    </comment>
    <comment authorId="17" xr:uid="{c954bf1b-57e3-4747-9695-0a16a706ae2f}"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t>
      </text>
    </comment>
    <comment authorId="18" xr:uid="{d3f10f61-5fa6-4392-b010-fe66b3212767}" ref="A1">
      <text>
        <t xml:space="preserve">[Threaded comment]
 Your version of Excel allows you to read this threaded comment; however, any edits to it will get removed if the file is opened in a newer version of Excel. Learn more: https://go.microsoft.com/fwlink/?linkid=870924
Comment:
	this
</t>
      </text>
    </comment>
    <comment authorId="19" xr:uid="{df9e9811-b2a4-491c-8580-9a9da6c301c7}" ref="A1">
      <text>
        <t xml:space="preserve">[Threaded comment]
 Your version of Excel allows you to read this threaded comment; however, any edits to it will get removed if the file is opened in a newer version of Excel. Learn more: https://go.microsoft.com/fwlink/?linkid=870924
Comment:
	this
</t>
      </text>
    </comment>
    <comment authorId="20" xr:uid="{e4a905a2-27fd-4097-b500-02c35e2aff0e}"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GOG_DLC_Jacket is the only valid one.
</t>
      </text>
    </comment>
    <comment authorId="21" xr:uid="{ea735eec-35a3-49f5-9a20-0f976d3eb9f4}" ref="A1">
      <text>
        <t xml:space="preserve">[Threaded comment]
 Your version of Excel allows you to read this threaded comment; however, any edits to it will get removed if the file is opened in a newer version of Excel. Learn more: https://go.microsoft.com/fwlink/?linkid=870924
Comment:
	gotta switch "Addtoinventory" with "AddToInventory
</t>
      </text>
    </comment>
    <comment authorId="22" xr:uid="{eb0e3dff-775c-498e-92eb-b15282c42884}" ref="B14">
      <text>
        <t xml:space="preserve">[Threaded comment]
 Your version of Excel allows you to read this threaded comment; however, any edits to it will get removed if the file is opened in a newer version of Excel. Learn more: https://go.microsoft.com/fwlink/?linkid=870924
Comment:
	here the new code for carry weight man Game.GetStatsSystem():AddModifier(Game.GetPlayer():GetEntityID(),RPGManager.CreateStatModifier(gamedataStatType.CarryCapacity,gameStatModifierType.Additive,99999999))
Reply:
	Marked as resolved
Reply:
	Added it to the Misc. commands, might change it to a command variable later. anyways resolving this comment
Re-opened
</t>
      </text>
    </comment>
    <comment authorId="23" xr:uid="{f5ea86c2-bd08-4601-86b6-7cba044807ae}" ref="A1">
      <text>
        <t xml:space="preserve">[Threaded comment]
 Your version of Excel allows you to read this threaded comment; however, any edits to it will get removed if the file is opened in a newer version of Excel. Learn more: https://go.microsoft.com/fwlink/?linkid=870924
Comment:
	Please, can you say in info if its vehicle with weapons or not...
Imma dumb and never remember these ones by name.
To all of them, if possible.
Thank you
Reply:
	i added what weapons they use, but not sure i got all of them. let me know if i miss any. marking as resolved for now.
</t>
      </text>
    </comment>
    <comment authorId="24" xr:uid="{f7fd9e74-7d2e-455d-af9a-9e089de7e06b}" ref="A1">
      <text>
        <t xml:space="preserve">[Threaded comment]
 Your version of Excel allows you to read this threaded comment; however, any edits to it will get removed if the file is opened in a newer version of Excel. Learn more: https://go.microsoft.com/fwlink/?linkid=870924
Comment:
	Deprecated. Should no longer be used. GOG_DLC_Jacket is the only valid one.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tc={07d5bafb-ac6c-437d-81f2-4a501a66d5d7}</author>
  </authors>
  <commentList>
    <comment authorId="0" xr:uid="{07d5bafb-ac6c-437d-81f2-4a501a66d5d7}" ref="A1">
      <text>
        <t xml:space="preserve">[Threaded comment]
 Your version of Excel allows you to read this threaded comment; however, any edits to it will get removed if the file is opened in a newer version of Excel. Learn more: https://go.microsoft.com/fwlink/?linkid=870924
Comment:
	It's spelled "CATEGORY" ... ;)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tc={3f4301e0-570a-436b-a99a-945ffb2dc20f}</author>
    <author>tc={a802ac2f-f405-49d1-b5f9-ebb9b4bd8e42}</author>
    <author>tc={ce10d6ff-2d19-4342-8622-01dc9d14d07e}</author>
  </authors>
  <commentList>
    <comment authorId="0" xr:uid="{3f4301e0-570a-436b-a99a-945ffb2dc20f}" ref="D1">
      <text>
        <t xml:space="preserve">[Threaded comment]
 Your version of Excel allows you to read this threaded comment; however, any edits to it will get removed if the file is opened in a newer version of Excel. Learn more: https://go.microsoft.com/fwlink/?linkid=870924
Comment:
	I tried all of them but it doesn't work and gives an error
</t>
      </text>
    </comment>
    <comment authorId="1" xr:uid="{a802ac2f-f405-49d1-b5f9-ebb9b4bd8e42}" ref="D48">
      <text>
        <t xml:space="preserve">[Threaded comment]
 Your version of Excel allows you to read this threaded comment; however, any edits to it will get removed if the file is opened in a newer version of Excel. Learn more: https://go.microsoft.com/fwlink/?linkid=870924
Comment:
	Addtoinventory -&gt; AddToInventory
Shotgunmod -&gt; ShotgunMod
I assume most of these commands don't work because some initial characters should be capitalized, while some not like this one:
Game.AddToInventory("Items.w_muzzle_brake_01_legendary")
</t>
      </text>
    </comment>
    <comment authorId="2" xr:uid="{ce10d6ff-2d19-4342-8622-01dc9d14d07e}" ref="D6">
      <text>
        <t xml:space="preserve">[Threaded comment]
 Your version of Excel allows you to read this threaded comment; however, any edits to it will get removed if the file is opened in a newer version of Excel. Learn more: https://go.microsoft.com/fwlink/?linkid=870924
Comment:
	addtoinventory has to be all caps as do some of the mod names otherwise they don't work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tc={1b3b3916-392f-4c1e-b3e8-2c3f54b03123}</author>
  </authors>
  <commentList>
    <comment authorId="0" xr:uid="{1b3b3916-392f-4c1e-b3e8-2c3f54b03123}" ref="A1296">
      <text>
        <t xml:space="preserve">[Threaded comment]
 Your version of Excel allows you to read this threaded comment; however, any edits to it will get removed if the file is opened in a newer version of Excel. Learn more: https://go.microsoft.com/fwlink/?linkid=870924
Comment:
	not "head" but "inner torso" :)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tc={b46f2054-ec1c-4f8c-9b04-988309ebf744}</author>
  </authors>
  <commentList>
    <comment authorId="0" xr:uid="{b46f2054-ec1c-4f8c-9b04-988309ebf744}" ref="E210">
      <text>
        <t xml:space="preserve">[Threaded comment]
 Your version of Excel allows you to read this threaded comment; however, any edits to it will get removed if the file is opened in a newer version of Excel. Learn more: https://go.microsoft.com/fwlink/?linkid=870924
Comment:
	these are incorrect and do not work
Reply:
	https://www.reddit.com/r/cyberpunkgame/comments/172mjiv/console_commands_201/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tc={808d57d8-cd18-444f-80d1-f248996e7147}</author>
  </authors>
  <commentList>
    <comment authorId="0" xr:uid="{808d57d8-cd18-444f-80d1-f248996e7147}" ref="D23">
      <text>
        <t xml:space="preserve">[Threaded comment]
 Your version of Excel allows you to read this threaded comment; however, any edits to it will get removed if the file is opened in a newer version of Excel. Learn more: https://go.microsoft.com/fwlink/?linkid=870924
Comment:
	shinobi and headhunter comments are swapped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tc={03f5ecea-8243-40ab-9be9-2d9dc357256e}</author>
    <author>tc={072d64a9-dac5-4d4d-a36f-86891c50063f}</author>
    <author>tc={4f3bec97-3e7e-42fa-a507-42bcd0a2f23f}</author>
    <author>tc={4f4e19af-d8d5-4784-a8c5-310d584b562a}</author>
    <author>tc={510a266e-0804-4426-be4b-2546af7ed5a3}</author>
    <author>tc={6062c2be-bd05-4339-a17d-2367fc41c9f7}</author>
    <author>tc={8d452aec-5518-4658-a103-80d42b6585e9}</author>
    <author>tc={ab7354b0-3e0a-46bf-b724-46f0a2509c05}</author>
    <author>tc={e99025e1-3fed-47df-9680-7226dcadc38e}</author>
    <author>tc={f940796d-8039-45f9-b55f-be715eb071f4}</author>
  </authors>
  <commentList>
    <comment authorId="0" xr:uid="{03f5ecea-8243-40ab-9be9-2d9dc357256e}" ref="C2">
      <text>
        <t xml:space="preserve">[Threaded comment]
 Your version of Excel allows you to read this threaded comment; however, any edits to it will get removed if the file is opened in a newer version of Excel. Learn more: https://go.microsoft.com/fwlink/?linkid=870924
Comment:
	Need the set time of day command again, has multiple arguments
</t>
      </text>
    </comment>
    <comment authorId="1" xr:uid="{072d64a9-dac5-4d4d-a36f-86891c50063f}" ref="B142">
      <text>
        <t xml:space="preserve">[Threaded comment]
 Your version of Excel allows you to read this threaded comment; however, any edits to it will get removed if the file is opened in a newer version of Excel. Learn more: https://go.microsoft.com/fwlink/?linkid=870924
Comment:
	Sometimes this destroys not repairs, why?
</t>
      </text>
    </comment>
    <comment authorId="2" xr:uid="{4f3bec97-3e7e-42fa-a507-42bcd0a2f23f}" ref="C36">
      <text>
        <t xml:space="preserve">[Threaded comment]
 Your version of Excel allows you to read this threaded comment; however, any edits to it will get removed if the file is opened in a newer version of Excel. Learn more: https://go.microsoft.com/fwlink/?linkid=870924
Comment:
	sol: syntax error: [string ""Game.GetStatsSystem():AddModifier(Game.GetPl..."]:1: unexpected symbol near '"Game.GetStatsSystem():AddModifier(Game.GetPlayer():GetEntityID(),RPGManager.CreateStatModifier(gamedataStatType.CarryCapacity,gameStatModifierType.Additive,99999999))"'
Reply:
	updated code, should work.
</t>
      </text>
    </comment>
    <comment authorId="3" xr:uid="{4f4e19af-d8d5-4784-a8c5-310d584b562a}" ref="B23">
      <text>
        <t xml:space="preserve">[Threaded comment]
 Your version of Excel allows you to read this threaded comment; however, any edits to it will get removed if the file is opened in a newer version of Excel. Learn more: https://go.microsoft.com/fwlink/?linkid=870924
Comment:
	Unless I missed it, there's no command listed for simply resetting your attribute points. I found this console command on reddit and it worked (you just need to make sure you remove all perks first)
PlayerDevelopmentSystem.GetInstance(Game.GetPlayer()):GetDevelopmentData(Game.GetPlayer()):ResetAttributes();
</t>
      </text>
    </comment>
    <comment authorId="4" xr:uid="{510a266e-0804-4426-be4b-2546af7ed5a3}" ref="C55">
      <text>
        <t xml:space="preserve">[Threaded comment]
 Your version of Excel allows you to read this threaded comment; however, any edits to it will get removed if the file is opened in a newer version of Excel. Learn more: https://go.microsoft.com/fwlink/?linkid=870924
Comment:
	how to unequip?
Reply:
	I found a better command string to toggle johnny's arm on/off. resolving this comment.
Reply:
	Marked as resolved
Reply:
	Thanks!
Re-opened
</t>
      </text>
    </comment>
    <comment authorId="5" xr:uid="{6062c2be-bd05-4339-a17d-2367fc41c9f7}" ref="C2">
      <text>
        <t xml:space="preserve">[Threaded comment]
 Your version of Excel allows you to read this threaded comment; however, any edits to it will get removed if the file is opened in a newer version of Excel. Learn more: https://go.microsoft.com/fwlink/?linkid=870924
Comment:
	add cybercapicity shard
Game.AddToInventory("Items.CWCapacityPermaReward_Legendary")
Reply:
	Marked as resolved
Reply:
	Renamed Skill book to Progression and added cyberware capacity command to it
Re-opened
</t>
      </text>
    </comment>
    <comment authorId="6" xr:uid="{8d452aec-5518-4658-a103-80d42b6585e9}" ref="C64">
      <text>
        <t xml:space="preserve">[Threaded comment]
 Your version of Excel allows you to read this threaded comment; however, any edits to it will get removed if the file is opened in a newer version of Excel. Learn more: https://go.microsoft.com/fwlink/?linkid=870924
Comment:
	journalManager = Game.GetJournalManager() trackedEntry = journalManager:GetTrackedEntry() questEntry = journalManager:GetParentEntry(journalManager:GetParentEntry(trackedEntry)) questEntryHash = journalManager:GetEntryHash(questEntry) journalManager:ChangeEntryStateByHash(questEntryHash, "Succeeded", "Notify")
</t>
      </text>
    </comment>
    <comment authorId="7" xr:uid="{ab7354b0-3e0a-46bf-b724-46f0a2509c05}" ref="B64">
      <text>
        <t xml:space="preserve">[Threaded comment]
 Your version of Excel allows you to read this threaded comment; however, any edits to it will get removed if the file is opened in a newer version of Excel. Learn more: https://go.microsoft.com/fwlink/?linkid=870924
Comment:
	Complete Quest
</t>
      </text>
    </comment>
    <comment authorId="8" xr:uid="{e99025e1-3fed-47df-9680-7226dcadc38e}" ref="C3">
      <text>
        <t xml:space="preserve">[Threaded comment]
 Your version of Excel allows you to read this threaded comment; however, any edits to it will get removed if the file is opened in a newer version of Excel. Learn more: https://go.microsoft.com/fwlink/?linkid=870924
Comment:
	Game.GetStatsSystem():AddModifier(Game.GetPlayer():GetEntityID(),RPGManager.CreateStatModifier(gamedataStatType.Health,gameStatModifierType.Additive,99999999))
For 99999999 Health
Replace Health in the command with Stamina for the same effect.
</t>
      </text>
    </comment>
    <comment authorId="9" xr:uid="{f940796d-8039-45f9-b55f-be715eb071f4}" ref="C30">
      <text>
        <t xml:space="preserve">[Threaded comment]
 Your version of Excel allows you to read this threaded comment; however, any edits to it will get removed if the file is opened in a newer version of Excel. Learn more: https://go.microsoft.com/fwlink/?linkid=870924
Comment:
	Game.GetQuestsSystem():SetFactStr('ep1_tree_unlocked',1)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tc={26b77865-a6c0-48e4-9dfe-8b68b2eabbf6}</author>
    <author>tc={2d798644-ae80-460a-9f0b-71aac1e1b5ad}</author>
    <author>tc={898fd317-14d0-4056-bd39-95019e7e8179}</author>
    <author>tc={9b90fd99-aacb-49db-b826-2293bb51950e}</author>
    <author>tc={b2715cb4-f713-4d12-a677-05fc9ccfd436}</author>
    <author>tc={f50b0bad-0cb4-41da-a8bf-284ce1fdc8cb}</author>
    <author>tc={f7c63713-26e6-4b44-bcb0-ef32eb2eabb8}</author>
    <author>tc={fd41c036-643a-4a57-837f-a62e40d1f9aa}</author>
  </authors>
  <commentList>
    <comment authorId="0" xr:uid="{26b77865-a6c0-48e4-9dfe-8b68b2eabbf6}" ref="B41">
      <text>
        <t xml:space="preserve">[Threaded comment]
 Your version of Excel allows you to read this threaded comment; however, any edits to it will get removed if the file is opened in a newer version of Excel. Learn more: https://go.microsoft.com/fwlink/?linkid=870924
Comment:
	guys what is special ammo???
</t>
      </text>
    </comment>
    <comment authorId="1" xr:uid="{2d798644-ae80-460a-9f0b-71aac1e1b5ad}" ref="D48">
      <text>
        <t xml:space="preserve">[Threaded comment]
 Your version of Excel allows you to read this threaded comment; however, any edits to it will get removed if the file is opened in a newer version of Excel. Learn more: https://go.microsoft.com/fwlink/?linkid=870924
Comment:
	Game.GetStatsSystem():AddModifier(Game.GetPlayer():GetEntityID(), RPGManager.CreateStatModifier(gamedataStatType.Humanity, gameStatModifierType.Additive, -50))
</t>
      </text>
    </comment>
    <comment authorId="2" xr:uid="{898fd317-14d0-4056-bd39-95019e7e8179}" ref="D19">
      <text>
        <t xml:space="preserve">[Threaded comment]
 Your version of Excel allows you to read this threaded comment; however, any edits to it will get removed if the file is opened in a newer version of Excel. Learn more: https://go.microsoft.com/fwlink/?linkid=870924
Comment:
	Game.GetQuestsSystem():SetFactStr('ep1_tree_unlocked',1)
</t>
      </text>
    </comment>
    <comment authorId="3" xr:uid="{9b90fd99-aacb-49db-b826-2293bb51950e}" ref="C16">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4" xr:uid="{b2715cb4-f713-4d12-a677-05fc9ccfd436}" ref="C16">
      <text>
        <t xml:space="preserve">[Threaded comment]
 Your version of Excel allows you to read this threaded comment; however, any edits to it will get removed if the file is opened in a newer version of Excel. Learn more: https://go.microsoft.com/fwlink/?linkid=870924
Comment:
	100
</t>
      </text>
    </comment>
    <comment authorId="5" xr:uid="{f50b0bad-0cb4-41da-a8bf-284ce1fdc8cb}" ref="C30">
      <text>
        <t xml:space="preserve">[Threaded comment]
 Your version of Excel allows you to read this threaded comment; however, any edits to it will get removed if the file is opened in a newer version of Excel. Learn more: https://go.microsoft.com/fwlink/?linkid=870924
Comment:
	450
</t>
      </text>
    </comment>
    <comment authorId="6" xr:uid="{f7c63713-26e6-4b44-bcb0-ef32eb2eabb8}" ref="B48">
      <text>
        <t xml:space="preserve">[Threaded comment]
 Your version of Excel allows you to read this threaded comment; however, any edits to it will get removed if the file is opened in a newer version of Excel. Learn more: https://go.microsoft.com/fwlink/?linkid=870924
Comment:
	Decrease Cyberware Capacity
</t>
      </text>
    </comment>
    <comment authorId="7" xr:uid="{fd41c036-643a-4a57-837f-a62e40d1f9aa}" ref="C13">
      <text>
        <t xml:space="preserve">[Threaded comment]
 Your version of Excel allows you to read this threaded comment; however, any edits to it will get removed if the file is opened in a newer version of Excel. Learn more: https://go.microsoft.com/fwlink/?linkid=870924
Comment:
	80
</t>
      </text>
    </comment>
  </commentList>
</comments>
</file>

<file path=xl/sharedStrings.xml><?xml version="1.0" encoding="utf-8"?>
<sst xmlns="http://schemas.openxmlformats.org/spreadsheetml/2006/main" count="39807" uniqueCount="10440">
  <si>
    <t>Cyberpunk 2077 Item List</t>
  </si>
  <si>
    <t>Hey~ i've Doing a little bit of updating. The new Tabs/sheets are labeled with "v2.2"</t>
  </si>
  <si>
    <r>
      <rPr>
        <rFont val="Syncopate"/>
        <color theme="1"/>
        <sz val="13.0"/>
      </rPr>
      <t xml:space="preserve">I've also </t>
    </r>
    <r>
      <rPr>
        <rFont val="Syncopate"/>
        <b/>
        <i/>
        <color theme="1"/>
        <sz val="13.0"/>
      </rPr>
      <t>enabled commenting</t>
    </r>
    <r>
      <rPr>
        <rFont val="Syncopate"/>
        <color theme="1"/>
        <sz val="13.0"/>
      </rPr>
      <t>. so if you want to change or Add something on the new</t>
    </r>
  </si>
  <si>
    <t>v2 or v2.2 tabs, just leave a comment. i'll try to keep it more update moving forward.</t>
  </si>
  <si>
    <t>Thanks for your patiences!</t>
  </si>
  <si>
    <r>
      <rPr>
        <rFont val="Syncopate"/>
        <i/>
        <color theme="1"/>
      </rPr>
      <t xml:space="preserve">Regards </t>
    </r>
    <r>
      <rPr>
        <rFont val="Syncopate"/>
        <b/>
        <color rgb="FF9900FF"/>
      </rPr>
      <t>Onyx</t>
    </r>
  </si>
  <si>
    <t>Category</t>
  </si>
  <si>
    <t>Name</t>
  </si>
  <si>
    <t>Tier</t>
  </si>
  <si>
    <t>Command</t>
  </si>
  <si>
    <t>Misc</t>
  </si>
  <si>
    <t>Notes</t>
  </si>
  <si>
    <t>Smart Pistol</t>
  </si>
  <si>
    <t>A-22b Chao</t>
  </si>
  <si>
    <t>Random</t>
  </si>
  <si>
    <t>Game.AddToInventory("Items.Preset_Chao_Workspot", 1)</t>
  </si>
  <si>
    <t>-</t>
  </si>
  <si>
    <t>Game.AddToInventory("Items.Preset_Chao_Default", 1)</t>
  </si>
  <si>
    <t>Texture - Default</t>
  </si>
  <si>
    <t>Game.AddToInventory("Items.Preset_Chao_Military", 1)</t>
  </si>
  <si>
    <t>Texture - Military</t>
  </si>
  <si>
    <t>Game.AddToInventory("Items.Preset_Chao_Neon", 1)</t>
  </si>
  <si>
    <t>Texture - Neon</t>
  </si>
  <si>
    <t>Game.AddToInventory("Items.Preset_Chao_Pimp", 1)</t>
  </si>
  <si>
    <t>Texture - Pimp</t>
  </si>
  <si>
    <t>Game.AddToInventory("Items.Preset_Chao_Default_Retrofix", 1)</t>
  </si>
  <si>
    <t>2.0 Patch</t>
  </si>
  <si>
    <t>Game.AddToInventory("Items.Preset_Chao_Military_Retrofix", 1)</t>
  </si>
  <si>
    <t>Game.AddToInventory("Items.Preset_Chao_Neon_Retrofix", 1)</t>
  </si>
  <si>
    <t>Game.AddToInventory("Items.Preset_Chao_Pimp_Retrofix", 1)</t>
  </si>
  <si>
    <t>Tier 1</t>
  </si>
  <si>
    <t>Game.AddToInventory("Items.Craftable_Common_Chao", 1)</t>
  </si>
  <si>
    <t>Game.AddToInventory("Items.Preset_Chao_Default_Left_Hand", 1)</t>
  </si>
  <si>
    <t>Game.AddToInventory("Items.Preset_Chao_Military_Left_Hand", 1)</t>
  </si>
  <si>
    <t>Game.AddToInventory("Items.Preset_Chao_Neon_Left_Hand", 1)</t>
  </si>
  <si>
    <t>Game.AddToInventory("Items.Preset_Chao_Pimp_Left_Hand", 1)</t>
  </si>
  <si>
    <t>Tier 2</t>
  </si>
  <si>
    <t>Game.AddToInventory("Items.Craftable_Uncommon_Chao", 1)</t>
  </si>
  <si>
    <t>Tier 3</t>
  </si>
  <si>
    <t>Game.AddToInventory("Items.Craftable_Rare_Chao", 1)</t>
  </si>
  <si>
    <t>Tier 4</t>
  </si>
  <si>
    <t>Game.AddToInventory("Items.Craftable_Epic_Chao", 1)</t>
  </si>
  <si>
    <t>Game.AddToInventory("Items.Hard_30_IntBody_Weapon_2", 1)</t>
  </si>
  <si>
    <t>Tier 5</t>
  </si>
  <si>
    <t>Game.AddToInventory("Items.Craftable_Legendary_Chao", 1)</t>
  </si>
  <si>
    <t>Blade - Axe</t>
  </si>
  <si>
    <t>Agaou</t>
  </si>
  <si>
    <t>Game.AddToInventory("Items.Preset_VB_Axe", 1)</t>
  </si>
  <si>
    <t>Iconic</t>
  </si>
  <si>
    <t>Game.AddToInventory("Items.VHard_50_BodyCool_Weapon14", 1)</t>
  </si>
  <si>
    <t>Power Shotgun</t>
  </si>
  <si>
    <t>Alabai</t>
  </si>
  <si>
    <t>Game.AddToInventory("Items.Preset_Pozhar_AirDrop", 1)</t>
  </si>
  <si>
    <t>Tech Pistol</t>
  </si>
  <si>
    <t>Ambition</t>
  </si>
  <si>
    <t>Game.AddToInventory("Items.Preset_Kenshin_Spy", 1)</t>
  </si>
  <si>
    <t>Game.AddToInventory("Items.VHard_50_CoolRef_Weapon8", 1)</t>
  </si>
  <si>
    <t>Power Revolver</t>
  </si>
  <si>
    <t>Amnesty</t>
  </si>
  <si>
    <t>Game.AddToInventory("Items.Preset_Overture_Cassidy_Legendary", 1)</t>
  </si>
  <si>
    <t>Game.AddToInventory("Items.Preset_Overture_Cassidy", 1)</t>
  </si>
  <si>
    <t>Game.AddToInventory("Items.q114_cassidy_revolver", 1)</t>
  </si>
  <si>
    <t>Amstaff</t>
  </si>
  <si>
    <t>Game.AddToInventory("Items.Preset_Crusher_Amazon", 1)</t>
  </si>
  <si>
    <t>Apparition</t>
  </si>
  <si>
    <t>Game.AddToInventory("Items.Preset_Kenshin_Frank_Legendary", 1)</t>
  </si>
  <si>
    <t>Game.AddToInventory("Items.Preset_Kenshin_Frank", 1)</t>
  </si>
  <si>
    <t>Power Pistol</t>
  </si>
  <si>
    <t>Ar Raygun Supreme 9000  [ Toygun ]</t>
  </si>
  <si>
    <t>Game.AddToInventory("Items.Preset_Lexington_Toygun", 1)</t>
  </si>
  <si>
    <t>Texture - Special</t>
  </si>
  <si>
    <t>Game.AddToInventory("Items.Preset_Lexington_Toygun_Left_Hand", 1)</t>
  </si>
  <si>
    <t>Archangel</t>
  </si>
  <si>
    <t>Game.AddToInventory("Items.Preset_Overture_Kerry_Epic", 1)</t>
  </si>
  <si>
    <t>Game.AddToInventory("Items.Preset_Overture_Kerry", 1)</t>
  </si>
  <si>
    <t>Game.AddToInventory("Items.Preset_Overture_Kerry_Legendary", 1)</t>
  </si>
  <si>
    <t>Stash</t>
  </si>
  <si>
    <t>An angel of a weapon with a Devil's attitude. Full-auto mode allows you to fire rounds in the rhythm of Samurai's "Archangel". Successive hits after short intervals knock enemies to the ground.</t>
  </si>
  <si>
    <t>Smart Sniper Rifle</t>
  </si>
  <si>
    <t>Ashura</t>
  </si>
  <si>
    <t>Game.AddToInventory("Items.Preset_Ashura_Default", 1)</t>
  </si>
  <si>
    <t>Game.AddToInventory("Items.Preset_Ashura_Military", 1)</t>
  </si>
  <si>
    <t>Game.AddToInventory("Items.Preset_Ashura_Neon", 1)</t>
  </si>
  <si>
    <t>Game.AddToInventory("Items.Preset_Ashura_Pimp", 1)</t>
  </si>
  <si>
    <t>Game.AddToInventory("Items.Preset_Ashura_Prevention_MaxTac_2nd_wave", 1)</t>
  </si>
  <si>
    <t>Game.AddToInventory("Items.Preset_Ashura_Prevention_MaxTac", 1)</t>
  </si>
  <si>
    <t>Game.AddToInventory("Items.Preset_Ashura_Reed", 1)</t>
  </si>
  <si>
    <t>Game.AddToInventory("Items.Craftable_Common_Ashura", 1)</t>
  </si>
  <si>
    <t>Game.AddToInventory("Items.Craftable_Uncommon_Ashura", 1)</t>
  </si>
  <si>
    <t>Game.AddToInventory("Items.Craftable_Rare_Ashura", 1)</t>
  </si>
  <si>
    <t>Game.AddToInventory("Items.Craftable_Epic_Ashura", 1)</t>
  </si>
  <si>
    <t>Game.AddToInventory("Items.Craftable_Legendary_Ashura", 1)</t>
  </si>
  <si>
    <t>Game.AddToInventory("Items.VHard_50_IntRef_Weapon3", 1)</t>
  </si>
  <si>
    <t>Smart Shotgun</t>
  </si>
  <si>
    <t>Ba Xing Chong</t>
  </si>
  <si>
    <t>Game.AddToInventory("Items.Preset_Zhuo_Eight_Star", 1)</t>
  </si>
  <si>
    <t>A rocket launcher that fires explosive rounds. This weapon can smart-target up to six enemies simultaneously. Everything caught in the blast radius is torn to shreds. Be careful - that goes for you too. At low Health, reload speed and Burn chance is increased.</t>
  </si>
  <si>
    <t>Game.AddToInventory("Items.Common_Zhuo_Eight_Star", 1)</t>
  </si>
  <si>
    <t>Game.AddToInventory("Items.Uncommon_Zhuo_Eight_Star", 1)</t>
  </si>
  <si>
    <t>Game.AddToInventory("Items.Rare_Zhuo_Eight_Star", 1)</t>
  </si>
  <si>
    <t>Game.AddToInventory("Items.Epic_Zhuo_Eight_Star", 1)</t>
  </si>
  <si>
    <t>Game.AddToInventory("Items.Legendary_Zhuo_Eight_Star", 1)</t>
  </si>
  <si>
    <t>Game.AddToInventory("Items.VHard_50_IntTech_Weapon3", 1)</t>
  </si>
  <si>
    <t>Tier 5 ++</t>
  </si>
  <si>
    <t>Game.AddToInventory("Items.VHard_50_BodyCool_Weapon18", 1)</t>
  </si>
  <si>
    <t>2.1 Patch</t>
  </si>
  <si>
    <t>Blunt - Two-Handed Club</t>
  </si>
  <si>
    <t>Baby Boomer</t>
  </si>
  <si>
    <t>Game.AddToInventory("Items.Preset_Baseball_Bat_Malina", 1)</t>
  </si>
  <si>
    <t>Game.AddToInventory("Items.VHard_50_RefTech_Weapon14", 1)</t>
  </si>
  <si>
    <t>Bald Eagle</t>
  </si>
  <si>
    <t>Game.AddToInventory("Items.Preset_Metel_Kurt", 1)</t>
  </si>
  <si>
    <t>Game.AddToInventory("Items.VHard_50_BodyCool_Weapon3", 1)</t>
  </si>
  <si>
    <t>Baseball Bat</t>
  </si>
  <si>
    <t>Game.AddToInventory("Items.Preset_Baseball_Bat_Default", 1)</t>
  </si>
  <si>
    <t>Game.AddToInventory("Items.Preset_Baseball_Bat_Aldecados", 1)</t>
  </si>
  <si>
    <t>Game.AddToInventory("Items.Preset_Baseball_Bat_Neon", 1)</t>
  </si>
  <si>
    <t>Game.AddToInventory("Items.Preset_Baseball_Bat_Pimp", 1)</t>
  </si>
  <si>
    <t>Game.AddToInventory("Items.Preset_Baseball_Bat_Mox", 1)</t>
  </si>
  <si>
    <t>Game.AddToInventory("Items.Preset_Baseball_Bat_SixStreet", 1)</t>
  </si>
  <si>
    <t>Game.AddToInventory("Items.Preset_Baseball_Bat_TygerClaws", 1)</t>
  </si>
  <si>
    <t>Game.AddToInventory("Items.Preset_Baseball_Bat_Valentinos", 1)</t>
  </si>
  <si>
    <t>Game.AddToInventory("Items.Preset_Baseball_Bat_Wraiths", 1)</t>
  </si>
  <si>
    <t>Game.AddToInventory("Items.w_melee_008__baseball_bat", 1)</t>
  </si>
  <si>
    <t>Game.AddToInventory("Items.Craftable_Common_Bat", 1)</t>
  </si>
  <si>
    <t>Game.AddToInventory("Items.Craftable_Uncommon_Bat", 1)</t>
  </si>
  <si>
    <t>Game.AddToInventory("Items.Craftable_Rare_Bat", 1)</t>
  </si>
  <si>
    <t>Game.AddToInventory("Items.Proficiency_Craftable_Epic_Bat", 1)</t>
  </si>
  <si>
    <t>Game.AddToInventory("Items.Craftable_Epic_Bat", 1)</t>
  </si>
  <si>
    <t>Game.AddToInventory("Items.Craftable_Legendary_Bat", 1)</t>
  </si>
  <si>
    <t>Baseball Bat X-Mod2</t>
  </si>
  <si>
    <t>Game.AddToInventory("Items.Preset_Baseball_Bat_Legendary", 1)</t>
  </si>
  <si>
    <t>Game.AddToInventory("Items.VHard_50_BodyCool_Weapon4", 1)</t>
  </si>
  <si>
    <t>Game.AddToInventory("Items.VHard_50_RefTech_Weapon3", 1)</t>
  </si>
  <si>
    <t>Blunt - One-Handed Club</t>
  </si>
  <si>
    <t>Bfc 9000</t>
  </si>
  <si>
    <t>Game.AddToInventory("Items.Preset_Dildo_SexShop", 1)</t>
  </si>
  <si>
    <t>Game.AddToInventory("Items.Preset_Dildo_SexShop_NPC", 1)</t>
  </si>
  <si>
    <t>Game.AddToInventory("Items.VHard_50_RefTech_Weapon15", 1)</t>
  </si>
  <si>
    <t>Blade - Katana</t>
  </si>
  <si>
    <t>Black Unicorn</t>
  </si>
  <si>
    <t>Game.AddToInventory("Items.Preset_Katana_GoG_Epic", 1)</t>
  </si>
  <si>
    <t>Game.AddToInventory("Items.Preset_Katana_GoG", 1)</t>
  </si>
  <si>
    <t>Game.AddToInventory("Items.Preset_Katana_GoG_Crafted", 1)</t>
  </si>
  <si>
    <t>Game.AddToInventory("Items.Preset_Katana_GoG_Legendary", 1)</t>
  </si>
  <si>
    <t>Game.AddToInventory("Items.Hard_30_Reflex_Weapon4", 1)</t>
  </si>
  <si>
    <t>Game.AddToInventory("Items.VHard_50_IntRef_Weapon7", 1)</t>
  </si>
  <si>
    <t>Bloody Maria</t>
  </si>
  <si>
    <t>Game.AddToInventory("Items.Preset_Tactician_Dino_Legendary", 1)</t>
  </si>
  <si>
    <t>Effect that vastly increases the weapon's chance to knock a target down, inflict the Bleeding status effect, and dismember enemies. Dismembering enemies grants a brief bonus to the weapon's reload speed and crit chance.</t>
  </si>
  <si>
    <t>Game.AddToInventory("Items.Preset_Tactician_Dino", 1)</t>
  </si>
  <si>
    <t>1.5 Patch</t>
  </si>
  <si>
    <t>Blade - Knife</t>
  </si>
  <si>
    <t>Blue Fang (Neurotoxin Knife)</t>
  </si>
  <si>
    <t>Game.AddToInventory("Items.Preset_Neurotoxin_Knife_Iconic_Epic", 1)</t>
  </si>
  <si>
    <t>1.6 Patch</t>
  </si>
  <si>
    <t>Game.AddToInventory("Items.Preset_Neurotoxin_Knife_Iconic", 1)</t>
  </si>
  <si>
    <t>Game.AddToInventory("Items.Preset_Neurotoxin_Knife_Iconic_Legendary", 1)</t>
  </si>
  <si>
    <t>Stuns the enemy on hit. Headshot stuns after 1 sec while other hits stun after 3 sec. Enemies outside combat state get stunned immediately.</t>
  </si>
  <si>
    <t>Power Sniper Rifle</t>
  </si>
  <si>
    <t>Borzaya</t>
  </si>
  <si>
    <t>Game.AddToInventory("Items.Preset_Grad_AirDrop", 1)</t>
  </si>
  <si>
    <t>Game.AddToInventory("Items.VHard_50_TechCool_Weapon8", 1)</t>
  </si>
  <si>
    <t>Tech Sniper Rifle</t>
  </si>
  <si>
    <t>Breakthrough</t>
  </si>
  <si>
    <t>Game.AddToInventory("Items.Preset_Nekomata_Breakthrough_Legendary", 1)</t>
  </si>
  <si>
    <t>Game.AddToInventory("Items.Preset_Nekomata_Breakthrough", 1)</t>
  </si>
  <si>
    <t>Game.AddToInventory("Items.Common_Nekomata_Breakthrough", 1)</t>
  </si>
  <si>
    <t>Game.AddToInventory("Items.Uncommon_Nekomata_Breakthrough", 1)</t>
  </si>
  <si>
    <t>Game.AddToInventory("Items.Rare_Nekomata_Breakthrough", 1)</t>
  </si>
  <si>
    <t>Game.AddToInventory("Items.Epic_Nekomata_Breakthrough", 1)</t>
  </si>
  <si>
    <t>Game.AddToInventory("Items.Legendary_Nekomata_Breakthrough", 1)</t>
  </si>
  <si>
    <t>Can Penatrate through walls and ricochet multiple times.</t>
  </si>
  <si>
    <t>Butcher's Cleaver</t>
  </si>
  <si>
    <t>Game.AddToInventory("Items.Preset_Butchers_Knife_Iconic_Epic", 1)</t>
  </si>
  <si>
    <t>Game.AddToInventory("Items.Preset_Butchers_Knife_Iconic", 1)</t>
  </si>
  <si>
    <t>Game.AddToInventory("Items.Preset_Butchers_Knife_Iconic_Legendary", 1)</t>
  </si>
  <si>
    <t>Increases Bleed chance. While an enemy is bleeding, your attack speed is increased and melee attacks consume less stamina.</t>
  </si>
  <si>
    <t>Power Smg</t>
  </si>
  <si>
    <t>Buzzsaw</t>
  </si>
  <si>
    <t>Game.AddToInventory("Items.Preset_Pulsar_Buzzsaw_Epic", 1)</t>
  </si>
  <si>
    <t>Game.AddToInventory("Items.Preset_Pulsar_Buzzsaw_Legendary", 1)</t>
  </si>
  <si>
    <t>A one-of-a-kind SMG that allows you to fire high-penetration rounds. Increases damage to an enemy's limbs. May cause massacres.</t>
  </si>
  <si>
    <t>Game.AddToInventory("Items.Preset_Pulsar_Buzzsaw", 1)</t>
  </si>
  <si>
    <t>Game.AddToInventory("Items.Common_Pulsar_Buzzsaw", 1)</t>
  </si>
  <si>
    <t>Game.AddToInventory("Items.Uncommon_Pulsar_Buzzsaw", 1)</t>
  </si>
  <si>
    <t>Game.AddToInventory("Items.Rare_Pulsar_Buzzsaw", 1)</t>
  </si>
  <si>
    <t>Game.AddToInventory("Items.Epic_Pulsar_Buzzsaw", 1)</t>
  </si>
  <si>
    <t>Game.AddToInventory("Items.Legendary_Pulsar_Buzzsaw", 1)</t>
  </si>
  <si>
    <t>Byakko</t>
  </si>
  <si>
    <t>Game.AddToInventory("Items.Preset_Katana_Wakako", 1)</t>
  </si>
  <si>
    <t>Game.AddToInventory("Items.VHard_50_IntRef_Weapon1", 1)</t>
  </si>
  <si>
    <t>Game.AddToInventory("Items.VHard_50_RefTech_Weapon2", 1)</t>
  </si>
  <si>
    <t>Game.AddToInventory("Items.Preset_Katana_Wakako_Legendary", 1)</t>
  </si>
  <si>
    <t>Increases melee range by 1 meter as well as allowing the user to leap from a distance to an enemy to attack. Additionally, killing an enemy grants a status effect that removes the pause between every 3 light attacks, allowing light attack combos as long as V's stamina will allow.</t>
  </si>
  <si>
    <t>Blunt - Hammer</t>
  </si>
  <si>
    <t>Caretaker's Spade</t>
  </si>
  <si>
    <t>Game.AddToInventory("Items.Preset_Shovel_Caretaker", 1)</t>
  </si>
  <si>
    <t>Game.AddToInventory("Items.w_melee_shovel", 1)</t>
  </si>
  <si>
    <t>Game.AddToInventory("Items.Preset_Shovel_Caretaker_Stash", 1)</t>
  </si>
  <si>
    <t>Power Assault Rifle</t>
  </si>
  <si>
    <t>Carmen</t>
  </si>
  <si>
    <t>Game.AddToInventory("Items.Preset_Umbra_Bebe", 1)</t>
  </si>
  <si>
    <t>Carnage</t>
  </si>
  <si>
    <t>Game.AddToInventory("Items.Preset_Carnage_Default", 1)</t>
  </si>
  <si>
    <t>Game.AddToInventory("Items.Preset_Carnage_Military", 1)</t>
  </si>
  <si>
    <t>Game.AddToInventory("Items.Preset_Carnage_Neon", 1)</t>
  </si>
  <si>
    <t>Game.AddToInventory("Items.Preset_Carnage_Pimp", 1)</t>
  </si>
  <si>
    <t>Game.AddToInventory("Items.Craftable_Common_Carnage", 1)</t>
  </si>
  <si>
    <t>Game.AddToInventory("Items.Preset_Psycho_ma_cct_dtn_03", 1)</t>
  </si>
  <si>
    <t>Game.AddToInventory("Items.Preset_Psycho_ma_cct_dtn_03_early", 1)</t>
  </si>
  <si>
    <t>Game.AddToInventory("Items.Preset_Psycho_ma_cct_dtn_03_end", 1)</t>
  </si>
  <si>
    <t>Game.AddToInventory("Items.Preset_Psycho_ma_cct_dtn_03_late", 1)</t>
  </si>
  <si>
    <t>Game.AddToInventory("Items.Preset_Psycho_ma_cct_dtn_03_mid", 1)</t>
  </si>
  <si>
    <t>Game.AddToInventory("Items.Craftable_Uncommon_Carnage", 1)</t>
  </si>
  <si>
    <t>Game.AddToInventory("Items.Craftable_Rare_Carnage", 1)</t>
  </si>
  <si>
    <t>Game.AddToInventory("Items.Craftable_Epic_Carnage", 1)</t>
  </si>
  <si>
    <t>Game.AddToInventory("Items.Proficiency_Craftable_Legendary_Carnage", 1)</t>
  </si>
  <si>
    <t>Game.AddToInventory("Items.Craftable_Legendary_Carnage", 1)</t>
  </si>
  <si>
    <t>Catahoula</t>
  </si>
  <si>
    <t>Game.AddToInventory("Items.Preset_Grit_Amazon", 1)</t>
  </si>
  <si>
    <t>Chaos</t>
  </si>
  <si>
    <t>Game.AddToInventory("Items.Preset_Kenshin_Royce_Epic", 1)</t>
  </si>
  <si>
    <t>Game.AddToInventory("Items.Preset_Kenshin_Royce_Legendary", 1)</t>
  </si>
  <si>
    <t>Game.AddToInventory("Items.Preset_Kenshin_Royce", 1)</t>
  </si>
  <si>
    <t>Game.AddToInventory("Items.Weak_20_Cool_Weapon4", 1)</t>
  </si>
  <si>
    <t>Grenade</t>
  </si>
  <si>
    <t>Char Incendiary Grenade</t>
  </si>
  <si>
    <t>Game.AddToInventory("Items.Preset_Grenade_Incendiary_Default", 1)</t>
  </si>
  <si>
    <t>Game.AddToInventory("Items.GrenadeIncendiaryRegular", 1)</t>
  </si>
  <si>
    <t>Tier 2 +</t>
  </si>
  <si>
    <t>Game.AddToInventory("Items.GrenadeIncendiaryUncommonPlus", 1)</t>
  </si>
  <si>
    <t>Game.AddToInventory("Items.GrenadeIncendiaryRare", 1)</t>
  </si>
  <si>
    <t>Tier 3 +</t>
  </si>
  <si>
    <t>Game.AddToInventory("Items.GrenadeIncendiaryRarePlus", 1)</t>
  </si>
  <si>
    <t>Game.AddToInventory("Items.GrenadeIncendiarySticky", 1)</t>
  </si>
  <si>
    <t>Tier 4 +</t>
  </si>
  <si>
    <t>Game.AddToInventory("Items.GrenadeIncendiaryEpicPlus", 1)</t>
  </si>
  <si>
    <t>Game.AddToInventory("Items.GrenadeIncendiaryLegendary", 1)</t>
  </si>
  <si>
    <t>Tier 5 +</t>
  </si>
  <si>
    <t>Game.AddToInventory("Items.GrenadeIncendiaryLegendaryPlus", 1)</t>
  </si>
  <si>
    <t>Cheetah</t>
  </si>
  <si>
    <t>Game.AddToInventory("Items.Preset_Unity_Angelica", 1)</t>
  </si>
  <si>
    <t>Chef's Knife</t>
  </si>
  <si>
    <t>Game.AddToInventory("Items.Preset_Chefs_Knife_Default", 1)</t>
  </si>
  <si>
    <t>Game.AddToInventory("Items.Craftable_Common_Chefs_Knife", 1)</t>
  </si>
  <si>
    <t>Game.AddToInventory("Items.Craftable_Uncommon_Chefs_Knife", 1)</t>
  </si>
  <si>
    <t>Game.AddToInventory("Items.Craftable_Rare_Chefs_Knife", 1)</t>
  </si>
  <si>
    <t>Game.AddToInventory("Items.Craftable_Epic_Chefs_Knife", 1)</t>
  </si>
  <si>
    <t>Game.AddToInventory("Items.Craftable_Legendary_Chefs_Knife", 1)</t>
  </si>
  <si>
    <t>Smart Smg</t>
  </si>
  <si>
    <t>Chesapeake</t>
  </si>
  <si>
    <t>Game.AddToInventory("Items.Preset_Warden_Amazon", 1)</t>
  </si>
  <si>
    <t>Chinook</t>
  </si>
  <si>
    <t>Game.AddToInventory("Items.Preset_Kyubi_Amazon", 1)</t>
  </si>
  <si>
    <t>Chisel</t>
  </si>
  <si>
    <t>Game.AddToInventory("Items.MaelstromGrenade1", 1)</t>
  </si>
  <si>
    <t>Game.AddToInventory("Items.MaelstromGrenade2", 1)</t>
  </si>
  <si>
    <t>Game.AddToInventory("Items.MaelstromGrenade3", 1)</t>
  </si>
  <si>
    <t>Claw</t>
  </si>
  <si>
    <t>Game.AddToInventory("Items.Preset_Fanged_Axe_Default", 1)</t>
  </si>
  <si>
    <t>Game.AddToInventory("Items.Preset_Fanged_Axe_Neon", 1)</t>
  </si>
  <si>
    <t>Game.AddToInventory("Items.Preset_Fanged_Axe_Military", 1)</t>
  </si>
  <si>
    <t>Game.AddToInventory("Items.Craftable_Common_Fanged_Axe", 1)</t>
  </si>
  <si>
    <t>Game.AddToInventory("Items.Craftable_Uncommon_Fanged_Axe", 1)</t>
  </si>
  <si>
    <t>Game.AddToInventory("Items.Craftable_Rare_Fanged_Axe", 1)</t>
  </si>
  <si>
    <t>Game.AddToInventory("Items.Craftable_Epic_Fanged_Axe", 1)</t>
  </si>
  <si>
    <t>Game.AddToInventory("Items.Craftable_Legendary_Fanged_Axe", 1)</t>
  </si>
  <si>
    <t>Game.AddToInventory("Items.VHard_50_BodyCool_Weapon5", 1)</t>
  </si>
  <si>
    <t>Game.AddToInventory("Items.VHard_50_BodyCool_Weapon6", 1)</t>
  </si>
  <si>
    <t>Game.AddToInventory("Items.VHard_50_BodyCool_Weapon7", 1)</t>
  </si>
  <si>
    <t>Claw X-Mod2</t>
  </si>
  <si>
    <t>Game.AddToInventory("Items.Preset_Fanged_Axe_Collectible", 1)</t>
  </si>
  <si>
    <t>Cocktail Stick</t>
  </si>
  <si>
    <t>Game.AddToInventory("Items.Preset_Katana_Cocktail_Epic", 1)</t>
  </si>
  <si>
    <t>Game.AddToInventory("Items.Preset_Katana_Cocktail_Legendary", 1)</t>
  </si>
  <si>
    <t>Game.AddToInventory("Items.Preset_Katana_Cocktail", 1)</t>
  </si>
  <si>
    <t>Game.AddToInventory("Items.Normal_20_Melee_Weapon4", 1)</t>
  </si>
  <si>
    <t>Game.AddToInventory("Items.VHard_50_CoolRef_Weapon6", 1)</t>
  </si>
  <si>
    <t>Tech Revolver</t>
  </si>
  <si>
    <t>Comrade's Hammer</t>
  </si>
  <si>
    <t>Game.AddToInventory("Items.Preset_Burya_Comrade", 1)</t>
  </si>
  <si>
    <t>Game.AddToInventory("Items.Common_Burya_Comrade", 1)</t>
  </si>
  <si>
    <t>Game.AddToInventory("Items.Uncommon_Burya_Comrade", 1)</t>
  </si>
  <si>
    <t>Game.AddToInventory("Items.Rare_Burya_Comrade", 1)</t>
  </si>
  <si>
    <t>Game.AddToInventory("Items.Epic_Burya_Comrade", 1)</t>
  </si>
  <si>
    <t>Game.AddToInventory("Items.Legendary_Burya_Comrade", 1)</t>
  </si>
  <si>
    <t>Game.AddToInventory("Items.VHard_50_RefTech_Weapon6", 1)</t>
  </si>
  <si>
    <t>Game.AddToInventory("Items.Preset_Burya_Comrade_Legendary", 1)</t>
  </si>
  <si>
    <t>The cylinder has been modified to hold a single explosive round capable of wreaking utter destruction. Automatically reloads when you perform a Quick Melee Attack.</t>
  </si>
  <si>
    <t>Cottonmouth</t>
  </si>
  <si>
    <t>Game.AddToInventory("Items.Preset_Cane_Fingers_Epic", 1)</t>
  </si>
  <si>
    <t>Game.AddToInventory("Items.Preset_Cane_Fingers_Legendary", 1)</t>
  </si>
  <si>
    <t>Game.AddToInventory("Items.Preset_Cane_Fingers", 1)</t>
  </si>
  <si>
    <t>Game.AddToInventory("Items.w_melee_cane", 1)</t>
  </si>
  <si>
    <t>Game.AddToInventory("Items.VHard_50_BodyCool_Weapon10", 1)</t>
  </si>
  <si>
    <t>Game.AddToInventory("Items.VHard_50_RefTech_Weapon13", 1)</t>
  </si>
  <si>
    <t>Crash</t>
  </si>
  <si>
    <t>Game.AddToInventory("Items.Preset_Overture_River", 1)</t>
  </si>
  <si>
    <t>Game.AddToInventory("Items.sq029_rivers_gun", 1)</t>
  </si>
  <si>
    <t>Game.AddToInventory("Items.Preset_Overture_River_Legendary", 1)</t>
  </si>
  <si>
    <t>Charging for a brief time while aiming enables full auto mode. Decreases recoil and bullet spread. Decreases fire rate.</t>
  </si>
  <si>
    <t>Crimestopper</t>
  </si>
  <si>
    <t>Game.AddToInventory("Items.Preset_Kappa_George", 1)</t>
  </si>
  <si>
    <t>Game.AddToInventory("Items.VHard_50_CoolRef_Weapon7", 1)</t>
  </si>
  <si>
    <t>Game.AddToInventory("Items.VHard_50_IntTech_Weapon7", 1)</t>
  </si>
  <si>
    <t>Crowbar</t>
  </si>
  <si>
    <t>Game.AddToInventory("Items.Preset_Crowbar_Default", 1)</t>
  </si>
  <si>
    <t>Game.AddToInventory("Items.Preset_Crowbar_Bunker", 1)</t>
  </si>
  <si>
    <t>Game.AddToInventory("Items.Craftable_Common_Crowbar", 1)</t>
  </si>
  <si>
    <t>Game.AddToInventory("Items.Craftable_Uncommon_Crowbar", 1)</t>
  </si>
  <si>
    <t>Game.AddToInventory("Items.Craftable_Rare_Crowbar", 1)</t>
  </si>
  <si>
    <t>Game.AddToInventory("Items.Craftable_Epic_Crowbar", 1)</t>
  </si>
  <si>
    <t>Game.AddToInventory("Items.Craftable_Legendary_Crowbar", 1)</t>
  </si>
  <si>
    <t>Game.AddToInventory("Items.VHard_50_BodyCool_Weapon9", 1)</t>
  </si>
  <si>
    <t>Game.AddToInventory("Items.VHard_50_RefTech_Weapon16", 1)</t>
  </si>
  <si>
    <t>Crusher</t>
  </si>
  <si>
    <t>Game.AddToInventory("Items.Preset_Crusher_Default", 1)</t>
  </si>
  <si>
    <t>Game.AddToInventory("Items.Preset_Crusher_Military", 1)</t>
  </si>
  <si>
    <t>Game.AddToInventory("Items.Preset_Crusher_Neon", 1)</t>
  </si>
  <si>
    <t>Game.AddToInventory("Items.Preset_Crusher_Pimp", 1)</t>
  </si>
  <si>
    <t>Game.AddToInventory("Items.Preset_Crusher_Krausser", 1)</t>
  </si>
  <si>
    <t>Game.AddToInventory("Items.Preset_Crusher_Default_Retrofix", 1)</t>
  </si>
  <si>
    <t>Game.AddToInventory("Items.Preset_Crusher_Military_Retrofix", 1)</t>
  </si>
  <si>
    <t>Game.AddToInventory("Items.Preset_Crusher_Neon_Retrofix", 1)</t>
  </si>
  <si>
    <t>Game.AddToInventory("Items.Preset_Crusher_Pimp_Retrofix", 1)</t>
  </si>
  <si>
    <t>Game.AddToInventory("Items.Craftable_Common_Crusher", 1)</t>
  </si>
  <si>
    <t>Game.AddToInventory("Items.Preset_Psycho_ma_bls_ina_se1_07", 1)</t>
  </si>
  <si>
    <t>Game.AddToInventory("Items.Preset_Psycho_ma_bls_ina_se1_07_early", 1)</t>
  </si>
  <si>
    <t>Game.AddToInventory("Items.Preset_Psycho_ma_bls_ina_se1_07_end", 1)</t>
  </si>
  <si>
    <t>Game.AddToInventory("Items.Preset_Psycho_ma_bls_ina_se1_07_late", 1)</t>
  </si>
  <si>
    <t>Game.AddToInventory("Items.Preset_Psycho_ma_bls_ina_se1_07_mid", 1)</t>
  </si>
  <si>
    <t>Game.AddToInventory("Items.Preset_Crusher_Default_Left_Hand", 1)</t>
  </si>
  <si>
    <t>Game.AddToInventory("Items.Preset_Crusher_Military_Left_Hand", 1)</t>
  </si>
  <si>
    <t>Game.AddToInventory("Items.Preset_Crusher_Neon_Left_Hand", 1)</t>
  </si>
  <si>
    <t>Game.AddToInventory("Items.Preset_Crusher_Pimp_Left_Hand", 1)</t>
  </si>
  <si>
    <t>Game.AddToInventory("Items.Craftable_Uncommon_Crusher", 1)</t>
  </si>
  <si>
    <t>Game.AddToInventory("Items.Craftable_Rare_Crusher", 1)</t>
  </si>
  <si>
    <t>Game.AddToInventory("Items.Craftable_Epic_Crusher", 1)</t>
  </si>
  <si>
    <t>Game.AddToInventory("Items.Craftable_Legendary_Crusher", 1)</t>
  </si>
  <si>
    <t>Blade - Chainsword</t>
  </si>
  <si>
    <t>Cut-O-Matic</t>
  </si>
  <si>
    <t>Game.AddToInventory("Items.Preset_Chainsword_Default", 1)</t>
  </si>
  <si>
    <t>Game.AddToInventory("Items.Preset_Chainsword_Military", 1)</t>
  </si>
  <si>
    <t>Game.AddToInventory("Items.Preset_Chainsword_Neon", 1)</t>
  </si>
  <si>
    <t>Game.AddToInventory("Items.Preset_Chainsword_Pimp", 1)</t>
  </si>
  <si>
    <t>Game.AddToInventory("Items.Craftable_Common_Chainsword", 1)</t>
  </si>
  <si>
    <t>Game.AddToInventory("Items.Craftable_Uncommon_Chainsword", 1)</t>
  </si>
  <si>
    <t>Game.AddToInventory("Items.Craftable_Rare_Chainsword", 1)</t>
  </si>
  <si>
    <t>Game.AddToInventory("Items.Craftable_Epic_Chainsword", 1)</t>
  </si>
  <si>
    <t>Game.AddToInventory("Items.Hard_30_BodyTech_Weapon2", 1)</t>
  </si>
  <si>
    <t>Game.AddToInventory("Items.Craftable_Legendary_Chainsword", 1)</t>
  </si>
  <si>
    <t>Cut-O-Matic X-Mod2</t>
  </si>
  <si>
    <t>Game.AddToInventory("Items.Preset_Chainsword_Legendary", 1)</t>
  </si>
  <si>
    <t>Game.AddToInventory("Items.VHard_50_RefTech_Weapon8", 1)</t>
  </si>
  <si>
    <t>D5 Copperhead</t>
  </si>
  <si>
    <t>Game.AddToInventory("Items.Preset_Base_Copperhead", 1)</t>
  </si>
  <si>
    <t>Game.AddToInventory("Items.Preset_Copperhead_Default", 1)</t>
  </si>
  <si>
    <t>Game.AddToInventory("Items.Preset_Copperhead_Military", 1)</t>
  </si>
  <si>
    <t>Game.AddToInventory("Items.Preset_Copperhead_Neon", 1)</t>
  </si>
  <si>
    <t>Game.AddToInventory("Items.Preset_Copperhead_Pimp", 1)</t>
  </si>
  <si>
    <t>Game.AddToInventory("Items.Preset_Copperhead_Prevention", 1)</t>
  </si>
  <si>
    <t>Game.AddToInventory("Items.Preset_Copperhead_Krausser", 1)</t>
  </si>
  <si>
    <t>Game.AddToInventory("Items.Preset_Copperhead_Military_Crowd", 1)</t>
  </si>
  <si>
    <t>Game.AddToInventory("Items.Craftable_Common_Copperhead", 1)</t>
  </si>
  <si>
    <t>Game.AddToInventory("Items.Preset_Psycho_sts_wat_nid_01_early", 1)</t>
  </si>
  <si>
    <t>Game.AddToInventory("Items.Preset_Psycho_sts_wat_nid_01_end", 1)</t>
  </si>
  <si>
    <t>Game.AddToInventory("Items.Preset_Psycho_sts_wat_nid_01_late", 1)</t>
  </si>
  <si>
    <t>Game.AddToInventory("Items.Preset_Psycho_sts_wat_nid_01_mid", 1)</t>
  </si>
  <si>
    <t>Game.AddToInventory("Items.Preset_Psycho_sts_wat_nid_01", 1)</t>
  </si>
  <si>
    <t>Game.AddToInventory("Items.Proficiency_Craftable_Uncommon_Copperhead", 1)</t>
  </si>
  <si>
    <t>Game.AddToInventory("Items.Craftable_Uncommon_Copperhead", 1)</t>
  </si>
  <si>
    <t>Game.AddToInventory("Items.Craftable_Rare_Copperhead", 1)</t>
  </si>
  <si>
    <t>Game.AddToInventory("Items.Normal_20_Netrunner_Weapon1", 1)</t>
  </si>
  <si>
    <t>Game.AddToInventory("Items.Craftable_Epic_Copperhead", 1)</t>
  </si>
  <si>
    <t>Game.AddToInventory("Items.Hard_30_Reflex_Weapon2", 1)</t>
  </si>
  <si>
    <t>Game.AddToInventory("Items.Craftable_Legendary_Copperhead", 1)</t>
  </si>
  <si>
    <t>Smart Assault Rifle</t>
  </si>
  <si>
    <t>D5 Sidewinder</t>
  </si>
  <si>
    <t>Game.AddToInventory("Items.Craftable_Common_Sidewinder", 1)</t>
  </si>
  <si>
    <t>Game.AddToInventory("Items.q115_rifle", 1)</t>
  </si>
  <si>
    <t>Game.AddToInventory("Items.Preset_Sidewinder_Default", 1)</t>
  </si>
  <si>
    <t>Game.AddToInventory("Items.Preset_Sidewinder_Military", 1)</t>
  </si>
  <si>
    <t>Game.AddToInventory("Items.Preset_Sidewinder_Neon", 1)</t>
  </si>
  <si>
    <t>Game.AddToInventory("Items.Preset_Sidewinder_Pimp", 1)</t>
  </si>
  <si>
    <t>Game.AddToInventory("Items.Craftable_Uncommon_Sidewinder", 1)</t>
  </si>
  <si>
    <t>Game.AddToInventory("Items.Craftable_Rare_Sidewinder", 1)</t>
  </si>
  <si>
    <t>Game.AddToInventory("Items.Craftable_Epic_Sidewinder", 1)</t>
  </si>
  <si>
    <t>Game.AddToInventory("Items.Craftable_Legendary_Sidewinder", 1)</t>
  </si>
  <si>
    <t>Da8 Umbra</t>
  </si>
  <si>
    <t>Game.AddToInventory("Items.Craftable_Common_Umbra", 1)</t>
  </si>
  <si>
    <t>Game.AddToInventory("Items.Preset_Umbra_Default", 1)</t>
  </si>
  <si>
    <t>Game.AddToInventory("Items.Preset_Umbra_Military", 1)</t>
  </si>
  <si>
    <t>Game.AddToInventory("Items.Preset_Umbra_Neon", 1)</t>
  </si>
  <si>
    <t>Game.AddToInventory("Items.Preset_Umbra_Pimp", 1)</t>
  </si>
  <si>
    <t>Game.AddToInventory("Items.Preset_Umbra_Legendary", 1)</t>
  </si>
  <si>
    <t>Game.AddToInventory("Items.Craftable_Uncommon_Umbra", 1)</t>
  </si>
  <si>
    <t>Game.AddToInventory("Items.Craftable_Rare_Umbra", 1)</t>
  </si>
  <si>
    <t>Game.AddToInventory("Items.Craftable_Epic_Umbra", 1)</t>
  </si>
  <si>
    <t>Game.AddToInventory("Items.Craftable_Legendary_Umbra", 1)</t>
  </si>
  <si>
    <t>Tech Db Shotgun</t>
  </si>
  <si>
    <t>Db-2 Satara</t>
  </si>
  <si>
    <t>Game.AddToInventory("Items.Craftable_Common_Satara", 1)</t>
  </si>
  <si>
    <t>Game.AddToInventory("Items.Preset_Satara_Default", 1)</t>
  </si>
  <si>
    <t>Game.AddToInventory("Items.Preset_Satara_Military", 1)</t>
  </si>
  <si>
    <t>Game.AddToInventory("Items.Preset_Satara_Neon", 1)</t>
  </si>
  <si>
    <t>Game.AddToInventory("Items.Preset_Satara_Pimp", 1)</t>
  </si>
  <si>
    <t>Game.AddToInventory("Items.Preset_Psycho_ma_bls_ina_se1_08", 1)</t>
  </si>
  <si>
    <t>Game.AddToInventory("Items.Preset_Psycho_ma_bls_ina_se1_08_early", 1)</t>
  </si>
  <si>
    <t>Game.AddToInventory("Items.Preset_Psycho_ma_bls_ina_se1_08_end", 1)</t>
  </si>
  <si>
    <t>Game.AddToInventory("Items.Preset_Psycho_ma_bls_ina_se1_08_late", 1)</t>
  </si>
  <si>
    <t>Game.AddToInventory("Items.Preset_Psycho_ma_bls_ina_se1_08_mid", 1)</t>
  </si>
  <si>
    <t>Game.AddToInventory("Items.Proficiency_Craftable_Uncommon_Satara", 1)</t>
  </si>
  <si>
    <t>Game.AddToInventory("Items.Str_10_Tank_Weapon1", 1)</t>
  </si>
  <si>
    <t>Game.AddToInventory("Items.Craftable_Uncommon_Satara", 1)</t>
  </si>
  <si>
    <t>Game.AddToInventory("Items.Craftable_Rare_Satara", 1)</t>
  </si>
  <si>
    <t>Game.AddToInventory("Items.Craftable_Epic_Satara", 1)</t>
  </si>
  <si>
    <t>Game.AddToInventory("Items.Hard_30_BodyTech_Weapon1", 1)</t>
  </si>
  <si>
    <t>Game.AddToInventory("Items.Craftable_Legendary_Satara", 1)</t>
  </si>
  <si>
    <t>Power Db Shotgun</t>
  </si>
  <si>
    <t>Db-2 Testera</t>
  </si>
  <si>
    <t>Game.AddToInventory("Items.Craftable_Common_Testera", 1)</t>
  </si>
  <si>
    <t>Game.AddToInventory("Items.Preset_Testera_Default", 1)</t>
  </si>
  <si>
    <t>Game.AddToInventory("Items.Preset_Testera_Military", 1)</t>
  </si>
  <si>
    <t>Game.AddToInventory("Items.Preset_Testera_Neon", 1)</t>
  </si>
  <si>
    <t>Game.AddToInventory("Items.Preset_Testera_Pimp", 1)</t>
  </si>
  <si>
    <t>Game.AddToInventory("Items.Craftable_Uncommon_Testera", 1)</t>
  </si>
  <si>
    <t>Game.AddToInventory("Items.Craftable_Rare_Testera", 1)</t>
  </si>
  <si>
    <t>Game.AddToInventory("Items.Craftable_Epic_Testera", 1)</t>
  </si>
  <si>
    <t>Game.AddToInventory("Items.Craftable_Legendary_Testera", 1)</t>
  </si>
  <si>
    <t>Db-4 Igla</t>
  </si>
  <si>
    <t>Game.AddToInventory("Items.Preset_Igla_Default", 1)</t>
  </si>
  <si>
    <t>Game.AddToInventory("Items.Preset_Igla_Military", 1)</t>
  </si>
  <si>
    <t>Game.AddToInventory("Items.Preset_Igla_Neon", 1)</t>
  </si>
  <si>
    <t>Game.AddToInventory("Items.Preset_Igla_Pimp", 1)</t>
  </si>
  <si>
    <t>Game.AddToInventory("Items.Craftable_Common_Igla", 1)</t>
  </si>
  <si>
    <t>Game.AddToInventory("Items.Preset_Psycho_ma_wat_nid_22", 1)</t>
  </si>
  <si>
    <t>Game.AddToInventory("Items.Preset_Psycho_ma_wat_nid_22_early", 1)</t>
  </si>
  <si>
    <t>Game.AddToInventory("Items.Preset_Psycho_ma_wat_nid_22_end", 1)</t>
  </si>
  <si>
    <t>Game.AddToInventory("Items.Preset_Psycho_ma_wat_nid_22_late", 1)</t>
  </si>
  <si>
    <t>Game.AddToInventory("Items.Preset_Psycho_ma_wat_nid_22_mid", 1)</t>
  </si>
  <si>
    <t>Game.AddToInventory("Items.Craftable_Uncommon_Igla", 1)</t>
  </si>
  <si>
    <t>Game.AddToInventory("Items.Craftable_Rare_Igla", 1)</t>
  </si>
  <si>
    <t>Game.AddToInventory("Items.Craftable_Epic_Igla", 1)</t>
  </si>
  <si>
    <t>Game.AddToInventory("Items.Craftable_Legendary_Igla", 1)</t>
  </si>
  <si>
    <t>Smart Db Shotgun</t>
  </si>
  <si>
    <t>Db-4 Palica</t>
  </si>
  <si>
    <t>Game.AddToInventory("Items.Preset_Palica_Default", 1)</t>
  </si>
  <si>
    <t>Game.AddToInventory("Items.Preset_Palica_Military", 1)</t>
  </si>
  <si>
    <t>Game.AddToInventory("Items.Preset_Palica_Neon", 1)</t>
  </si>
  <si>
    <t>Game.AddToInventory("Items.Preset_Palica_Pimp", 1)</t>
  </si>
  <si>
    <t>Game.AddToInventory("Items.Craftable_Uncommon_Palica", 1)</t>
  </si>
  <si>
    <t>Game.AddToInventory("Items.Craftable_Rare_Palica", 1)</t>
  </si>
  <si>
    <t>Game.AddToInventory("Items.Craftable_Common_Palica", 1)</t>
  </si>
  <si>
    <t>Game.AddToInventory("Items.Craftable_Epic_Palica", 1)</t>
  </si>
  <si>
    <t>Game.AddToInventory("Items.Hard_30_IntBody_Weapon_1", 1)</t>
  </si>
  <si>
    <t>Game.AddToInventory("Items.Craftable_Legendary_Palica", 1)</t>
  </si>
  <si>
    <t>Death And Taxes</t>
  </si>
  <si>
    <t>Game.AddToInventory("Items.Preset_Nue_Maiko_Epic", 1)</t>
  </si>
  <si>
    <t>Game.AddToInventory("Items.Preset_Nue_Maiko_Legendary", 1)</t>
  </si>
  <si>
    <t>Game.AddToInventory("Items.Preset_Nue_Maiko", 1)</t>
  </si>
  <si>
    <t>Power Hmg</t>
  </si>
  <si>
    <t>Defender</t>
  </si>
  <si>
    <t>Game.AddToInventory("Items.Preset_Defender_MaxTac_2nd_wave", 1)</t>
  </si>
  <si>
    <t>Game.AddToInventory("Items.Preset_Psycho_ma_wat_lch_06_early", 1)</t>
  </si>
  <si>
    <t>Game.AddToInventory("Items.Preset_Psycho_ma_wat_lch_06_end", 1)</t>
  </si>
  <si>
    <t>Game.AddToInventory("Items.Preset_Psycho_ma_wat_lch_06_late", 1)</t>
  </si>
  <si>
    <t>Game.AddToInventory("Items.Preset_Psycho_ma_wat_lch_06_mid", 1)</t>
  </si>
  <si>
    <t>Game.AddToInventory("Items.Hard_20_Body_Weapon3", 1)</t>
  </si>
  <si>
    <t>Dezerter</t>
  </si>
  <si>
    <t>Game.AddToInventory("Items.Preset_Testera_Nicolas", 1)</t>
  </si>
  <si>
    <t>Game.AddToInventory("Items.VHard_50_RefBody_Weapon6", 1)</t>
  </si>
  <si>
    <t>Game.AddToInventory("Items.VHard_50_BodyCool_Weapon17", 1)</t>
  </si>
  <si>
    <t>Divided We Stand</t>
  </si>
  <si>
    <t>Game.AddToInventory("Items.mq008_golden_knuckledusters", 1)</t>
  </si>
  <si>
    <t>Game.AddToInventory("Items.Preset_Sidewinder_Divided_Epic", 1)</t>
  </si>
  <si>
    <t>Game.AddToInventory("Items.Preset_Sidewinder_Divided_Legendary", 1)</t>
  </si>
  <si>
    <t>Game.AddToInventory("Items.Preset_Sidewinder_Divided", 1)</t>
  </si>
  <si>
    <t>Game.AddToInventory("Items.Avg_10_Int_Netrunner_Weapon5", 1)</t>
  </si>
  <si>
    <t>Game.AddToInventory("Items.VHard_50_IntRef_Weapon2", 1)</t>
  </si>
  <si>
    <t>Doom Doom</t>
  </si>
  <si>
    <t>Game.AddToInventory("Items.Preset_Nova_Doom_Doom_Epic", 1)</t>
  </si>
  <si>
    <t>Game.AddToInventory("Items.Preset_Nova_Doom_Doom_Legendary", 1)</t>
  </si>
  <si>
    <t>Game.AddToInventory("Items.Preset_Nova_Doom_Doom", 1)</t>
  </si>
  <si>
    <t>Game.AddToInventory("Items.VHard_50_BodyCool_Weapon11", 1)</t>
  </si>
  <si>
    <t>Dr-12 Quasar</t>
  </si>
  <si>
    <t>Game.AddToInventory("Items.Craftable_Common_Quasar", 1)</t>
  </si>
  <si>
    <t>Game.AddToInventory("Items.Preset_Quasar_Patricia", 1)</t>
  </si>
  <si>
    <t>Game.AddToInventory("Items.Preset_Quasar_Default", 1)</t>
  </si>
  <si>
    <t>Game.AddToInventory("Items.Preset_Quasar_Military", 1)</t>
  </si>
  <si>
    <t>Game.AddToInventory("Items.Preset_Quasar_Neon", 1)</t>
  </si>
  <si>
    <t>Game.AddToInventory("Items.Preset_Quasar_Pimp", 1)</t>
  </si>
  <si>
    <t>Game.AddToInventory("Items.Preset_Quasar_Default_Left_Hand", 1)</t>
  </si>
  <si>
    <t>Game.AddToInventory("Items.Preset_Quasar_Default_Retrofix", 1)</t>
  </si>
  <si>
    <t>Game.AddToInventory("Items.Preset_Quasar_Default_Unbreakable", 1)</t>
  </si>
  <si>
    <t>Game.AddToInventory("Items.Preset_Quasar_Military_Left_Hand", 1)</t>
  </si>
  <si>
    <t>Game.AddToInventory("Items.Preset_Quasar_Military_Retrofix", 1)</t>
  </si>
  <si>
    <t>Game.AddToInventory("Items.Preset_Quasar_Military_Unbreakable", 1)</t>
  </si>
  <si>
    <t>Game.AddToInventory("Items.Preset_Quasar_Neon_Left_Hand", 1)</t>
  </si>
  <si>
    <t>Game.AddToInventory("Items.Preset_Quasar_Neon_Retrofix", 1)</t>
  </si>
  <si>
    <t>Game.AddToInventory("Items.Preset_Quasar_Neon_Unbreakable", 1)</t>
  </si>
  <si>
    <t>Game.AddToInventory("Items.Preset_Quasar_Pimp_Left_Hand", 1)</t>
  </si>
  <si>
    <t>Game.AddToInventory("Items.Preset_Quasar_Pimp_Retrofix", 1)</t>
  </si>
  <si>
    <t>Game.AddToInventory("Items.Preset_Quasar_Pimp_Unbreakable", 1)</t>
  </si>
  <si>
    <t>Game.AddToInventory("Items.Craftable_Uncommon_Quasar", 1)</t>
  </si>
  <si>
    <t>Game.AddToInventory("Items.Craftable_Rare_Quasar", 1)</t>
  </si>
  <si>
    <t>Game.AddToInventory("Items.Craftable_Epic_Quasar", 1)</t>
  </si>
  <si>
    <t>Game.AddToInventory("Items.Proficiency_Craftable_Legendary_Quasar", 1)</t>
  </si>
  <si>
    <t>Game.AddToInventory("Items.Craftable_Legendary_Quasar", 1)</t>
  </si>
  <si>
    <t>Dr5 Nova</t>
  </si>
  <si>
    <t>Game.AddToInventory("Items.Craftable_Common_Nova", 1)</t>
  </si>
  <si>
    <t>Game.AddToInventory("Items.Preset_MQ008_Nova", 1)</t>
  </si>
  <si>
    <t>Game.AddToInventory("Items.Preset_Nova_Q000_Nomad", 1)</t>
  </si>
  <si>
    <t>Game.AddToInventory("Items.Preset_Nova_Default", 1)</t>
  </si>
  <si>
    <t>Game.AddToInventory("Items.Preset_Nova_Military", 1)</t>
  </si>
  <si>
    <t>Game.AddToInventory("Items.Preset_Nova_Neon", 1)</t>
  </si>
  <si>
    <t>Game.AddToInventory("Items.Preset_Nova_Pimp", 1)</t>
  </si>
  <si>
    <t>Game.AddToInventory("Items.Preset_Nova_Scene", 1)</t>
  </si>
  <si>
    <t>Game.AddToInventory("Items.Preset_Nova_Default_Left_Hand", 1)</t>
  </si>
  <si>
    <t>Game.AddToInventory("Items.Preset_Nova_Default_Retrofix", 1)</t>
  </si>
  <si>
    <t>Game.AddToInventory("Items.Preset_Nova_Default_Unbreakable", 1)</t>
  </si>
  <si>
    <t>Game.AddToInventory("Items.Preset_Nova_Military_Left_Hand", 1)</t>
  </si>
  <si>
    <t>Game.AddToInventory("Items.Preset_Nova_Military_Retrofix", 1)</t>
  </si>
  <si>
    <t>Game.AddToInventory("Items.Preset_Nova_Military_Unbreakable", 1)</t>
  </si>
  <si>
    <t>Game.AddToInventory("Items.Preset_Nova_Neon_Left_Hand", 1)</t>
  </si>
  <si>
    <t>Game.AddToInventory("Items.Preset_Nova_Neon_Retrofix", 1)</t>
  </si>
  <si>
    <t>Game.AddToInventory("Items.Preset_Nova_Neon_Unbreakable", 1)</t>
  </si>
  <si>
    <t>Game.AddToInventory("Items.Preset_Nova_Pimp_Left_Hand", 1)</t>
  </si>
  <si>
    <t>Game.AddToInventory("Items.Preset_Nova_Pimp_Retrofix", 1)</t>
  </si>
  <si>
    <t>Game.AddToInventory("Items.Preset_Nova_Pimp_Unbreakable", 1)</t>
  </si>
  <si>
    <t>Game.AddToInventory("Items.Craftable_Uncommon_Nova", 1)</t>
  </si>
  <si>
    <t>Game.AddToInventory("Items.Proficiency_Craftable_Rare_Nova", 1)</t>
  </si>
  <si>
    <t>Game.AddToInventory("Items.Craftable_Rare_Nova", 1)</t>
  </si>
  <si>
    <t>Game.AddToInventory("Items.Craftable_Epic_Nova", 1)</t>
  </si>
  <si>
    <t>Game.AddToInventory("Items.Craftable_Legendary_Nova", 1)</t>
  </si>
  <si>
    <t>Ds1 Pulsar</t>
  </si>
  <si>
    <t>Game.AddToInventory("Items.Craftable_Common_Pulsar", 1)</t>
  </si>
  <si>
    <t>Game.AddToInventory("Items.Preset_Pulsar_Default", 1)</t>
  </si>
  <si>
    <t>Game.AddToInventory("Items.Preset_Pulsar_Military", 1)</t>
  </si>
  <si>
    <t>Game.AddToInventory("Items.Preset_Pulsar_Neon", 1)</t>
  </si>
  <si>
    <t>Game.AddToInventory("Items.Preset_Pulsar_Pimp", 1)</t>
  </si>
  <si>
    <t>Game.AddToInventory("Items.Preset_Pulsar_Default_Unbreakable", 1)</t>
  </si>
  <si>
    <t>Game.AddToInventory("Items.Preset_Pulsar_Military_Crowd", 1)</t>
  </si>
  <si>
    <t>Game.AddToInventory("Items.Preset_Pulsar_Military_Unbreakable", 1)</t>
  </si>
  <si>
    <t>Game.AddToInventory("Items.Preset_Pulsar_Neon_Unbreakable", 1)</t>
  </si>
  <si>
    <t>Game.AddToInventory("Items.Preset_Pulsar_Pimp_Unbreakable", 1)</t>
  </si>
  <si>
    <t>Game.AddToInventory("Items.Craftable_Uncommon_Pulsar", 1)</t>
  </si>
  <si>
    <t>Game.AddToInventory("Items.Proficiency_Craftable_Rare_Pulsar", 1)</t>
  </si>
  <si>
    <t>Game.AddToInventory("Items.Normal_20_Melee_Weapon3", 1)</t>
  </si>
  <si>
    <t>Game.AddToInventory("Items.Craftable_Rare_Pulsar", 1)</t>
  </si>
  <si>
    <t>Game.AddToInventory("Items.Craftable_Epic_Pulsar", 1)</t>
  </si>
  <si>
    <t>Game.AddToInventory("Items.Craftable_Legendary_Pulsar", 1)</t>
  </si>
  <si>
    <t>Dying Night</t>
  </si>
  <si>
    <t>Game.AddToInventory("Items.mq011_wilson_gun", 1)</t>
  </si>
  <si>
    <t>Game.AddToInventory("Items.Preset_Lexington_Wilson_Epic", 1)</t>
  </si>
  <si>
    <t>Game.AddToInventory("Items.Preset_Lexington_Wilson_Rare", 1)</t>
  </si>
  <si>
    <t>Game.AddToInventory("Items.Preset_Lexington_Wilson", 1)</t>
  </si>
  <si>
    <t>Game.AddToInventory("Items.Preset_Q001_Lexington", 1)</t>
  </si>
  <si>
    <t>Game.AddToInventory("Items.Avg_10_Int_Netrunner_Weapon4", 1)</t>
  </si>
  <si>
    <t>Game.AddToInventory("Items.Normal_20_Melee_Weapon5", 1)</t>
  </si>
  <si>
    <t>Game.AddToInventory("Items.Normal_20_Netrunner_Weapon4", 1)</t>
  </si>
  <si>
    <t>Game.AddToInventory("Items.Weak_10_Weapon2", 1)</t>
  </si>
  <si>
    <t>Game.AddToInventory("Items.Weak_30_Weapon2", 1)</t>
  </si>
  <si>
    <t>Game.AddToInventory("Items.VHard_50_TechCool_Weapon5", 1)</t>
  </si>
  <si>
    <t>Game.AddToInventory("Items.Preset_Lexington_Wilson_Legendary", 1)</t>
  </si>
  <si>
    <t>Wilson's Lexington gives you the additional hope of seeing yet another Night City sunrise. Increases damage while moving and guarantees Shock with rapid hits.</t>
  </si>
  <si>
    <t>Electric Baton Alpha</t>
  </si>
  <si>
    <t>Game.AddToInventory("Items.Preset_Baton_Alpha", 1)</t>
  </si>
  <si>
    <t>Game.AddToInventory("Items.w_melee_010__electric_baton", 1)</t>
  </si>
  <si>
    <t>Game.AddToInventory("Items.Craftable_Common_Baton_Alpha", 1)</t>
  </si>
  <si>
    <t>Game.AddToInventory("Items.Preset_Psycho_ma_wat_kab_08_early", 1)</t>
  </si>
  <si>
    <t>Game.AddToInventory("Items.Preset_Psycho_ma_wat_kab_08_end", 1)</t>
  </si>
  <si>
    <t>Game.AddToInventory("Items.Preset_Psycho_ma_wat_kab_08_late", 1)</t>
  </si>
  <si>
    <t>Game.AddToInventory("Items.Preset_Psycho_ma_wat_kab_08_mid", 1)</t>
  </si>
  <si>
    <t>Game.AddToInventory("Items.Preset_Psycho_ma_wat_kab_08", 1)</t>
  </si>
  <si>
    <t>Game.AddToInventory("Items.Preset_Stout_Censored", 1)</t>
  </si>
  <si>
    <t>Game.AddToInventory("Items.Proficiency_Craftable_Uncommon_Baton_Alpha", 1)</t>
  </si>
  <si>
    <t>Game.AddToInventory("Items.Craftable_Uncommon_Baton_Alpha", 1)</t>
  </si>
  <si>
    <t>Game.AddToInventory("Items.Craftable_Rare_Baton_Alpha", 1)</t>
  </si>
  <si>
    <t>Game.AddToInventory("Items.Craftable_Epic_Baton_Alpha", 1)</t>
  </si>
  <si>
    <t>Game.AddToInventory("Items.Craftable_Legendary_Baton_Alpha", 1)</t>
  </si>
  <si>
    <t>Electric Baton Beta</t>
  </si>
  <si>
    <t>Game.AddToInventory("Items.Preset_Baton_Beta", 1)</t>
  </si>
  <si>
    <t>Game.AddToInventory("Items.Craftable_Common_Baton_Beta", 1)</t>
  </si>
  <si>
    <t>Game.AddToInventory("Items.Craftable_Uncommon_Baton_Beta", 1)</t>
  </si>
  <si>
    <t>Game.AddToInventory("Items.Craftable_Rare_Baton_Beta", 1)</t>
  </si>
  <si>
    <t>Game.AddToInventory("Items.Craftable_Epic_Baton_Beta", 1)</t>
  </si>
  <si>
    <t>Game.AddToInventory("Items.Craftable_Legendary_Baton_Beta", 1)</t>
  </si>
  <si>
    <t>Electric Baton Gamma</t>
  </si>
  <si>
    <t>Game.AddToInventory("Items.Preset_Baton_Gamma", 1)</t>
  </si>
  <si>
    <t>Game.AddToInventory("Items.Craftable_Common_Baton_Gamma", 1)</t>
  </si>
  <si>
    <t>Game.AddToInventory("Items.Craftable_Uncommon_Baton_Gamma", 1)</t>
  </si>
  <si>
    <t>Game.AddToInventory("Items.Craftable_Rare_Baton_Gamma", 1)</t>
  </si>
  <si>
    <t>Game.AddToInventory("Items.Craftable_Epic_Baton_Gamma", 1)</t>
  </si>
  <si>
    <t>Game.AddToInventory("Items.Craftable_Legendary_Baton_Gamma", 1)</t>
  </si>
  <si>
    <t>Emp Grenade</t>
  </si>
  <si>
    <t>Game.AddToInventory("Items.GrenadeEMPRegular", 1)</t>
  </si>
  <si>
    <t>Game.AddToInventory("Items.Preset_Grenade_EMP_Default", 1)</t>
  </si>
  <si>
    <t>Tier 1 +</t>
  </si>
  <si>
    <t>Game.AddToInventory("Items.GrenadeEMPCommonPlus", 1)</t>
  </si>
  <si>
    <t>Game.AddToInventory("Items.GrenadeEMPUncommon", 1)</t>
  </si>
  <si>
    <t>Game.AddToInventory("Items.GrenadeEMPUncommonPlus", 1)</t>
  </si>
  <si>
    <t>Game.AddToInventory("Items.GrenadeEMPRare", 1)</t>
  </si>
  <si>
    <t>Game.AddToInventory("Items.GrenadeEMPRarePlus", 1)</t>
  </si>
  <si>
    <t>Game.AddToInventory("Items.GrenadeEMPSticky", 1)</t>
  </si>
  <si>
    <t>Game.AddToInventory("Items.GrenadeEMPEpicPlus", 1)</t>
  </si>
  <si>
    <t>Game.AddToInventory("Items.GrenadeEMPLegendary", 1)</t>
  </si>
  <si>
    <t>Game.AddToInventory("Items.GrenadeEMPLegendaryPlus", 1)</t>
  </si>
  <si>
    <t>Erebus</t>
  </si>
  <si>
    <t>Game.AddToInventory("Items.Preset_Borg4a_HauntedGun", 1)</t>
  </si>
  <si>
    <t>Game.AddToInventory("Items.Common_Borg4a_HauntedGun", 1)</t>
  </si>
  <si>
    <t>Game.AddToInventory("Items.Uncommon_Borg4a_HauntedGun", 1)</t>
  </si>
  <si>
    <t>Game.AddToInventory("Items.Rare_Borg4a_HauntedGun", 1)</t>
  </si>
  <si>
    <t>Game.AddToInventory("Items.Epic_Borg4a_HauntedGun", 1)</t>
  </si>
  <si>
    <t>Game.AddToInventory("Items.Legendary_Borg4a_HauntedGun", 1)</t>
  </si>
  <si>
    <t>Game.AddToInventory("Items.VHard_50_IntRef_Weapon6", 1)</t>
  </si>
  <si>
    <t>Errata</t>
  </si>
  <si>
    <t>Game.AddToInventory("Items.Hard_20_Reflex_Weapon3", 1)</t>
  </si>
  <si>
    <t>Game.AddToInventory("Items.VHard_50_CoolRef_Weapon10", 1)</t>
  </si>
  <si>
    <t>Game.AddToInventory("Items.VHard_50_RefTech_Weapon5", 1)</t>
  </si>
  <si>
    <t>Game.AddToInventory("Items.Preset_Katana_E3", 1)</t>
  </si>
  <si>
    <t>Allows you to leap toward enemies. Attacking Burning enemies guarantees Crit Damage.</t>
  </si>
  <si>
    <t>F-Gx Frag Grenade</t>
  </si>
  <si>
    <t>Game.AddToInventory("Items.GrenadeFragRegular", 1)</t>
  </si>
  <si>
    <t>Game.AddToInventory("Items.Preset_Grenade_Frag_Default", 1)</t>
  </si>
  <si>
    <t>Game.AddToInventory("Items.GrenadeFragCommonPlus", 1)</t>
  </si>
  <si>
    <t>Game.AddToInventory("Items.GrenadeFragUncommon", 1)</t>
  </si>
  <si>
    <t>Game.AddToInventory("Items.GrenadeFragUncommonPlus", 1)</t>
  </si>
  <si>
    <t>Game.AddToInventory("Items.GrenadeFragSticky", 1)</t>
  </si>
  <si>
    <t>Game.AddToInventory("Items.GrenadeFragRarePlus", 1)</t>
  </si>
  <si>
    <t>Game.AddToInventory("Items.GrenadeFragEpic", 1)</t>
  </si>
  <si>
    <t>Game.AddToInventory("Items.GrenadeFragEpicPlus", 1)</t>
  </si>
  <si>
    <t>Game.AddToInventory("Items.GrenadeFragLegendary", 1)</t>
  </si>
  <si>
    <t>Game.AddToInventory("Items.GrenadeFragLegendaryPlus", 1)</t>
  </si>
  <si>
    <t>Fang</t>
  </si>
  <si>
    <t>Game.AddToInventory("Items.Preset_Knife_Kurtz_1", 1)</t>
  </si>
  <si>
    <t>Game.AddToInventory("Items.VHard_50_BodyCool_Weapon2", 1)</t>
  </si>
  <si>
    <t>Fenrir</t>
  </si>
  <si>
    <t>Game.AddToInventory("Items.Preset_Saratoga_Maelstrom_Epic", 1)</t>
  </si>
  <si>
    <t>Game.AddToInventory("Items.Preset_Saratoga_Maelstrom_Legendary", 1)</t>
  </si>
  <si>
    <t>Game.AddToInventory("Items.Preset_Saratoga_Maelstrom", 1)</t>
  </si>
  <si>
    <t>Game.AddToInventory("Items.VHard_50_IntTech_Weapon5", 1)</t>
  </si>
  <si>
    <t>Foxhound</t>
  </si>
  <si>
    <t>Game.AddToInventory("Items.Preset_Nekomata_Amazon", 1)</t>
  </si>
  <si>
    <t>G-58 Dian</t>
  </si>
  <si>
    <t>Game.AddToInventory("Items.Preset_Dian_Trauma", 1)</t>
  </si>
  <si>
    <t>Game.AddToInventory("Items.Preset_Dian_Default", 1)</t>
  </si>
  <si>
    <t>Game.AddToInventory("Items.Preset_Dian_Military", 1)</t>
  </si>
  <si>
    <t>Game.AddToInventory("Items.Preset_Dian_Neon", 1)</t>
  </si>
  <si>
    <t>Game.AddToInventory("Items.Preset_Dian_Pimp", 1)</t>
  </si>
  <si>
    <t>Game.AddToInventory("Items.Preset_Dian_Default_Unbreakable", 1)</t>
  </si>
  <si>
    <t>Game.AddToInventory("Items.Preset_Dian_Military_Unbreakable", 1)</t>
  </si>
  <si>
    <t>Game.AddToInventory("Items.Preset_Dian_Neon_Unbreakable", 1)</t>
  </si>
  <si>
    <t>Game.AddToInventory("Items.Preset_Dian_Pimp_Unbreakable", 1)</t>
  </si>
  <si>
    <t>Game.AddToInventory("Items.Craftable_Common_Dian", 1)</t>
  </si>
  <si>
    <t>Game.AddToInventory("Items.Craftable_Uncommon_Dian", 1)</t>
  </si>
  <si>
    <t>Game.AddToInventory("Items.Craftable_Rare_Dian", 1)</t>
  </si>
  <si>
    <t>Game.AddToInventory("Items.Craftable_Epic_Dian", 1)</t>
  </si>
  <si>
    <t>Game.AddToInventory("Items.Craftable_Legendary_Dian", 1)</t>
  </si>
  <si>
    <t>Game.AddToInventory("Items.VHard_50_IntTech_Weapon1", 1)</t>
  </si>
  <si>
    <t>Gash Antipersonnel Grenade</t>
  </si>
  <si>
    <t>Game.AddToInventory("Items.GrenadeCuttingRegular", 1)</t>
  </si>
  <si>
    <t>Game.AddToInventory("Items.CuttingGrenadeLegendaryPlus", 1)</t>
  </si>
  <si>
    <t>Genjiroh</t>
  </si>
  <si>
    <t>Game.AddToInventory("Items.Preset_Yukimura_Kiji_Legendary", 1)</t>
  </si>
  <si>
    <t>Game.AddToInventory("Items.Preset_Yukimura_Kiji", 1)</t>
  </si>
  <si>
    <t>Game.AddToInventory("Items.Hard_30_IntBody_Weapon4", 1)</t>
  </si>
  <si>
    <t>Gold Plated Baseball Bat</t>
  </si>
  <si>
    <t>Game.AddToInventory("Items.Preset_Baseball_Bat_Denny_Epic", 1)</t>
  </si>
  <si>
    <t>Game.AddToInventory("Items.Preset_Baseball_Bat_Denny_Legendary", 1)</t>
  </si>
  <si>
    <t>Game.AddToInventory("Items.Preset_Baseball_Bat_Denny", 1)</t>
  </si>
  <si>
    <t>Gris-Gris</t>
  </si>
  <si>
    <t>Game.AddToInventory("Items.Preset_Quasar_Baron", 1)</t>
  </si>
  <si>
    <t>Game.AddToInventory("Items.VHard_50_IntTech_Weapon2", 1)</t>
  </si>
  <si>
    <t>Guillotine</t>
  </si>
  <si>
    <t>Game.AddToInventory("Items.Preset_Guillotine_Default", 1)</t>
  </si>
  <si>
    <t>Game.AddToInventory("Items.Preset_Guillotine_Military", 1)</t>
  </si>
  <si>
    <t>Game.AddToInventory("Items.Preset_Guillotine_Neon", 1)</t>
  </si>
  <si>
    <t>Game.AddToInventory("Items.Preset_Guillotine_Pimp", 1)</t>
  </si>
  <si>
    <t>Game.AddToInventory("Items.Preset_Guillotine_Legendary", 1)</t>
  </si>
  <si>
    <t>Game.AddToInventory("Items.Preset_Guillotine_Default_Unbreakable", 1)</t>
  </si>
  <si>
    <t>Game.AddToInventory("Items.Preset_Guillotine_Military_Unbreakable", 1)</t>
  </si>
  <si>
    <t>Game.AddToInventory("Items.Preset_Guillotine_Neon_Unbreakable", 1)</t>
  </si>
  <si>
    <t>Game.AddToInventory("Items.Preset_Guillotine_Pimp_Unbreakable", 1)</t>
  </si>
  <si>
    <t>Game.AddToInventory("Items.Craftable_Common_Guillotine", 1)</t>
  </si>
  <si>
    <t>Game.AddToInventory("Items.Craftable_Uncommon_Guillotine", 1)</t>
  </si>
  <si>
    <t>Game.AddToInventory("Items.Craftable_Rare_Guillotine", 1)</t>
  </si>
  <si>
    <t>Game.AddToInventory("Items.Craftable_Epic_Guillotine", 1)</t>
  </si>
  <si>
    <t>Game.AddToInventory("Items.Hard_30_Reflex_Weapon1", 1)</t>
  </si>
  <si>
    <t>Game.AddToInventory("Items.Craftable_Legendary_Guillotine", 1)</t>
  </si>
  <si>
    <t>Guillotine X-Mod2</t>
  </si>
  <si>
    <t>Game.AddToInventory("Items.Preset_Guillotine_Collectible", 1)</t>
  </si>
  <si>
    <t>Guts</t>
  </si>
  <si>
    <t>Game.AddToInventory("Items.VHard_50_RefBody_Weapon5", 1)</t>
  </si>
  <si>
    <t>Guts (Carnage)</t>
  </si>
  <si>
    <t>Game.AddToInventory("Items.Preset_Carnage_Edgerunners_Legendary", 1)</t>
  </si>
  <si>
    <t>Game.AddToInventory("Items.Preset_Carnage_Edgerunners", 1)</t>
  </si>
  <si>
    <t>Blade - Sword</t>
  </si>
  <si>
    <t>Gwynbleidd</t>
  </si>
  <si>
    <t>Game.AddToInventory("Items.Preset_Sword_Witcher", 1)</t>
  </si>
  <si>
    <t>Game.AddToInventory("Items.Hard_30_Reflex_Weapon3", 1)</t>
  </si>
  <si>
    <t>Ha-4 Grit</t>
  </si>
  <si>
    <t>Game.AddToInventory("Items.Preset_Grit_Krausser", 1)</t>
  </si>
  <si>
    <t>Game.AddToInventory("Items.Preset_Grit_Legendary", 1)</t>
  </si>
  <si>
    <t>Game.AddToInventory("Items.Preset_Grit_Prevention", 1)</t>
  </si>
  <si>
    <t>Game.AddToInventory("Items.Preset_Grit_Default", 1)</t>
  </si>
  <si>
    <t>Game.AddToInventory("Items.Preset_Grit_Military", 1)</t>
  </si>
  <si>
    <t>Game.AddToInventory("Items.Preset_Grit_Neon", 1)</t>
  </si>
  <si>
    <t>Game.AddToInventory("Items.Preset_Grit_Pimp", 1)</t>
  </si>
  <si>
    <t>Game.AddToInventory("Items.Craftable_Common_Grit", 1)</t>
  </si>
  <si>
    <t>Game.AddToInventory("Items.Craftable_Uncommon_Grit", 1)</t>
  </si>
  <si>
    <t>Game.AddToInventory("Items.Craftable_Rare_Grit", 1)</t>
  </si>
  <si>
    <t>Game.AddToInventory("Items.Craftable_Epic_Grit", 1)</t>
  </si>
  <si>
    <t>Game.AddToInventory("Items.Craftable_Legendary_Grit", 1)</t>
  </si>
  <si>
    <t>Hammer</t>
  </si>
  <si>
    <t>Game.AddToInventory("Items.Preset_Hammer_Default", 1)</t>
  </si>
  <si>
    <t>Game.AddToInventory("Items.Craftable_Common_Hammer", 1)</t>
  </si>
  <si>
    <t>Game.AddToInventory("Items.w_melee_hammer2h", 1)</t>
  </si>
  <si>
    <t>Game.AddToInventory("Items.Craftable_Uncommon_Hammer", 1)</t>
  </si>
  <si>
    <t>Game.AddToInventory("Items.Craftable_Rare_Hammer", 1)</t>
  </si>
  <si>
    <t>Game.AddToInventory("Items.Hard_20_Body_Weapon2", 1)</t>
  </si>
  <si>
    <t>Game.AddToInventory("Items.Craftable_Epic_Hammer", 1)</t>
  </si>
  <si>
    <t>Game.AddToInventory("Items.Craftable_Legendary_Hammer", 1)</t>
  </si>
  <si>
    <t>Hawk</t>
  </si>
  <si>
    <t>Game.AddToInventory("Items.Preset_Kyubi_Myers", 1)</t>
  </si>
  <si>
    <t>Game.AddToInventory("Items.VHard_50_RefBody_Weapon3", 1)</t>
  </si>
  <si>
    <t>Headhunter (Punknife)</t>
  </si>
  <si>
    <t>Game.AddToInventory("Items.Preset_Punk_Knife_Iconic_Epic", 1)</t>
  </si>
  <si>
    <t>Game.AddToInventory("Items.Preset_Punk_Knife_Iconic", 1)</t>
  </si>
  <si>
    <t>Game.AddToInventory("Items.Preset_Punk_Knife_Iconic_Legendary", 1)</t>
  </si>
  <si>
    <t>Marks an enemy on hit. Attacking the enemy's head with any weapon deals 250% damage, returns the Headhunter and clears the mark.</t>
  </si>
  <si>
    <t>Her Majesty</t>
  </si>
  <si>
    <t>Game.AddToInventory("Items.Preset_Unity_Agent", 1)</t>
  </si>
  <si>
    <t>Game.AddToInventory("Items.VHard_50_CoolRef_Weapon1", 1)</t>
  </si>
  <si>
    <t>Hercules 3ax</t>
  </si>
  <si>
    <t>Game.AddToInventory("Items.Preset_Hercules_Prototype", 1)</t>
  </si>
  <si>
    <t>Game.AddToInventory("Items.Preset_Hercules_Default", 1)</t>
  </si>
  <si>
    <t>Game.AddToInventory("Items.VHard_50_IntRef_Weapon4", 1)</t>
  </si>
  <si>
    <t>Game.AddToInventory("Items.VHard_50_IntTech_Weapon10", 1)</t>
  </si>
  <si>
    <t>Hjke-11 Yukimura</t>
  </si>
  <si>
    <t>Game.AddToInventory("Items.Craftable_Common_Yukimura", 1)</t>
  </si>
  <si>
    <t>Game.AddToInventory("Items.Preset_Yukimura_Legendary", 1)</t>
  </si>
  <si>
    <t>Game.AddToInventory("Items.Preset_Yukimura_Default", 1)</t>
  </si>
  <si>
    <t>Game.AddToInventory("Items.Preset_Yukimura_Military", 1)</t>
  </si>
  <si>
    <t>Game.AddToInventory("Items.Preset_Yukimura_Neon", 1)</t>
  </si>
  <si>
    <t>Game.AddToInventory("Items.Preset_Yukimura_Pimp", 1)</t>
  </si>
  <si>
    <t>Game.AddToInventory("Items.Preset_Yukimura_Trauma_Left_Hand", 1)</t>
  </si>
  <si>
    <t>Game.AddToInventory("Items.Preset_Yukimura_Trauma", 1)</t>
  </si>
  <si>
    <t>Game.AddToInventory("Items.Preset_Yukimura_Default_Left_Hand", 1)</t>
  </si>
  <si>
    <t>Game.AddToInventory("Items.Preset_Yukimura_Default_Retrofix", 1)</t>
  </si>
  <si>
    <t>Game.AddToInventory("Items.Preset_Yukimura_Military_Left_Hand", 1)</t>
  </si>
  <si>
    <t>Game.AddToInventory("Items.Preset_Yukimura_Military_Retrofix", 1)</t>
  </si>
  <si>
    <t>Game.AddToInventory("Items.Preset_Yukimura_Military_Unbreakable", 1)</t>
  </si>
  <si>
    <t>Game.AddToInventory("Items.Preset_Yukimura_Neon_Left_Hand", 1)</t>
  </si>
  <si>
    <t>Game.AddToInventory("Items.Preset_Yukimura_Neon_Retrofix", 1)</t>
  </si>
  <si>
    <t>Game.AddToInventory("Items.Preset_Yukimura_Pimp_Left_Hand", 1)</t>
  </si>
  <si>
    <t>Game.AddToInventory("Items.Preset_Yukimura_Pimp_Retrofix", 1)</t>
  </si>
  <si>
    <t>Game.AddToInventory("Items.Craftable_Uncommon_Yukimura", 1)</t>
  </si>
  <si>
    <t>Game.AddToInventory("Items.Craftable_Rare_Yukimura", 1)</t>
  </si>
  <si>
    <t>Game.AddToInventory("Items.Proficiency_Craftable_Epic_Yukimura", 1)</t>
  </si>
  <si>
    <t>Game.AddToInventory("Items.Craftable_Epic_Yukimura", 1)</t>
  </si>
  <si>
    <t>Game.AddToInventory("Items.Craftable_Legendary_Yukimura", 1)</t>
  </si>
  <si>
    <t>Hjsh-18 Masamune</t>
  </si>
  <si>
    <t>Game.AddToInventory("Items.Preset_Base_Masamune", 1)</t>
  </si>
  <si>
    <t>Game.AddToInventory("Items.Craftable_Common_Masamune", 1)</t>
  </si>
  <si>
    <t>Game.AddToInventory("Items.Preset_Masamune_Trauma", 1)</t>
  </si>
  <si>
    <t>Game.AddToInventory("Items.Preset_Masamune_Default", 1)</t>
  </si>
  <si>
    <t>Game.AddToInventory("Items.Preset_Masamune_Military", 1)</t>
  </si>
  <si>
    <t>Game.AddToInventory("Items.Preset_Masamune_Neon", 1)</t>
  </si>
  <si>
    <t>Game.AddToInventory("Items.Preset_Masamune_Pimp", 1)</t>
  </si>
  <si>
    <t>Game.AddToInventory("Items.Preset_Masamune_Flashlight", 1)</t>
  </si>
  <si>
    <t>With Flashlight</t>
  </si>
  <si>
    <t>Game.AddToInventory("Items.Preset_Masamune_Flashlight_Shadows", 1)</t>
  </si>
  <si>
    <t>Game.AddToInventory("Items.Preset_Masamune_Military_Unbreakable", 1)</t>
  </si>
  <si>
    <t>Game.AddToInventory("Items.Craftable_Uncommon_Masamune", 1)</t>
  </si>
  <si>
    <t>Game.AddToInventory("Items.Craftable_Rare_Masamune", 1)</t>
  </si>
  <si>
    <t>Game.AddToInventory("Items.Craftable_Epic_Masamune", 1)</t>
  </si>
  <si>
    <t>Game.AddToInventory("Items.Craftable_Legendary_Masamune", 1)</t>
  </si>
  <si>
    <t>Power Precision Rifle</t>
  </si>
  <si>
    <t>Hypercritical</t>
  </si>
  <si>
    <t>Game.AddToInventory("Items.Preset_Kolac_Tiny_Mike_Legendary", 1)</t>
  </si>
  <si>
    <t>Game.AddToInventory("Items.Preset_Kolac_Tiny_Mike", 1)</t>
  </si>
  <si>
    <t>Game.AddToInventory("Items.VHard_50_BodyCool_Weapon12", 1)</t>
  </si>
  <si>
    <t>Jinchu-Maru</t>
  </si>
  <si>
    <t>Game.AddToInventory("Items.Preset_Katana_Takemura", 1)</t>
  </si>
  <si>
    <t>Game.AddToInventory("Items.VHard_50_CoolRef_Weapon2", 1)</t>
  </si>
  <si>
    <t>Game.AddToInventory("Items.Preset_Katana_Takemura_Legendary", 1)</t>
  </si>
  <si>
    <t>Gains 100% Crit Chance while Kerenzikov is active. Last Strike in a combo deals double damage. Doubles damage against enemies with twice your current health.</t>
  </si>
  <si>
    <t>Jke-X2 Kenshin</t>
  </si>
  <si>
    <t>Game.AddToInventory("Items.Preset_Kenshin_MQ041", 1)</t>
  </si>
  <si>
    <t>Game.AddToInventory("Items.Preset_Kenshin_Takemura", 1)</t>
  </si>
  <si>
    <t>Game.AddToInventory("Items.Preset_Kenshin_Default", 1)</t>
  </si>
  <si>
    <t>Game.AddToInventory("Items.Preset_Kenshin_Military", 1)</t>
  </si>
  <si>
    <t>Game.AddToInventory("Items.Preset_Kenshin_Neon", 1)</t>
  </si>
  <si>
    <t>Game.AddToInventory("Items.Preset_Kenshin_Pimp", 1)</t>
  </si>
  <si>
    <t>Game.AddToInventory("Items.Preset_Kenshin_Default_Retrofix", 1)</t>
  </si>
  <si>
    <t>Game.AddToInventory("Items.Preset_Kenshin_Military_Retrofix", 1)</t>
  </si>
  <si>
    <t>Game.AddToInventory("Items.Preset_Kenshin_Military_Unbreakable", 1)</t>
  </si>
  <si>
    <t>Game.AddToInventory("Items.Preset_Kenshin_Neon_Retrofix", 1)</t>
  </si>
  <si>
    <t>Game.AddToInventory("Items.Preset_Kenshin_Pimp_Retrofix", 1)</t>
  </si>
  <si>
    <t>Game.AddToInventory("Items.Craftable_Common_Kenshin", 1)</t>
  </si>
  <si>
    <t>Game.AddToInventory("Items.q101_takemura_chase_kenshin", 1)</t>
  </si>
  <si>
    <t>Game.AddToInventory("Items.Preset_Kenshin_Default_Left_Hand", 1)</t>
  </si>
  <si>
    <t>Game.AddToInventory("Items.Preset_Kenshin_Military_Left_Hand", 1)</t>
  </si>
  <si>
    <t>Game.AddToInventory("Items.Preset_Kenshin_Neon_Left_Hand", 1)</t>
  </si>
  <si>
    <t>Game.AddToInventory("Items.Preset_Kenshin_Pimp_Left_Hand", 1)</t>
  </si>
  <si>
    <t>Game.AddToInventory("Items.Craftable_Uncommon_Kenshin", 1)</t>
  </si>
  <si>
    <t>Game.AddToInventory("Items.Craftable_Rare_Kenshin", 1)</t>
  </si>
  <si>
    <t>Game.AddToInventory("Items.Craftable_Epic_Kenshin", 1)</t>
  </si>
  <si>
    <t>Game.AddToInventory("Items.Craftable_Legendary_Kenshin", 1)</t>
  </si>
  <si>
    <t>Kanabo</t>
  </si>
  <si>
    <t>Game.AddToInventory("Items.Preset_Kanabo_Default", 1)</t>
  </si>
  <si>
    <t>Game.AddToInventory("Items.Craftable_Common_Kanabo", 1)</t>
  </si>
  <si>
    <t>Game.AddToInventory("Items.Craftable_Uncommon_Kanabo", 1)</t>
  </si>
  <si>
    <t>Game.AddToInventory("Items.Craftable_Rare_Kanabo", 1)</t>
  </si>
  <si>
    <t>Game.AddToInventory("Items.Craftable_Epic_Kanabo", 1)</t>
  </si>
  <si>
    <t>Game.AddToInventory("Items.Craftable_Legendary_Kanabo", 1)</t>
  </si>
  <si>
    <t>Kappa</t>
  </si>
  <si>
    <t>Game.AddToInventory("Items.Preset_Kappa_Default", 1)</t>
  </si>
  <si>
    <t>Game.AddToInventory("Items.Preset_Kappa_Military", 1)</t>
  </si>
  <si>
    <t>Game.AddToInventory("Items.Preset_Kappa_Neon", 1)</t>
  </si>
  <si>
    <t>Game.AddToInventory("Items.Preset_Kappa_Pimp", 1)</t>
  </si>
  <si>
    <t>Game.AddToInventory("Items.Preset_Kappa_Workspot", 1)</t>
  </si>
  <si>
    <t>Game.AddToInventory("Items.Preset_Kappa_Default_Retrofix", 1)</t>
  </si>
  <si>
    <t>Game.AddToInventory("Items.Preset_Kappa_Military_Retrofix", 1)</t>
  </si>
  <si>
    <t>Game.AddToInventory("Items.Preset_Kappa_Military_Unbreakable", 1)</t>
  </si>
  <si>
    <t>Game.AddToInventory("Items.Preset_Kappa_Neon_Retrofix", 1)</t>
  </si>
  <si>
    <t>Game.AddToInventory("Items.Preset_Kappa_Pimp_Retrofix", 1)</t>
  </si>
  <si>
    <t>Game.AddToInventory("Items.Craftable_Common_Kappa", 1)</t>
  </si>
  <si>
    <t>Game.AddToInventory("Items.Preset_Kappa_Military_Left_Hand", 1)</t>
  </si>
  <si>
    <t>Game.AddToInventory("Items.Preset_Kappa_Neon_Left_Hand", 1)</t>
  </si>
  <si>
    <t>Game.AddToInventory("Items.Preset_Kappa_Pimp_Left_Hand", 1)</t>
  </si>
  <si>
    <t>Game.AddToInventory("Items.Craftable_Uncommon_Kappa", 1)</t>
  </si>
  <si>
    <t>Game.AddToInventory("Items.Craftable_Rare_Kappa", 1)</t>
  </si>
  <si>
    <t>Game.AddToInventory("Items.Craftable_Epic_Kappa", 1)</t>
  </si>
  <si>
    <t>Game.AddToInventory("Items.Craftable_Legendary_Kappa", 1)</t>
  </si>
  <si>
    <t>Kappa X-Mod2</t>
  </si>
  <si>
    <t>Game.AddToInventory("Items.Preset_Kappa_Legendary", 1)</t>
  </si>
  <si>
    <t>Katana</t>
  </si>
  <si>
    <t>Game.AddToInventory("Items.Preset_Katana_Arasaka_2020", 1)</t>
  </si>
  <si>
    <t>Game.AddToInventory("Items.Preset_Katana_Training", 1)</t>
  </si>
  <si>
    <t>Game.AddToInventory("Items.Preset_Katana_Default", 1)</t>
  </si>
  <si>
    <t>Game.AddToInventory("Items.Preset_Katana_Military", 1)</t>
  </si>
  <si>
    <t>Game.AddToInventory("Items.Preset_Katana_Neon", 1)</t>
  </si>
  <si>
    <t>Game.AddToInventory("Items.Arasaka3DEnemyKatana", 1)</t>
  </si>
  <si>
    <t>Game.AddToInventory("Items.Preset_Katana_Arasaka_2077", 1)</t>
  </si>
  <si>
    <t>Game.AddToInventory("Items.Preset_Katana_Neon_03", 1)</t>
  </si>
  <si>
    <t>Game.AddToInventory("Items.Preset_Katana_Pimp_03", 1)</t>
  </si>
  <si>
    <t>Game.AddToInventory("Items.Preset_Katana_Pimp", 1)</t>
  </si>
  <si>
    <t>Game.AddToInventory("Items.q115_katana", 1)</t>
  </si>
  <si>
    <t>Game.AddToInventory("Items.Preset_Psycho_ma_cct_dtn_07", 1)</t>
  </si>
  <si>
    <t>Game.AddToInventory("Items.Craftable_Common_Katana", 1)</t>
  </si>
  <si>
    <t>Game.AddToInventory("Items.Preset_Psycho_ma_cct_dtn_07_early", 1)</t>
  </si>
  <si>
    <t>Game.AddToInventory("Items.Preset_Psycho_ma_cct_dtn_07_end", 1)</t>
  </si>
  <si>
    <t>Game.AddToInventory("Items.Preset_Psycho_ma_cct_dtn_07_late", 1)</t>
  </si>
  <si>
    <t>Game.AddToInventory("Items.Preset_Psycho_ma_cct_dtn_07_mid", 1)</t>
  </si>
  <si>
    <t>Game.AddToInventory("Items.Craftable_Common_Katana_Military", 1)</t>
  </si>
  <si>
    <t>Game.AddToInventory("Items.Craftable_Uncommon_Katana", 1)</t>
  </si>
  <si>
    <t>Game.AddToInventory("Items.Craftable_Uncommon_Katana_Military", 1)</t>
  </si>
  <si>
    <t>Game.AddToInventory("Items.Craftable_Rare_Katana", 1)</t>
  </si>
  <si>
    <t>Game.AddToInventory("Items.Craftable_Rare_Katana_Military_1", 1)</t>
  </si>
  <si>
    <t>Game.AddToInventory("Items.Craftable_Epic_Katana", 1)</t>
  </si>
  <si>
    <t>Game.AddToInventory("Items.Craftable_Epic_Katana_Military", 1)</t>
  </si>
  <si>
    <t>Game.AddToInventory("Items.Proficiency_Craftable_Legendary_Katana", 1)</t>
  </si>
  <si>
    <t>Game.AddToInventory("Items.Craftable_Legendary_Katana_Military", 1)</t>
  </si>
  <si>
    <t>Game.AddToInventory("Items.Craftable_Legendary_Katana", 1)</t>
  </si>
  <si>
    <t>Game.AddToInventory("Items.VHard_50_RefTech_Weapon1", 1)</t>
  </si>
  <si>
    <t>Knife</t>
  </si>
  <si>
    <t>Game.AddToInventory("Items.Preset_Butchers_Knife_Default", 1)</t>
  </si>
  <si>
    <t>Game.AddToInventory("Items.Preset_Knife_Default", 1)</t>
  </si>
  <si>
    <t>Game.AddToInventory("Items.Preset_Knife_Military", 1)</t>
  </si>
  <si>
    <t>Game.AddToInventory("Items.Craftable_Common_Butchers_Knife", 1)</t>
  </si>
  <si>
    <t>Game.AddToInventory("Items.Craftable_Common_Knife", 1)</t>
  </si>
  <si>
    <t>Game.AddToInventory("Items.Craftable_Uncommon_Butchers_Knife", 1)</t>
  </si>
  <si>
    <t>Game.AddToInventory("Items.Craftable_Uncommon_Knife", 1)</t>
  </si>
  <si>
    <t>Game.AddToInventory("Items.Craftable_Rare_Butchers_Knife", 1)</t>
  </si>
  <si>
    <t>Game.AddToInventory("Items.Proficiency_Craftable_Rare_Knife", 1)</t>
  </si>
  <si>
    <t>Game.AddToInventory("Items.Craftable_Rare_Knife", 1)</t>
  </si>
  <si>
    <t>Game.AddToInventory("Items.Craftable_Epic_Butchers_Knife", 1)</t>
  </si>
  <si>
    <t>Game.AddToInventory("Items.Craftable_Epic_Knife", 1)</t>
  </si>
  <si>
    <t>Game.AddToInventory("Items.Craftable_Legendary_Butchers_Knife", 1)</t>
  </si>
  <si>
    <t>Game.AddToInventory("Items.Craftable_Legendary_Knife", 1)</t>
  </si>
  <si>
    <t>Kolac</t>
  </si>
  <si>
    <t>Game.AddToInventory("Items.Preset_Kolac_Default", 1)</t>
  </si>
  <si>
    <t>Kongou</t>
  </si>
  <si>
    <t>Game.AddToInventory("Items.Preset_Liberty_Yorinobu_Epic", 1)</t>
  </si>
  <si>
    <t>Game.AddToInventory("Items.Preset_Liberty_Yorinobu_Legendary", 1)</t>
  </si>
  <si>
    <t>Game.AddToInventory("Items.Preset_Liberty_Yorinobu", 1)</t>
  </si>
  <si>
    <t>Game.AddToInventory("Items.Weak_20_Cool_Weapon1", 1)</t>
  </si>
  <si>
    <t>Blade - Machete</t>
  </si>
  <si>
    <t>Kukri</t>
  </si>
  <si>
    <t>Game.AddToInventory("Items.Craftable_Common_Kukri", 1)</t>
  </si>
  <si>
    <t>Game.AddToInventory("Items.Preset_Kukri_Voodoo", 1)</t>
  </si>
  <si>
    <t>Game.AddToInventory("Items.Preset_Kukri_Default", 1)</t>
  </si>
  <si>
    <t>Game.AddToInventory("Items.Craftable_Uncommon_Kukri", 1)</t>
  </si>
  <si>
    <t>Game.AddToInventory("Items.Craftable_Rare_Kukri", 1)</t>
  </si>
  <si>
    <t>Game.AddToInventory("Items.Craftable_Epic_Kukri", 1)</t>
  </si>
  <si>
    <t>Game.AddToInventory("Items.Craftable_Legendary_Kukri", 1)</t>
  </si>
  <si>
    <t>Kyubi</t>
  </si>
  <si>
    <t>Game.AddToInventory("Items.Craftable_Common_Kyubi", 1)</t>
  </si>
  <si>
    <t>Game.AddToInventory("Items.Preset_Kyubi_Default", 1)</t>
  </si>
  <si>
    <t>Game.AddToInventory("Items.Preset_Kyubi_Military", 1)</t>
  </si>
  <si>
    <t>Game.AddToInventory("Items.Preset_Kyubi_Neon", 1)</t>
  </si>
  <si>
    <t>Game.AddToInventory("Items.Preset_Kyubi_Pimp", 1)</t>
  </si>
  <si>
    <t>Game.AddToInventory("Items.Preset_Kyubi_Krausser", 1)</t>
  </si>
  <si>
    <t>Game.AddToInventory("Items.Preset_Kyubi_Nusa", 1)</t>
  </si>
  <si>
    <t>Game.AddToInventory("Items.Preset_Kyubi_Prevention", 1)</t>
  </si>
  <si>
    <t>Game.AddToInventory("Items.Preset_Kyubi_Military_Unbreakable", 1)</t>
  </si>
  <si>
    <t>Game.AddToInventory("Items.Craftable_Uncommon_Kyubi", 1)</t>
  </si>
  <si>
    <t>Game.AddToInventory("Items.Craftable_Rare_Kyubi", 1)</t>
  </si>
  <si>
    <t>Game.AddToInventory("Items.Craftable_Epic_Kyubi", 1)</t>
  </si>
  <si>
    <t>Game.AddToInventory("Items.Craftable_Legendary_Kyubi", 1)</t>
  </si>
  <si>
    <t>Kyubi X-Mod2</t>
  </si>
  <si>
    <t>Game.AddToInventory("Items.Preset_Kyubi_Legendary", 1)</t>
  </si>
  <si>
    <t>L-69 Zhuo</t>
  </si>
  <si>
    <t>Game.AddToInventory("Items.Craftable_Common_Zhuo", 1)</t>
  </si>
  <si>
    <t>Game.AddToInventory("Items.Preset_Zhuo_Trauma", 1)</t>
  </si>
  <si>
    <t>Game.AddToInventory("Items.Preset_Zhuo_Default", 1)</t>
  </si>
  <si>
    <t>Game.AddToInventory("Items.Preset_Zhuo_Military", 1)</t>
  </si>
  <si>
    <t>Game.AddToInventory("Items.Preset_Zhuo_Neon", 1)</t>
  </si>
  <si>
    <t>Game.AddToInventory("Items.Preset_Zhuo_Pimp", 1)</t>
  </si>
  <si>
    <t>Game.AddToInventory("Items.Craftable_Uncommon_Zhuo", 1)</t>
  </si>
  <si>
    <t>Game.AddToInventory("Items.Craftable_Rare_Zhuo", 1)</t>
  </si>
  <si>
    <t>Game.AddToInventory("Items.Craftable_Epic_Zhuo", 1)</t>
  </si>
  <si>
    <t>Game.AddToInventory("Items.Hard_30_IntBody_Weapon_3", 1)</t>
  </si>
  <si>
    <t>Game.AddToInventory("Items.Craftable_Legendary_Zhuo", 1)</t>
  </si>
  <si>
    <t>La Chingona Dorada</t>
  </si>
  <si>
    <t>Game.AddToInventory("Items.Preset_Nue_Jackie_Epic", 1)</t>
  </si>
  <si>
    <t>Game.AddToInventory("Items.Preset_Nue_Jackie", 1)</t>
  </si>
  <si>
    <t>Game.AddToInventory("Items.Preset_Nue_Jackie_Left_Hand", 1)</t>
  </si>
  <si>
    <t>Game.AddToInventory("Items.Preset_Nue_Jackie_Legendary", 1)</t>
  </si>
  <si>
    <t>Every headshot temporarily increases Crit Damage and Burn chance. The next time you equip La Chingona Dorada, you gain extra ammo equal to the number of headshots.</t>
  </si>
  <si>
    <t>Laika</t>
  </si>
  <si>
    <t>Game.AddToInventory("Items.Preset_Burya_AirDrop", 1)</t>
  </si>
  <si>
    <t>Game.AddToInventory("Items.VHard_50_TechCool_Weapon7", 1)</t>
  </si>
  <si>
    <t>Lexington X-Mod 2</t>
  </si>
  <si>
    <t>Game.AddToInventory("Items.Preset_Lexington_Shooting_Competition", 1)</t>
  </si>
  <si>
    <t>A special version of the weapon capable of additional modification. Optimized design also allows for improved handling.</t>
  </si>
  <si>
    <t>Liberty</t>
  </si>
  <si>
    <t>Game.AddToInventory("Items.Craftable_Common_Liberty", 1)</t>
  </si>
  <si>
    <t>Game.AddToInventory("Items.Preset_Liberty_Default", 1)</t>
  </si>
  <si>
    <t>Game.AddToInventory("Items.Preset_Liberty_Military", 1)</t>
  </si>
  <si>
    <t>Game.AddToInventory("Items.Preset_Liberty_Neon", 1)</t>
  </si>
  <si>
    <t>Game.AddToInventory("Items.Preset_Liberty_Pimp", 1)</t>
  </si>
  <si>
    <t>Game.AddToInventory("Items.Preset_Liberty_Default_Left_Hand", 1)</t>
  </si>
  <si>
    <t>Game.AddToInventory("Items.Preset_Liberty_Default_Retrofix", 1)</t>
  </si>
  <si>
    <t>Game.AddToInventory("Items.Preset_Liberty_Military_Left_Hand", 1)</t>
  </si>
  <si>
    <t>Game.AddToInventory("Items.Preset_Liberty_Military_Retrofix", 1)</t>
  </si>
  <si>
    <t>Game.AddToInventory("Items.Preset_Liberty_Neon_Left_Hand", 1)</t>
  </si>
  <si>
    <t>Game.AddToInventory("Items.Preset_Liberty_Neon_Retrofix", 1)</t>
  </si>
  <si>
    <t>Game.AddToInventory("Items.Preset_Liberty_Pimp_Left_Hand", 1)</t>
  </si>
  <si>
    <t>Game.AddToInventory("Items.Preset_Liberty_Pimp_Retrofix", 1)</t>
  </si>
  <si>
    <t>Game.AddToInventory("Items.Craftable_Uncommon_Liberty", 1)</t>
  </si>
  <si>
    <t>Game.AddToInventory("Items.Craftable_Rare_Liberty", 1)</t>
  </si>
  <si>
    <t>Game.AddToInventory("Items.Craftable_Epic_Liberty", 1)</t>
  </si>
  <si>
    <t>Game.AddToInventory("Items.Craftable_Legendary_Liberty", 1)</t>
  </si>
  <si>
    <t>Lizzie</t>
  </si>
  <si>
    <t>Game.AddToInventory("Items.Preset_Omaha_Suzie_Epic", 1)</t>
  </si>
  <si>
    <t>Game.AddToInventory("Items.Preset_Omaha_Suzie_Legendary", 1)</t>
  </si>
  <si>
    <t>Game.AddToInventory("Items.Preset_Omaha_Suzie", 1)</t>
  </si>
  <si>
    <t>Game.AddToInventory("Items.VHard_50_TechCool_Weapon3", 1)</t>
  </si>
  <si>
    <t>M-10af Lexington</t>
  </si>
  <si>
    <t>Game.AddToInventory("Items.Preset_Base_Lexington", 1)</t>
  </si>
  <si>
    <t>Game.AddToInventory("Items.Craftable_Common_Lexington", 1)</t>
  </si>
  <si>
    <t>Game.AddToInventory("Items.Preset_Lexington_Training", 1)</t>
  </si>
  <si>
    <t>Game.AddToInventory("Items.q115_pistol", 1)</t>
  </si>
  <si>
    <t>Game.AddToInventory("Items.Preset_Lexington_Default", 1)</t>
  </si>
  <si>
    <t>Game.AddToInventory("Items.Preset_Lexington_Military", 1)</t>
  </si>
  <si>
    <t>Game.AddToInventory("Items.Preset_Lexington_Neon", 1)</t>
  </si>
  <si>
    <t>Game.AddToInventory("Items.Preset_Lexington_Pimp", 1)</t>
  </si>
  <si>
    <t>Game.AddToInventory("Items.Preset_Psycho_ma_pac_cvi_15", 1)</t>
  </si>
  <si>
    <t>Game.AddToInventory("Items.Preset_Base_Lexington_Left_Hand", 1)</t>
  </si>
  <si>
    <t>Game.AddToInventory("Items.Preset_Lexington_Krausser_Jago", 1)</t>
  </si>
  <si>
    <t>Game.AddToInventory("Items.Preset_Lexington_Krausser_Jurij", 1)</t>
  </si>
  <si>
    <t>Game.AddToInventory("Items.Preset_Lexington_Krausser", 1)</t>
  </si>
  <si>
    <t>Game.AddToInventory("Items.Preset_Lexington_Prevention", 1)</t>
  </si>
  <si>
    <t>Game.AddToInventory("Items.Preset_Psycho_ma_pac_cvi_15_early", 1)</t>
  </si>
  <si>
    <t>Game.AddToInventory("Items.Preset_Psycho_ma_pac_cvi_15_end", 1)</t>
  </si>
  <si>
    <t>Game.AddToInventory("Items.Preset_Psycho_ma_pac_cvi_15_late", 1)</t>
  </si>
  <si>
    <t>Game.AddToInventory("Items.Preset_Psycho_ma_pac_cvi_15_mid", 1)</t>
  </si>
  <si>
    <t>Game.AddToInventory("Items.Preset_Lexington_Default_Left_Hand", 1)</t>
  </si>
  <si>
    <t>Game.AddToInventory("Items.Preset_Lexington_Default_Retrofix", 1)</t>
  </si>
  <si>
    <t>Game.AddToInventory("Items.Preset_Lexington_Military_Left_Hand", 1)</t>
  </si>
  <si>
    <t>Game.AddToInventory("Items.Preset_Lexington_Military_Retrofix", 1)</t>
  </si>
  <si>
    <t>Game.AddToInventory("Items.Preset_Lexington_Neon_Left_Hand", 1)</t>
  </si>
  <si>
    <t>Game.AddToInventory("Items.Preset_Lexington_Neon_Retrofix", 1)</t>
  </si>
  <si>
    <t>Game.AddToInventory("Items.Preset_Lexington_Pimp_Left_Hand_2", 1)</t>
  </si>
  <si>
    <t>Game.AddToInventory("Items.Preset_Lexington_Pimp_Left_Hand", 1)</t>
  </si>
  <si>
    <t>Game.AddToInventory("Items.Preset_Lexington_Pimp_Retrofix", 1)</t>
  </si>
  <si>
    <t>Game.AddToInventory("Items.Craftable_Uncommon_Lexington", 1)</t>
  </si>
  <si>
    <t>Game.AddToInventory("Items.Craftable_Rare_Lexington", 1)</t>
  </si>
  <si>
    <t>Game.AddToInventory("Items.Hard_20_Intelligence_Weapon2", 1)</t>
  </si>
  <si>
    <t>Game.AddToInventory("Items.Craftable_Epic_Lexington", 1)</t>
  </si>
  <si>
    <t>Game.AddToInventory("Items.Craftable_Legendary_Lexington", 1)</t>
  </si>
  <si>
    <t>Tech Precision Rifle</t>
  </si>
  <si>
    <t>M-179e Achilles</t>
  </si>
  <si>
    <t>Game.AddToInventory("Items.Preset_Achilles_Default", 1)</t>
  </si>
  <si>
    <t>Game.AddToInventory("Items.Preset_Achilles_Military", 1)</t>
  </si>
  <si>
    <t>Game.AddToInventory("Items.Preset_Achilles_Neon", 1)</t>
  </si>
  <si>
    <t>Game.AddToInventory("Items.Preset_Achilles_Pimp", 1)</t>
  </si>
  <si>
    <t>Game.AddToInventory("Items.Preset_Achilles_Nusa_Black", 1)</t>
  </si>
  <si>
    <t>Game.AddToInventory("Items.Preset_Achilles_Nusa_White", 1)</t>
  </si>
  <si>
    <t>Game.AddToInventory("Items.Craftable_Common_Achilles", 1)</t>
  </si>
  <si>
    <t>Game.AddToInventory("Items.Craftable_Uncommon_Achilles", 1)</t>
  </si>
  <si>
    <t>Game.AddToInventory("Items.Craftable_Rare_Achilles", 1)</t>
  </si>
  <si>
    <t>Game.AddToInventory("Items.Craftable_Epic_Achilles", 1)</t>
  </si>
  <si>
    <t>Game.AddToInventory("Items.Craftable_Legendary_Achilles", 1)</t>
  </si>
  <si>
    <t>M-179e Achilles (Modded)</t>
  </si>
  <si>
    <t>Game.AddToInventory("Items.q115_corpo_rifle", 1)</t>
  </si>
  <si>
    <t>M-179e Achilles X-Mod2</t>
  </si>
  <si>
    <t>Game.AddToInventory("Items.Preset_Achilles_Collectible", 1)</t>
  </si>
  <si>
    <t>Game.AddToInventory("Items.VHard_50_TechCool_Weapon2", 1)</t>
  </si>
  <si>
    <t>M-76e Omaha</t>
  </si>
  <si>
    <t>Game.AddToInventory("Items.Craftable_Common_Omaha", 1)</t>
  </si>
  <si>
    <t>Game.AddToInventory("Items.Preset_Omaha_Default", 1)</t>
  </si>
  <si>
    <t>Game.AddToInventory("Items.Preset_Omaha_Military", 1)</t>
  </si>
  <si>
    <t>Game.AddToInventory("Items.Preset_Omaha_Neon", 1)</t>
  </si>
  <si>
    <t>Game.AddToInventory("Items.Preset_Omaha_Pimp", 1)</t>
  </si>
  <si>
    <t>Game.AddToInventory("Items.Preset_Omaha_Krausser_Bennett", 1)</t>
  </si>
  <si>
    <t>Game.AddToInventory("Items.Preset_Omaha_Krausser_Jurij", 1)</t>
  </si>
  <si>
    <t>Game.AddToInventory("Items.Preset_Omaha_Krausser", 1)</t>
  </si>
  <si>
    <t>Game.AddToInventory("Items.Preset_Omaha_Maelstrom", 1)</t>
  </si>
  <si>
    <t>Game.AddToInventory("Items.Preset_Psycho_ma_wat_nid_15_early", 1)</t>
  </si>
  <si>
    <t>Game.AddToInventory("Items.Preset_Psycho_ma_wat_nid_15_end", 1)</t>
  </si>
  <si>
    <t>Game.AddToInventory("Items.Preset_Psycho_ma_wat_nid_15_late", 1)</t>
  </si>
  <si>
    <t>Game.AddToInventory("Items.Preset_Psycho_ma_wat_nid_15_mid", 1)</t>
  </si>
  <si>
    <t>Game.AddToInventory("Items.Preset_Psycho_ma_wat_nid_15", 1)</t>
  </si>
  <si>
    <t>Game.AddToInventory("Items.Preset_Omaha_Default_Left_Hand", 1)</t>
  </si>
  <si>
    <t>Game.AddToInventory("Items.Preset_Omaha_Default_Retrofix", 1)</t>
  </si>
  <si>
    <t>Game.AddToInventory("Items.Preset_Omaha_Military_Left_Hand", 1)</t>
  </si>
  <si>
    <t>Game.AddToInventory("Items.Preset_Omaha_Military_MaxTac_2nd_wave", 1)</t>
  </si>
  <si>
    <t>Game.AddToInventory("Items.Preset_Omaha_Military_Retrofix", 1)</t>
  </si>
  <si>
    <t>Game.AddToInventory("Items.Preset_Omaha_Neon_Left_Hand", 1)</t>
  </si>
  <si>
    <t>Game.AddToInventory("Items.Preset_Omaha_Neon_Retrofix", 1)</t>
  </si>
  <si>
    <t>Game.AddToInventory("Items.Preset_Omaha_Pimp_Left_Hand", 1)</t>
  </si>
  <si>
    <t>Game.AddToInventory("Items.Preset_Omaha_Pimp_Retrofix", 1)</t>
  </si>
  <si>
    <t>Game.AddToInventory("Items.Craftable_Uncommon_Omaha", 1)</t>
  </si>
  <si>
    <t>Game.AddToInventory("Items.Craftable_Rare_Omaha", 1)</t>
  </si>
  <si>
    <t>Game.AddToInventory("Items.Craftable_Epic_Omaha", 1)</t>
  </si>
  <si>
    <t>Game.AddToInventory("Items.Craftable_Legendary_Omaha", 1)</t>
  </si>
  <si>
    <t>M2038 Tactician</t>
  </si>
  <si>
    <t>Game.AddToInventory("Items.Craftable_Common_Tactician", 1)</t>
  </si>
  <si>
    <t>Game.AddToInventory("Items.q115_shotgun", 1)</t>
  </si>
  <si>
    <t>Game.AddToInventory("Items.Preset_Tactician_Default", 1)</t>
  </si>
  <si>
    <t>Game.AddToInventory("Items.Preset_Tactician_Military", 1)</t>
  </si>
  <si>
    <t>Game.AddToInventory("Items.Preset_Tactician_Neon", 1)</t>
  </si>
  <si>
    <t>Game.AddToInventory("Items.Preset_Tactician_Pimp", 1)</t>
  </si>
  <si>
    <t>Game.AddToInventory("Items.Preset_Psycho_ma_pac_cvi_08", 1)</t>
  </si>
  <si>
    <t>Game.AddToInventory("Items.Preset_Psycho_ma_pac_cvi_08_early", 1)</t>
  </si>
  <si>
    <t>Game.AddToInventory("Items.Preset_Psycho_ma_pac_cvi_08_end", 1)</t>
  </si>
  <si>
    <t>Game.AddToInventory("Items.Preset_Psycho_ma_pac_cvi_08_late", 1)</t>
  </si>
  <si>
    <t>Game.AddToInventory("Items.Preset_Psycho_ma_pac_cvi_08_mid", 1)</t>
  </si>
  <si>
    <t>Game.AddToInventory("Items.Preset_Tactician_Krausser", 1)</t>
  </si>
  <si>
    <t>Game.AddToInventory("Items.Preset_Tactician_Prevention", 1)</t>
  </si>
  <si>
    <t>Game.AddToInventory("Items.Craftable_Uncommon_Tactician", 1)</t>
  </si>
  <si>
    <t>Game.AddToInventory("Items.Craftable_Rare_Tactician", 1)</t>
  </si>
  <si>
    <t>Game.AddToInventory("Items.Hard_20_Body_Weapon1", 1)</t>
  </si>
  <si>
    <t>Game.AddToInventory("Items.Proficiency_Craftable_Epic_Tactician", 1)</t>
  </si>
  <si>
    <t>Game.AddToInventory("Items.Craftable_Epic_Tactician", 1)</t>
  </si>
  <si>
    <t>Game.AddToInventory("Items.Craftable_Legendary_Tactician", 1)</t>
  </si>
  <si>
    <t>M2067 Defender</t>
  </si>
  <si>
    <t>Game.AddToInventory("Items.Preset_Defender_Default", 1)</t>
  </si>
  <si>
    <t>Game.AddToInventory("Items.Preset_Defender_Military", 1)</t>
  </si>
  <si>
    <t>Game.AddToInventory("Items.Preset_Defender_Neon", 1)</t>
  </si>
  <si>
    <t>Game.AddToInventory("Items.Preset_Defender_Pimp", 1)</t>
  </si>
  <si>
    <t>Game.AddToInventory("Items.Craftable_Common_Defender", 1)</t>
  </si>
  <si>
    <t>Game.AddToInventory("Items.Preset_Psycho_ma_wat_lch_06", 1)</t>
  </si>
  <si>
    <t>Game.AddToInventory("Items.Craftable_Uncommon_Defender", 1)</t>
  </si>
  <si>
    <t>Game.AddToInventory("Items.Craftable_Rare_Defender", 1)</t>
  </si>
  <si>
    <t>Game.AddToInventory("Items.Craftable_Epic_Defender", 1)</t>
  </si>
  <si>
    <t>Game.AddToInventory("Items.Craftable_Legendary_Defender", 1)</t>
  </si>
  <si>
    <t>M221 Saratoga</t>
  </si>
  <si>
    <t>Game.AddToInventory("Items.Craftable_Common_Saratoga", 1)</t>
  </si>
  <si>
    <t>Game.AddToInventory("Items.Preset_Saratoga_Default", 1)</t>
  </si>
  <si>
    <t>Game.AddToInventory("Items.Preset_Saratoga_Military", 1)</t>
  </si>
  <si>
    <t>Game.AddToInventory("Items.Preset_Saratoga_Neon", 1)</t>
  </si>
  <si>
    <t>Game.AddToInventory("Items.Preset_Saratoga_Pimp", 1)</t>
  </si>
  <si>
    <t>Game.AddToInventory("Items.Preset_Psycho_ma_std_rcr_11", 1)</t>
  </si>
  <si>
    <t>Game.AddToInventory("Items.Preset_Psycho_ma_std_rcr_11_early", 1)</t>
  </si>
  <si>
    <t>Game.AddToInventory("Items.Preset_Psycho_ma_std_rcr_11_end", 1)</t>
  </si>
  <si>
    <t>Game.AddToInventory("Items.Preset_Psycho_ma_std_rcr_11_late", 1)</t>
  </si>
  <si>
    <t>Game.AddToInventory("Items.Preset_Psycho_ma_std_rcr_11_mid", 1)</t>
  </si>
  <si>
    <t>Game.AddToInventory("Items.Preset_Saratoga_Krausser", 1)</t>
  </si>
  <si>
    <t>Game.AddToInventory("Items.Preset_Saratoga_Default_Unbreakable", 1)</t>
  </si>
  <si>
    <t>Game.AddToInventory("Items.Preset_Saratoga_Military_Unbreakable", 1)</t>
  </si>
  <si>
    <t>Game.AddToInventory("Items.Preset_Saratoga_Neon_Unbreakable", 1)</t>
  </si>
  <si>
    <t>Game.AddToInventory("Items.Preset_Saratoga_Pimp_Unbreakable", 1)</t>
  </si>
  <si>
    <t>Game.AddToInventory("Items.Craftable_Uncommon_Saratoga", 1)</t>
  </si>
  <si>
    <t>Game.AddToInventory("Items.Craftable_Rare_Saratoga", 1)</t>
  </si>
  <si>
    <t>Game.AddToInventory("Items.Hard_20_Reflex_Weapon2", 1)</t>
  </si>
  <si>
    <t>Game.AddToInventory("Items.Craftable_Epic_Saratoga", 1)</t>
  </si>
  <si>
    <t>Game.AddToInventory("Items.Craftable_Legendary_Saratoga", 1)</t>
  </si>
  <si>
    <t>M251s Ajax</t>
  </si>
  <si>
    <t>Game.AddToInventory("Items.Preset_Ajax_Training", 1)</t>
  </si>
  <si>
    <t>Game.AddToInventory("Items.Preset_Ajax_Default", 1)</t>
  </si>
  <si>
    <t>Game.AddToInventory("Items.Preset_Ajax_Military", 1)</t>
  </si>
  <si>
    <t>Game.AddToInventory("Items.Preset_Ajax_Neon", 1)</t>
  </si>
  <si>
    <t>Game.AddToInventory("Items.Preset_Ajax_Pimp", 1)</t>
  </si>
  <si>
    <t>Game.AddToInventory("Items.Preset_Ajax_Scene", 1)</t>
  </si>
  <si>
    <t>Game.AddToInventory("Items.Preset_Ajax_Military_MaxTac_2nd_wave", 1)</t>
  </si>
  <si>
    <t>Game.AddToInventory("Items.Preset_Ajax_Krausser", 1)</t>
  </si>
  <si>
    <t>Game.AddToInventory("Items.Craftable_Common_Ajax", 1)</t>
  </si>
  <si>
    <t>Game.AddToInventory("Items.Preset_Psycho_ma_hey_spr_06", 1)</t>
  </si>
  <si>
    <t>Game.AddToInventory("Items.Preset_Psycho_ma_hey_spr_06_early", 1)</t>
  </si>
  <si>
    <t>Game.AddToInventory("Items.Preset_Psycho_ma_hey_spr_06_end", 1)</t>
  </si>
  <si>
    <t>Game.AddToInventory("Items.Preset_Psycho_ma_hey_spr_06_late", 1)</t>
  </si>
  <si>
    <t>Game.AddToInventory("Items.Preset_Psycho_ma_hey_spr_06_mid", 1)</t>
  </si>
  <si>
    <t>Game.AddToInventory("Items.Craftable_Uncommon_Ajax", 1)</t>
  </si>
  <si>
    <t>Game.AddToInventory("Items.Craftable_Rare_Ajax", 1)</t>
  </si>
  <si>
    <t>Game.AddToInventory("Items.Hard_20_Reflex_Weapon1", 1)</t>
  </si>
  <si>
    <t>Game.AddToInventory("Items.Craftable_Epic_Ajax", 1)</t>
  </si>
  <si>
    <t>Game.AddToInventory("Items.Craftable_Legendary_Ajax", 1)</t>
  </si>
  <si>
    <t>Ma70 Hb</t>
  </si>
  <si>
    <t>Game.AddToInventory("Items.Craftable_Common_MA70", 1)</t>
  </si>
  <si>
    <t>Game.AddToInventory("Items.Preset_MA70_Default", 1)</t>
  </si>
  <si>
    <t>Game.AddToInventory("Items.Preset_MA70_Military", 1)</t>
  </si>
  <si>
    <t>Game.AddToInventory("Items.Preset_MA70_Neon", 1)</t>
  </si>
  <si>
    <t>Game.AddToInventory("Items.Preset_MA70_Pimp", 1)</t>
  </si>
  <si>
    <t>Game.AddToInventory("Items.Preset_MA70_Legendary", 1)</t>
  </si>
  <si>
    <t>Game.AddToInventory("Items.Craftable_Uncommon_MA70", 1)</t>
  </si>
  <si>
    <t>Game.AddToInventory("Items.Craftable_Rare_MA70", 1)</t>
  </si>
  <si>
    <t>Game.AddToInventory("Items.Craftable_Epic_MA70", 1)</t>
  </si>
  <si>
    <t>Game.AddToInventory("Items.Hard_30_BodyTech_Weapon3", 1)</t>
  </si>
  <si>
    <t>Game.AddToInventory("Items.Craftable_Legendary_MA70", 1)</t>
  </si>
  <si>
    <t>Ma70 Hb X-Mod2</t>
  </si>
  <si>
    <t>Game.AddToInventory("Items.Preset_MA70_Collectible", 1)</t>
  </si>
  <si>
    <t>Game.AddToInventory("Items.VHard_50_RefBody_Weapon1", 1)</t>
  </si>
  <si>
    <t>Ma70 Hb X-Mod2  (Wild Dog)</t>
  </si>
  <si>
    <t>Game.AddToInventory("Items.VHard_50_BodyCool_Weapon1", 1)</t>
  </si>
  <si>
    <t>Machete</t>
  </si>
  <si>
    <t>Game.AddToInventory("Items.Craftable_Common_Machete", 1)</t>
  </si>
  <si>
    <t>Game.AddToInventory("Items.Preset_Machete_Maelstrom", 1)</t>
  </si>
  <si>
    <t>Game.AddToInventory("Items.Preset_Machete_Valentinos", 1)</t>
  </si>
  <si>
    <t>Game.AddToInventory("Items.w_melee_002__machete_a", 1)</t>
  </si>
  <si>
    <t>Game.AddToInventory("Items.Preset_Machete_Default", 1)</t>
  </si>
  <si>
    <t>Game.AddToInventory("Items.Preset_Psycho_ma_wat_nid_03", 1)</t>
  </si>
  <si>
    <t>Game.AddToInventory("Items.Preset_Psycho_mq030", 1)</t>
  </si>
  <si>
    <t>Game.AddToInventory("Items.Preset_Machete_Kurt", 1)</t>
  </si>
  <si>
    <t>Game.AddToInventory("Items.Preset_Psycho_ma_wat_nid_03_early", 1)</t>
  </si>
  <si>
    <t>Game.AddToInventory("Items.Preset_Psycho_ma_wat_nid_03_end", 1)</t>
  </si>
  <si>
    <t>Game.AddToInventory("Items.Preset_Psycho_ma_wat_nid_03_late", 1)</t>
  </si>
  <si>
    <t>Game.AddToInventory("Items.Preset_Psycho_ma_wat_nid_03_mid", 1)</t>
  </si>
  <si>
    <t>Game.AddToInventory("Items.Preset_Psycho_mq030_early", 1)</t>
  </si>
  <si>
    <t>Game.AddToInventory("Items.Preset_Psycho_mq030_end", 1)</t>
  </si>
  <si>
    <t>Game.AddToInventory("Items.Preset_Psycho_mq030_late", 1)</t>
  </si>
  <si>
    <t>Game.AddToInventory("Items.Preset_Psycho_mq030_mid", 1)</t>
  </si>
  <si>
    <t>Game.AddToInventory("Items.Craftable_Uncommon_Machete", 1)</t>
  </si>
  <si>
    <t>Game.AddToInventory("Items.Craftable_Rare_Machete", 1)</t>
  </si>
  <si>
    <t>Game.AddToInventory("Items.Craftable_Epic_Machete", 1)</t>
  </si>
  <si>
    <t>Game.AddToInventory("Items.Craftable_Legendary_Machete", 1)</t>
  </si>
  <si>
    <t>Malorian Arms 3156</t>
  </si>
  <si>
    <t>Game.AddToInventory("Items.Preset_Silverhand_3516", 1)</t>
  </si>
  <si>
    <t>Custom-made for Johnny Silverhand. The guy had taste.</t>
  </si>
  <si>
    <t>Malorian Arms 3516</t>
  </si>
  <si>
    <t>Game.AddToInventory("Items.VHard_50_CoolRef_Weapon11", 1)</t>
  </si>
  <si>
    <t>Mancinella</t>
  </si>
  <si>
    <t>Game.AddToInventory("Items.Preset_Nova_Hitman", 1)</t>
  </si>
  <si>
    <t>Game.AddToInventory("Items.VHard_50_CoolRef_Weapon9", 1)</t>
  </si>
  <si>
    <t>Metel</t>
  </si>
  <si>
    <t>Game.AddToInventory("Items.Craftable_Common_Metel", 1)</t>
  </si>
  <si>
    <t>Game.AddToInventory("Items.Preset_Metel_Legendary", 1)</t>
  </si>
  <si>
    <t>Game.AddToInventory("Items.Preset_Metel_Default", 1)</t>
  </si>
  <si>
    <t>Game.AddToInventory("Items.Preset_Metel_Military", 1)</t>
  </si>
  <si>
    <t>Game.AddToInventory("Items.Preset_Metel_Neon", 1)</t>
  </si>
  <si>
    <t>Game.AddToInventory("Items.Preset_Metel_Pimp", 1)</t>
  </si>
  <si>
    <t>Game.AddToInventory("Items.Craftable_Uncommon_Metel", 1)</t>
  </si>
  <si>
    <t>Game.AddToInventory("Items.Craftable_Rare_Metel", 1)</t>
  </si>
  <si>
    <t>Game.AddToInventory("Items.Craftable_Epic_Metel", 1)</t>
  </si>
  <si>
    <t>Game.AddToInventory("Items.Craftable_Legendary_Metel", 1)</t>
  </si>
  <si>
    <t>Militech Ticon</t>
  </si>
  <si>
    <t>Game.AddToInventory("Items.Craftable_Common_Ticon", 1)</t>
  </si>
  <si>
    <t>Game.AddToInventory("Items.Preset_Ticon_Legendary", 1)</t>
  </si>
  <si>
    <t>Game.AddToInventory("Items.Preset_Ticon_Default", 1)</t>
  </si>
  <si>
    <t>Game.AddToInventory("Items.Preset_Ticon_Military", 1)</t>
  </si>
  <si>
    <t>Game.AddToInventory("Items.Preset_Ticon_Neon", 1)</t>
  </si>
  <si>
    <t>Game.AddToInventory("Items.Preset_Ticon_Pimp", 1)</t>
  </si>
  <si>
    <t>Game.AddToInventory("Items.Craftable_Uncommon_Ticon", 1)</t>
  </si>
  <si>
    <t>Game.AddToInventory("Items.Craftable_Rare_Ticon", 1)</t>
  </si>
  <si>
    <t>Game.AddToInventory("Items.Craftable_Epic_Ticon", 1)</t>
  </si>
  <si>
    <t>Game.AddToInventory("Items.Craftable_Legendary_Ticon", 1)</t>
  </si>
  <si>
    <t>Mk.31 Hmg</t>
  </si>
  <si>
    <t>Game.AddToInventory("Items.Preset_HMG_Default", 1)</t>
  </si>
  <si>
    <t>Molodets Biohaz Grenade</t>
  </si>
  <si>
    <t>Game.AddToInventory("Items.Preset_Grenade_Biohazard_Default", 1)</t>
  </si>
  <si>
    <t>Game.AddToInventory("Items.GrenadeBiohazardRegular", 1)</t>
  </si>
  <si>
    <t>Game.AddToInventory("Items.GrenadeBiohazardRarePlus", 1)</t>
  </si>
  <si>
    <t>Game.AddToInventory("Items.GrenadeBiohazardHoming", 1)</t>
  </si>
  <si>
    <t>Game.AddToInventory("Items.GrenadeBiohazardEpicPlus", 1)</t>
  </si>
  <si>
    <t>Game.AddToInventory("Items.GrenadeBiohazardLegendary", 1)</t>
  </si>
  <si>
    <t>Game.AddToInventory("Items.GrenadeBiohazardLegendaryPlus", 1)</t>
  </si>
  <si>
    <t>Moron Labe</t>
  </si>
  <si>
    <t>Game.AddToInventory("Items.Preset_Ajax_Moron_Legendary", 1)</t>
  </si>
  <si>
    <t>Game.AddToInventory("Items.Preset_Ajax_Moron", 1)</t>
  </si>
  <si>
    <t>Game.AddToInventory("Items.Common_Ajax_Moron", 1)</t>
  </si>
  <si>
    <t>Game.AddToInventory("Items.Uncommon_Ajax_Moron", 1)</t>
  </si>
  <si>
    <t>Game.AddToInventory("Items.Rare_Ajax_Moron", 1)</t>
  </si>
  <si>
    <t>Game.AddToInventory("Items.Epic_Ajax_Moron", 1)</t>
  </si>
  <si>
    <t>Game.AddToInventory("Items.Legendary_Ajax_Moron", 1)</t>
  </si>
  <si>
    <t>Increases fire rate. Chance to dismember target.</t>
  </si>
  <si>
    <t>Mox</t>
  </si>
  <si>
    <t>Game.AddToInventory("Items.Preset_Carnage_Mox_Epic", 1)</t>
  </si>
  <si>
    <t>Game.AddToInventory("Items.Preset_Carnage_Mox_Legendary", 1)</t>
  </si>
  <si>
    <t>Reduces the reload speed and spread while aiming. While the weapon can still only be loaded with 5 shotgun shells, each shell has been modified to have 20 projectiles rather than 10.</t>
  </si>
  <si>
    <t>Game.AddToInventory("Items.Preset_Carnage_Mox", 1)</t>
  </si>
  <si>
    <t>Game.AddToInventory("Items.VHard_50_RefBody_Weapon2", 1)</t>
  </si>
  <si>
    <t>Murphy's Law</t>
  </si>
  <si>
    <t>Game.AddToInventory("Items.Preset_Baton_Murphy", 1)</t>
  </si>
  <si>
    <t>Game.AddToInventory("Items.VHard_50_TechCool_Weapon12", 1)</t>
  </si>
  <si>
    <t>Game.AddToInventory("Items.VHard_50_RefTech_Weapon12", 1)</t>
  </si>
  <si>
    <t>Ndi Osprey</t>
  </si>
  <si>
    <t>Game.AddToInventory("Items.Preset_Osprey_Legendary", 1)</t>
  </si>
  <si>
    <t>Game.AddToInventory("Items.Preset_Osprey_Prototype", 1)</t>
  </si>
  <si>
    <t>Game.AddToInventory("Items.Preset_Osprey_Default", 1)</t>
  </si>
  <si>
    <t>Game.AddToInventory("Items.Preset_Osprey_Military", 1)</t>
  </si>
  <si>
    <t>Game.AddToInventory("Items.Preset_Osprey_Neon", 1)</t>
  </si>
  <si>
    <t>Game.AddToInventory("Items.Preset_Osprey_Pimp", 1)</t>
  </si>
  <si>
    <t>Game.AddToInventory("Items.VHard_50_BodyCool_Weapon15", 1)</t>
  </si>
  <si>
    <t>Game.AddToInventory("Items.VHard_50_RefBody_Weapon7", 1)</t>
  </si>
  <si>
    <t>Game.AddToInventory("Items.VHard_50_RefTech_Weapon10", 1)</t>
  </si>
  <si>
    <t>Nehan</t>
  </si>
  <si>
    <t>Game.AddToInventory("Items.Preset_Tanto_Saburo_Retrofix", 1)</t>
  </si>
  <si>
    <t>Game.AddToInventory("Items.Preset_Tanto_Saburo", 1)</t>
  </si>
  <si>
    <t>Thrown hits with Nehan to always apply Bleeding. If an enemy is already affected by Bleeding from Satori, Nehan will cause hemorrhaging instead, which will heal you equal to the damage dealt by the Bleed.</t>
  </si>
  <si>
    <t>Nekomata</t>
  </si>
  <si>
    <t>Game.AddToInventory("Items.Craftable_Base_Nekomata", 1)</t>
  </si>
  <si>
    <t>Game.AddToInventory("Items.Craftable_Common_Nekomata", 1)</t>
  </si>
  <si>
    <t>Game.AddToInventory("Items.Preset_Nekomata_Default", 1)</t>
  </si>
  <si>
    <t>Game.AddToInventory("Items.Preset_Nekomata_Military", 1)</t>
  </si>
  <si>
    <t>Game.AddToInventory("Items.Preset_Nekomata_Neon", 1)</t>
  </si>
  <si>
    <t>Game.AddToInventory("Items.Preset_Nekomata_Pimp", 1)</t>
  </si>
  <si>
    <t>Game.AddToInventory("Items.Preset_Psycho_ma_wat_kab_02", 1)</t>
  </si>
  <si>
    <t>Game.AddToInventory("Items.Preset_Nekomata_Boris_Hologram", 1)</t>
  </si>
  <si>
    <t>Game.AddToInventory("Items.Preset_Nekomata_Boris", 1)</t>
  </si>
  <si>
    <t>Game.AddToInventory("Items.Preset_Nekomata_Krausser", 1)</t>
  </si>
  <si>
    <t>Game.AddToInventory("Items.Preset_Nekomata_Legendary", 1)</t>
  </si>
  <si>
    <t>Game.AddToInventory("Items.Preset_Nekomata_MaxTac", 1)</t>
  </si>
  <si>
    <t>Game.AddToInventory("Items.Preset_Nekomata_Prevention", 1)</t>
  </si>
  <si>
    <t>Game.AddToInventory("Items.Preset_Psycho_ma_wat_kab_02_early", 1)</t>
  </si>
  <si>
    <t>Game.AddToInventory("Items.Preset_Psycho_ma_wat_kab_02_end", 1)</t>
  </si>
  <si>
    <t>Game.AddToInventory("Items.Preset_Psycho_ma_wat_kab_02_late", 1)</t>
  </si>
  <si>
    <t>Game.AddToInventory("Items.Preset_Psycho_ma_wat_kab_02_mid", 1)</t>
  </si>
  <si>
    <t>Game.AddToInventory("Items.Craftable_Uncommon_Nekomata", 1)</t>
  </si>
  <si>
    <t>Game.AddToInventory("Items.Craftable_Rare_Nekomata", 1)</t>
  </si>
  <si>
    <t>Game.AddToInventory("Items.Craftable_Epic_Nekomata", 1)</t>
  </si>
  <si>
    <t>Game.AddToInventory("Items.Proficiency_Craftable_Legendary_Nekomata", 1)</t>
  </si>
  <si>
    <t>Game.AddToInventory("Items.VHard_50_TechCool_Weapon4", 1)</t>
  </si>
  <si>
    <t>Game.AddToInventory("Items.Craftable_Legendary_Nekomata", 1)</t>
  </si>
  <si>
    <t>Neurotoxin Knife</t>
  </si>
  <si>
    <t>Game.AddToInventory("Items.Craftable_Common_Neurotoxin_Knife", 1)</t>
  </si>
  <si>
    <t>Game.AddToInventory("Items.Preset_Neurotoxin_Knife_Default", 1)</t>
  </si>
  <si>
    <t>Game.AddToInventory("Items.Preset_Neurotoxin_Knife_Military", 1)</t>
  </si>
  <si>
    <t>Game.AddToInventory("Items.Preset_Neurotoxin_Knife_Neon", 1)</t>
  </si>
  <si>
    <t>Game.AddToInventory("Items.Preset_Neurotoxin_Knife_Pimp", 1)</t>
  </si>
  <si>
    <t>Game.AddToInventory("Items.Craftable_Uncommon_Neurotoxin_Knife", 1)</t>
  </si>
  <si>
    <t>Game.AddToInventory("Items.Craftable_Rare_Neurotoxin_Knife", 1)</t>
  </si>
  <si>
    <t>Game.AddToInventory("Items.Craftable_Epic_Neurotoxin_Knife", 1)</t>
  </si>
  <si>
    <t>Game.AddToInventory("Items.Craftable_Legendary_Neurotoxin_Knife", 1)</t>
  </si>
  <si>
    <t>Nowaki</t>
  </si>
  <si>
    <t>Game.AddToInventory("Items.Arasaka3DEnemyWeapon", 1)</t>
  </si>
  <si>
    <t>Game.AddToInventory("Items.Preset_Masamune_Arasaka_2020", 1)</t>
  </si>
  <si>
    <t>Game.AddToInventory("Items.Preset_Masamune_Arasaka_2077", 1)</t>
  </si>
  <si>
    <t>Game.AddToInventory("Items.Preset_Masamune_Arasaka_2077_Unbreakable", 1)</t>
  </si>
  <si>
    <t>Nue</t>
  </si>
  <si>
    <t>Game.AddToInventory("Items.Preset_Nue_Boris", 1)</t>
  </si>
  <si>
    <t>Game.AddToInventory("Items.Preset_Nue_Default", 1)</t>
  </si>
  <si>
    <t>Game.AddToInventory("Items.Preset_Nue_Military", 1)</t>
  </si>
  <si>
    <t>Game.AddToInventory("Items.Preset_Nue_Neon", 1)</t>
  </si>
  <si>
    <t>Game.AddToInventory("Items.Preset_Nue_Pimp", 1)</t>
  </si>
  <si>
    <t>Game.AddToInventory("Items.Preset_Psycho_ma_std_arr_06", 1)</t>
  </si>
  <si>
    <t>Game.AddToInventory("Items.Preset_Psycho_ma_std_arr_06_early", 1)</t>
  </si>
  <si>
    <t>Game.AddToInventory("Items.Preset_Psycho_ma_std_arr_06_end", 1)</t>
  </si>
  <si>
    <t>Game.AddToInventory("Items.Preset_Psycho_ma_std_arr_06_late", 1)</t>
  </si>
  <si>
    <t>Game.AddToInventory("Items.Preset_Psycho_ma_std_arr_06_mid", 1)</t>
  </si>
  <si>
    <t>Game.AddToInventory("Items.Preset_Nue_Default_Left_Hand", 1)</t>
  </si>
  <si>
    <t>Game.AddToInventory("Items.Preset_Nue_Default_Retrofix", 1)</t>
  </si>
  <si>
    <t>Game.AddToInventory("Items.Preset_Nue_Military_Left_Hand", 1)</t>
  </si>
  <si>
    <t>Game.AddToInventory("Items.Preset_Nue_Military_Retrofix", 1)</t>
  </si>
  <si>
    <t>Game.AddToInventory("Items.Preset_Nue_Neon_Left_Hand", 1)</t>
  </si>
  <si>
    <t>Game.AddToInventory("Items.Preset_Nue_Neon_Retrofix", 1)</t>
  </si>
  <si>
    <t>Game.AddToInventory("Items.Preset_Nue_Pimp_Left_Hand_2", 1)</t>
  </si>
  <si>
    <t>Game.AddToInventory("Items.Preset_Nue_Pimp_Left_Hand", 1)</t>
  </si>
  <si>
    <t>Game.AddToInventory("Items.Preset_Nue_Pimp_Retrofix", 1)</t>
  </si>
  <si>
    <t>Game.AddToInventory("Items.Proficiency_Craftable_Uncommon_Nue", 1)</t>
  </si>
  <si>
    <t>Game.AddToInventory("Items.Craftable_Uncommon_Nue", 1)</t>
  </si>
  <si>
    <t>Game.AddToInventory("Items.Craftable_Common_Nue", 1)</t>
  </si>
  <si>
    <t>Game.AddToInventory("Items.Craftable_Rare_Nue", 1)</t>
  </si>
  <si>
    <t>Game.AddToInventory("Items.Hard_20_Intelligence_Weapon1", 1)</t>
  </si>
  <si>
    <t>Game.AddToInventory("Items.Craftable_Epic_Nue", 1)</t>
  </si>
  <si>
    <t>Game.AddToInventory("Items.Str_30_Cool_Assassin_Weapon2", 1)</t>
  </si>
  <si>
    <t>Game.AddToInventory("Items.Craftable_Legendary_Nue", 1)</t>
  </si>
  <si>
    <t>O'five</t>
  </si>
  <si>
    <t>Game.AddToInventory("Items.mq025_buck_gun", 1)</t>
  </si>
  <si>
    <t>Game.AddToInventory("Items.Preset_Grad_Buck_Legendary", 1)</t>
  </si>
  <si>
    <t>Game.AddToInventory("Items.Preset_Grad_Buck", 1)</t>
  </si>
  <si>
    <t>Game.AddToInventory("Items.Preset_RocketLauncher_Test", 1)</t>
  </si>
  <si>
    <t>Ogou</t>
  </si>
  <si>
    <t>Game.AddToInventory("Items.Preset_Chao_VooDoo", 1)</t>
  </si>
  <si>
    <t>Ol' Reliable</t>
  </si>
  <si>
    <t>Game.AddToInventory("Items.Preset_Overture_Dante", 1)</t>
  </si>
  <si>
    <t>Order</t>
  </si>
  <si>
    <t>Game.AddToInventory("Items.Preset_Satara_Brick", 1)</t>
  </si>
  <si>
    <t>Game.AddToInventory("Items.VHard_50_IntTech_Weapon8", 1)</t>
  </si>
  <si>
    <t>Game.AddToInventory("Items.VHard_50_TechCool_Weapon11", 1)</t>
  </si>
  <si>
    <t>Overture</t>
  </si>
  <si>
    <t>Game.AddToInventory("Items.Craftable_Common_Overture", 1)</t>
  </si>
  <si>
    <t>Game.AddToInventory("Items.q115_revolver", 1)</t>
  </si>
  <si>
    <t>Game.AddToInventory("Items.Preset_Overture_Default_E", 1)</t>
  </si>
  <si>
    <t>Game.AddToInventory("Items.Preset_Overture_Default_L", 1)</t>
  </si>
  <si>
    <t>Game.AddToInventory("Items.Preset_Overture_Default_R", 1)</t>
  </si>
  <si>
    <t>Game.AddToInventory("Items.Preset_Overture_Default_U", 1)</t>
  </si>
  <si>
    <t>Game.AddToInventory("Items.Preset_Overture_Default", 1)</t>
  </si>
  <si>
    <t>Game.AddToInventory("Items.Preset_Overture_Military", 1)</t>
  </si>
  <si>
    <t>Game.AddToInventory("Items.Preset_Overture_Neon", 1)</t>
  </si>
  <si>
    <t>Game.AddToInventory("Items.Preset_Overture_Pimp", 1)</t>
  </si>
  <si>
    <t>Game.AddToInventory("Items.Preset_Psycho_ma_hey_spr_04", 1)</t>
  </si>
  <si>
    <t>Game.AddToInventory("Items.Preset_Psycho_ma_hey_spr_04_early", 1)</t>
  </si>
  <si>
    <t>Game.AddToInventory("Items.Preset_Psycho_ma_hey_spr_04_end", 1)</t>
  </si>
  <si>
    <t>Game.AddToInventory("Items.Preset_Psycho_ma_hey_spr_04_late", 1)</t>
  </si>
  <si>
    <t>Game.AddToInventory("Items.Preset_Psycho_ma_hey_spr_04_mid", 1)</t>
  </si>
  <si>
    <t>Game.AddToInventory("Items.Preset_Overture_Default_Left_Hand", 1)</t>
  </si>
  <si>
    <t>Game.AddToInventory("Items.Preset_Overture_Default_Retrofix", 1)</t>
  </si>
  <si>
    <t>Game.AddToInventory("Items.Preset_Overture_Default_Unbreakable", 1)</t>
  </si>
  <si>
    <t>Game.AddToInventory("Items.Preset_Overture_Military_Left_Hand", 1)</t>
  </si>
  <si>
    <t>Game.AddToInventory("Items.Preset_Overture_Military_Retrofix", 1)</t>
  </si>
  <si>
    <t>Game.AddToInventory("Items.Preset_Overture_Military_Unbreakable", 1)</t>
  </si>
  <si>
    <t>Game.AddToInventory("Items.Preset_Overture_Neon_Left_Hand", 1)</t>
  </si>
  <si>
    <t>Game.AddToInventory("Items.Preset_Overture_Neon_Retrofix", 1)</t>
  </si>
  <si>
    <t>Game.AddToInventory("Items.Preset_Overture_Neon_Unbreakable", 1)</t>
  </si>
  <si>
    <t>Game.AddToInventory("Items.Preset_Overture_Pimp_Left_Hand", 1)</t>
  </si>
  <si>
    <t>Game.AddToInventory("Items.Preset_Overture_Pimp_Retrofix", 1)</t>
  </si>
  <si>
    <t>Game.AddToInventory("Items.Preset_Overture_Pimp_Unbreakable", 1)</t>
  </si>
  <si>
    <t>Game.AddToInventory("Items.Craftable_Uncommon_Overture", 1)</t>
  </si>
  <si>
    <t>Game.AddToInventory("Items.Craftable_Rare_Overture", 1)</t>
  </si>
  <si>
    <t>Game.AddToInventory("Items.Craftable_Epic_Overture", 1)</t>
  </si>
  <si>
    <t>Game.AddToInventory("Items.Preset_Overture_Legendary", 1)</t>
  </si>
  <si>
    <t>Overwatch</t>
  </si>
  <si>
    <t>Game.AddToInventory("Items.Preset_Grad_Panam_Epic", 1)</t>
  </si>
  <si>
    <t>Game.AddToInventory("Items.Preset_Grad_Panam", 1)</t>
  </si>
  <si>
    <t>Game.AddToInventory("Items.VHard_50_CoolRef_Weapon4", 1)</t>
  </si>
  <si>
    <t>Game.AddToInventory("Items.Preset_Grad_Panam_Legendary", 1)</t>
  </si>
  <si>
    <t>Increases reload speed. Comes with a custom silencer.</t>
  </si>
  <si>
    <t>Ozob’s Nose Iconic</t>
  </si>
  <si>
    <t>Game.AddToInventory("Items.GrenadeOzobsNose", 1)</t>
  </si>
  <si>
    <t>Pariah</t>
  </si>
  <si>
    <t>Game.AddToInventory("Items.Preset_Ticon_Reed", 1)</t>
  </si>
  <si>
    <t>Game.AddToInventory("Items.VHard_50_CoolRef_Weapon13", 1)</t>
  </si>
  <si>
    <t>Pipe Wrench</t>
  </si>
  <si>
    <t>Game.AddToInventory("Items.Craftable_Common_Pipe_Wrench", 1)</t>
  </si>
  <si>
    <t>Game.AddToInventory("Items.Craftable_Uncommon_Pipe_Wrench", 1)</t>
  </si>
  <si>
    <t>Game.AddToInventory("Items.Craftable_Rare_Pipe_Wrench", 1)</t>
  </si>
  <si>
    <t>Game.AddToInventory("Items.Craftable_Epic_Pipe_Wrench", 1)</t>
  </si>
  <si>
    <t>Game.AddToInventory("Items.Craftable_Legendary_Pipe_Wrench", 1)</t>
  </si>
  <si>
    <t>Pit Bull</t>
  </si>
  <si>
    <t>Game.AddToInventory("Items.Preset_Ajax_Amazon", 1)</t>
  </si>
  <si>
    <t>Pizdets</t>
  </si>
  <si>
    <t>Game.AddToInventory("Items.Preset_Warden_Boris", 1)</t>
  </si>
  <si>
    <t>Game.AddToInventory("Items.Preset_Warden_Boris_Hologram", 1)</t>
  </si>
  <si>
    <t>Game.AddToInventory("Items.VHard_50_CoolRef_Weapon12", 1)</t>
  </si>
  <si>
    <t>Game.AddToInventory("Items.VHard_50_IntRef_Weapon8", 1)</t>
  </si>
  <si>
    <t>Plan B</t>
  </si>
  <si>
    <t>Game.AddToInventory("Items.Preset_Liberty_Dex_Epic", 1)</t>
  </si>
  <si>
    <t>Game.AddToInventory("Items.Preset_Liberty_Dex_Legendary", 1)</t>
  </si>
  <si>
    <t>Bullets have a higher chance to apply Bleeding, but keep an eye on your wallet! Every shot costs you eddies.</t>
  </si>
  <si>
    <t>Game.AddToInventory("Items.Preset_Liberty_Dex", 1)</t>
  </si>
  <si>
    <t>Pozhar X-Mod2</t>
  </si>
  <si>
    <t>Game.AddToInventory("Items.Preset_Pozhar_Legendary", 1)</t>
  </si>
  <si>
    <t>Prejudice</t>
  </si>
  <si>
    <t>Game.AddToInventory("Items.Preset_Masamune_Rogue", 1)</t>
  </si>
  <si>
    <t>Game.AddToInventory("Items.Preset_Masamune_Rogue_Stash", 1)</t>
  </si>
  <si>
    <t>Pride</t>
  </si>
  <si>
    <t>Game.AddToInventory("Items.Preset_Liberty_Rogue", 1)</t>
  </si>
  <si>
    <t>Game.AddToInventory("Items.Preset_Liberty_Rogue_Stash", 1)</t>
  </si>
  <si>
    <t>Problem Solver</t>
  </si>
  <si>
    <t>Game.AddToInventory("Items.Preset_Saratoga_Raffen_Epic", 1)</t>
  </si>
  <si>
    <t>Game.AddToInventory("Items.Preset_Saratoga_Raffen_Legendary", 1)</t>
  </si>
  <si>
    <t>Game.AddToInventory("Items.Preset_Saratoga_Raffen", 1)</t>
  </si>
  <si>
    <t>Game.AddToInventory("Items.Hard_30_Reflex_Weapon5", 1)</t>
  </si>
  <si>
    <t>Prototype: Shingen Mark V</t>
  </si>
  <si>
    <t>Game.AddToInventory("Items.Preset_Shingen_Prototype", 1)</t>
  </si>
  <si>
    <t>Game.AddToInventory("Items.Hard_30_IntBody_Weapon5", 1)</t>
  </si>
  <si>
    <t>Game.AddToInventory("Items.VHard_50_IntTech_Weapon11", 1)</t>
  </si>
  <si>
    <t>Psalm 11:6</t>
  </si>
  <si>
    <t>Game.AddToInventory("Items.Preset_Copperhead_Genesis_Epic", 1)</t>
  </si>
  <si>
    <t>Game.AddToInventory("Items.Preset_Copperhead_Genesis", 1)</t>
  </si>
  <si>
    <t>Game.AddToInventory("Items.Common_Copperhead_Genesis", 1)</t>
  </si>
  <si>
    <t>Game.AddToInventory("Items.Uncommon_Copperhead_Genesis", 1)</t>
  </si>
  <si>
    <t>Game.AddToInventory("Items.Rare_Copperhead_Genesis", 1)</t>
  </si>
  <si>
    <t>Game.AddToInventory("Items.Epic_Copperhead_Genesis", 1)</t>
  </si>
  <si>
    <t>Game.AddToInventory("Items.Legendary_Copperhead_Genesis", 1)</t>
  </si>
  <si>
    <t>Game.AddToInventory("Items.Preset_Copperhead_Genesis_Legendary", 1)</t>
  </si>
  <si>
    <t>Pure hellfire. this gun deals additional Thermal damage, greatly increasing the chance to apply burn.</t>
  </si>
  <si>
    <t>Punknife</t>
  </si>
  <si>
    <t>Game.AddToInventory("Items.Craftable_Common_Punk_Knife", 1)</t>
  </si>
  <si>
    <t>Game.AddToInventory("Items.Preset_Punk_Knife_Default", 1)</t>
  </si>
  <si>
    <t>Game.AddToInventory("Items.Preset_Punk_Knife_Military", 1)</t>
  </si>
  <si>
    <t>Game.AddToInventory("Items.Preset_Punk_Knife_Neon", 1)</t>
  </si>
  <si>
    <t>Game.AddToInventory("Items.Preset_Punk_Knife_Pimp", 1)</t>
  </si>
  <si>
    <t>Game.AddToInventory("Items.Craftable_Uncommon_Punk_Knife", 1)</t>
  </si>
  <si>
    <t>Game.AddToInventory("Items.Craftable_Rare_Punk_Knife", 1)</t>
  </si>
  <si>
    <t>Game.AddToInventory("Items.Craftable_Epic_Punk_Knife", 1)</t>
  </si>
  <si>
    <t>Game.AddToInventory("Items.Craftable_Legendary_Punk_Knife", 1)</t>
  </si>
  <si>
    <t>Tech Smg</t>
  </si>
  <si>
    <t>Raiju</t>
  </si>
  <si>
    <t>Game.AddToInventory("Items.Preset_Senkoh_Prototype", 1)</t>
  </si>
  <si>
    <t>Rasetsu</t>
  </si>
  <si>
    <t>Game.AddToInventory("Items.Preset_Rasetsu_Prototype", 1)</t>
  </si>
  <si>
    <t>Game.AddToInventory("Items.Sniper_Nest_Version_Tech_Sniper_Rifle", 1)</t>
  </si>
  <si>
    <t>Game.AddToInventory("Items.Preset_Tech_Sniper_Rifle_Default", 1)</t>
  </si>
  <si>
    <t>Game.AddToInventory("Items.VHard_50_TechCool_Weapon1", 1)</t>
  </si>
  <si>
    <t>Razor</t>
  </si>
  <si>
    <t>Game.AddToInventory("Items.Craftable_Common_Machete_Borg", 1)</t>
  </si>
  <si>
    <t>Game.AddToInventory("Items.Preset_Machete_Borg_Default", 1)</t>
  </si>
  <si>
    <t>Game.AddToInventory("Items.Preset_Machete_Borg_Military", 1)</t>
  </si>
  <si>
    <t>Game.AddToInventory("Items.Preset_Machete_Borg_Neon", 1)</t>
  </si>
  <si>
    <t>Game.AddToInventory("Items.Preset_Machete_Borg_Pimp", 1)</t>
  </si>
  <si>
    <t>Game.AddToInventory("Items.Preset_Psycho_sts_std_rcr_05_early", 1)</t>
  </si>
  <si>
    <t>Game.AddToInventory("Items.Preset_Psycho_sts_std_rcr_05_end", 1)</t>
  </si>
  <si>
    <t>Game.AddToInventory("Items.Preset_Psycho_sts_std_rcr_05_late", 1)</t>
  </si>
  <si>
    <t>Game.AddToInventory("Items.Preset_Psycho_sts_std_rcr_05_mid", 1)</t>
  </si>
  <si>
    <t>Game.AddToInventory("Items.Preset_Psycho_sts_std_rcr_05", 1)</t>
  </si>
  <si>
    <t>Game.AddToInventory("Items.Craftable_Uncommon_Machete_Borg", 1)</t>
  </si>
  <si>
    <t>Game.AddToInventory("Items.Craftable_Rare_Machete_Borg", 1)</t>
  </si>
  <si>
    <t>Game.AddToInventory("Items.Craftable_Epic_Machete_Borg", 1)</t>
  </si>
  <si>
    <t>Game.AddToInventory("Items.Craftable_Legendary_Machete_Borg", 1)</t>
  </si>
  <si>
    <t>Recon Grenade</t>
  </si>
  <si>
    <t>Game.AddToInventory("Items.Preset_Grenade_Recon_Default", 1)</t>
  </si>
  <si>
    <t>Game.AddToInventory("Items.GrenadeReconRegular", 1)</t>
  </si>
  <si>
    <t>Game.AddToInventory("Items.GrenadeReconUncommonPlus", 1)</t>
  </si>
  <si>
    <t>Game.AddToInventory("Items.GrenadeReconRare", 1)</t>
  </si>
  <si>
    <t>Game.AddToInventory("Items.GrenadeReconRarePlus", 1)</t>
  </si>
  <si>
    <t>Game.AddToInventory("Items.GrenadeReconSticky", 1)</t>
  </si>
  <si>
    <t>Game.AddToInventory("Items.GrenadeReconEpicPlus", 1)</t>
  </si>
  <si>
    <t>Game.AddToInventory("Items.GrenadeReconLegendary", 1)</t>
  </si>
  <si>
    <t>Game.AddToInventory("Items.GrenadeReconLegendaryPlus", 1)</t>
  </si>
  <si>
    <t>Riskit</t>
  </si>
  <si>
    <t>Game.AddToInventory("Items.Preset_Nue_Bree", 1)</t>
  </si>
  <si>
    <t>Rook</t>
  </si>
  <si>
    <t>Game.AddToInventory("Items.Preset_Lexington_Rook", 1)</t>
  </si>
  <si>
    <t>Rosco</t>
  </si>
  <si>
    <t>Game.AddToInventory("Items.Preset_Overture_Dodger", 1)</t>
  </si>
  <si>
    <t>Game.AddToInventory("Items.VHard_50_BodyCool_Weapon13", 1)</t>
  </si>
  <si>
    <t>Rt-46 Burya</t>
  </si>
  <si>
    <t>Game.AddToInventory("Items.Preset_Burya_Default", 1)</t>
  </si>
  <si>
    <t>Game.AddToInventory("Items.Preset_Burya_Military", 1)</t>
  </si>
  <si>
    <t>Game.AddToInventory("Items.Preset_Burya_Neon", 1)</t>
  </si>
  <si>
    <t>Game.AddToInventory("Items.Preset_Burya_Pimp", 1)</t>
  </si>
  <si>
    <t>Game.AddToInventory("Items.Preset_Burya_Default_Retrofix", 1)</t>
  </si>
  <si>
    <t>Game.AddToInventory("Items.Preset_Burya_Default_Unbreakable", 1)</t>
  </si>
  <si>
    <t>Game.AddToInventory("Items.Preset_Burya_Military_Retrofix", 1)</t>
  </si>
  <si>
    <t>Game.AddToInventory("Items.Preset_Burya_Military_Unbreakable", 1)</t>
  </si>
  <si>
    <t>Game.AddToInventory("Items.Preset_Burya_Neon_Retrofix", 1)</t>
  </si>
  <si>
    <t>Game.AddToInventory("Items.Preset_Burya_Neon_Unbreakable", 1)</t>
  </si>
  <si>
    <t>Game.AddToInventory("Items.Preset_Burya_Pimp_Retrofix", 1)</t>
  </si>
  <si>
    <t>Game.AddToInventory("Items.Preset_Burya_Pimp_Unbreakable", 1)</t>
  </si>
  <si>
    <t>Game.AddToInventory("Items.Craftable_Common_Burya", 1)</t>
  </si>
  <si>
    <t>Game.AddToInventory("Items.Preset_Burya_Default_Left_Hand", 1)</t>
  </si>
  <si>
    <t>Game.AddToInventory("Items.Preset_Burya_Military_Left_Hand", 1)</t>
  </si>
  <si>
    <t>Game.AddToInventory("Items.Preset_Burya_Neon_Left_Hand", 1)</t>
  </si>
  <si>
    <t>Game.AddToInventory("Items.Preset_Burya_Pimp_Left_Hand", 1)</t>
  </si>
  <si>
    <t>Game.AddToInventory("Items.Craftable_Uncommon_Burya", 1)</t>
  </si>
  <si>
    <t>Game.AddToInventory("Items.Craftable_Rare_Burya", 1)</t>
  </si>
  <si>
    <t>Game.AddToInventory("Items.Craftable_Epic_Burya", 1)</t>
  </si>
  <si>
    <t>Game.AddToInventory("Items.Craftable_Legendary_Burya", 1)</t>
  </si>
  <si>
    <t>Sasquatch's Hammer</t>
  </si>
  <si>
    <t>Game.AddToInventory("Items.Preset_Hammer_Sasquatch", 1)</t>
  </si>
  <si>
    <t>Game.AddToInventory("Items.VHard_50_BodyCool_Weapon8", 1)</t>
  </si>
  <si>
    <t>Game.AddToInventory("Items.VHard_50_RefTech_Weapon11", 1)</t>
  </si>
  <si>
    <t>Game.AddToInventory("Items.w_melee_boss_hammer", 1)</t>
  </si>
  <si>
    <t>Adds a chance to 30% knockdown chance to Fast Attacks. This chance is increased to 50% on Strong Attacks. Due to the weights added to the weapon, its attack speed is reduced by 66%, but base damage is multiplied by 200%.</t>
  </si>
  <si>
    <t>Satori</t>
  </si>
  <si>
    <t>Game.AddToInventory("Items.Preset_Katana_Saburo_Epic", 1)</t>
  </si>
  <si>
    <t>Game.AddToInventory("Items.Preset_Katana_Saburo_Legendary", 1)</t>
  </si>
  <si>
    <t>Game.AddToInventory("Items.Preset_Katana_Saburo", 1)</t>
  </si>
  <si>
    <t>Wielding the Satori allows you to leap towards enemies by holding down the attack button. While Satori is sheathed, you can use a Quickdraw Attack, which is guaranteed to inflict Bleeding. If the enemy is already affected by Bleeding from Nehan, Satori will cause hemorrhaging instead. Hemorrhaging drains enemy Health and regenerates yours.</t>
  </si>
  <si>
    <t>Scalpel</t>
  </si>
  <si>
    <t>Game.AddToInventory("Items.Preset_Katana_Surgeon_Epic", 1)</t>
  </si>
  <si>
    <t>Game.AddToInventory("Items.Preset_Katana_Surgeon_Legendary", 1)</t>
  </si>
  <si>
    <t>Game.AddToInventory("Items.Preset_Katana_Surgeon", 1)</t>
  </si>
  <si>
    <t>Game.AddToInventory("Items.VHard_50_RefTech_Weapon4", 1)</t>
  </si>
  <si>
    <t>Scarab</t>
  </si>
  <si>
    <t>Game.AddToInventory("Items.AldecadosGrenade", 1)</t>
  </si>
  <si>
    <t>Scorch</t>
  </si>
  <si>
    <t>Game.AddToInventory("Items.Preset_Ticon_Gwent", 1)</t>
  </si>
  <si>
    <t>Game.AddToInventory("Items.Normal_20_Netrunner_Weapon3", 1)</t>
  </si>
  <si>
    <t>Game.AddToInventory("Items.VHard_50_TechCool_Weapon6", 1)</t>
  </si>
  <si>
    <t>Senkoh Lx</t>
  </si>
  <si>
    <t>Game.AddToInventory("Items.Craftable_Common_Senkoh", 1)</t>
  </si>
  <si>
    <t>Game.AddToInventory("Items.Preset_Senkoh_Default", 1)</t>
  </si>
  <si>
    <t>Game.AddToInventory("Items.Preset_Senkoh_Military", 1)</t>
  </si>
  <si>
    <t>Game.AddToInventory("Items.Preset_Senkoh_Neon", 1)</t>
  </si>
  <si>
    <t>Game.AddToInventory("Items.Preset_Senkoh_Pimp", 1)</t>
  </si>
  <si>
    <t>Game.AddToInventory("Items.Preset_Senkoh_Legendary", 1)</t>
  </si>
  <si>
    <t>Game.AddToInventory("Items.Craftable_Uncommon_Senkoh", 1)</t>
  </si>
  <si>
    <t>Game.AddToInventory("Items.Craftable_Rare_Senkoh", 1)</t>
  </si>
  <si>
    <t>Game.AddToInventory("Items.Craftable_Epic_Senkoh", 1)</t>
  </si>
  <si>
    <t>Game.AddToInventory("Items.Craftable_Legendary_Senkoh", 1)</t>
  </si>
  <si>
    <t>Seraph</t>
  </si>
  <si>
    <t>Game.AddToInventory("Items.Preset_Liberty_Padre_Legendary", 1)</t>
  </si>
  <si>
    <t>Game.AddToInventory("Items.Preset_Liberty_Padre", 1)</t>
  </si>
  <si>
    <t>Shigure</t>
  </si>
  <si>
    <t>Game.AddToInventory("Items.Preset_Saratoga_Arasaka_2020", 1)</t>
  </si>
  <si>
    <t>Game.AddToInventory("Items.Preset_Saratoga_Arasaka_2077", 1)</t>
  </si>
  <si>
    <t>Game.AddToInventory("Items.Preset_Saratoga_Arasaka_2077_Unbreakable", 1)</t>
  </si>
  <si>
    <t>Sir John Phallustiff</t>
  </si>
  <si>
    <t>Game.AddToInventory("Items.Preset_Dildo_Stout_Epic", 1)</t>
  </si>
  <si>
    <t>Game.AddToInventory("Items.Preset_Dildo_Stout_Legendary", 1)</t>
  </si>
  <si>
    <t>Game.AddToInventory("Items.Preset_Dildo_Stout", 1)</t>
  </si>
  <si>
    <t>Game.AddToInventory("Items.w_melee_dildo", 1)</t>
  </si>
  <si>
    <t>Skippy</t>
  </si>
  <si>
    <t>Game.AddToInventory("Items.mq007_skippy", 1)</t>
  </si>
  <si>
    <t>Game.AddToInventory("Items.mq007_skippy_post_quest", 1)</t>
  </si>
  <si>
    <t>Game.AddToInventory("Items.Preset_Yukimura_Skippy", 1)</t>
  </si>
  <si>
    <t>Game.AddToInventory("Items.Preset_Yukimura_Skippy_PostQuest", 1)</t>
  </si>
  <si>
    <t>Slaught-O-Matic</t>
  </si>
  <si>
    <t>Game.AddToInventory("Items.Preset_Base_Slaughtomatic_Left_Hand", 1)</t>
  </si>
  <si>
    <t>Game.AddToInventory("Items.Preset_Base_Slaughtomatic", 1)</t>
  </si>
  <si>
    <t>Smoke Grenade</t>
  </si>
  <si>
    <t>Game.AddToInventory("Items.GrenadeSmokeOda", 1)</t>
  </si>
  <si>
    <t>Game.AddToInventory("Items.GrenadeSmokeOdaHarmless", 1)</t>
  </si>
  <si>
    <t>Game.AddToInventory("Items.GrenadeSmokeRegular", 1)</t>
  </si>
  <si>
    <t>Game.AddToInventory("Items.GrenadeSmokeUncommonPlus", 1)</t>
  </si>
  <si>
    <t>Game.AddToInventory("Items.GrenadeSmokeRare", 1)</t>
  </si>
  <si>
    <t>Game.AddToInventory("Items.GrenadeSmokeRarePlus", 1)</t>
  </si>
  <si>
    <t>Game.AddToInventory("Items.GrenadeSmokeEpic", 1)</t>
  </si>
  <si>
    <t>Game.AddToInventory("Items.GrenadeSmokeEpicPlus", 1)</t>
  </si>
  <si>
    <t>Game.AddToInventory("Items.GrenadeSmokeLegendary", 1)</t>
  </si>
  <si>
    <t>Game.AddToInventory("Items.GrenadeSmokeLegendaryPlus", 1)</t>
  </si>
  <si>
    <t>Socket Wrench</t>
  </si>
  <si>
    <t>Game.AddToInventory("Items.w_melee_007__pipe_wrench", 1)</t>
  </si>
  <si>
    <t>Game.AddToInventory("Items.Preset_Pipe_Wrench_Default", 1)</t>
  </si>
  <si>
    <t>Sor-22</t>
  </si>
  <si>
    <t>Game.AddToInventory("Items.Craftable_Common_Sor22", 1)</t>
  </si>
  <si>
    <t>Game.AddToInventory("Items.Preset_Sor22_Default", 1)</t>
  </si>
  <si>
    <t>Game.AddToInventory("Items.Preset_Sor22_Military", 1)</t>
  </si>
  <si>
    <t>Game.AddToInventory("Items.Preset_Sor22_Neon", 1)</t>
  </si>
  <si>
    <t>Game.AddToInventory("Items.Preset_Sor22_Pimp", 1)</t>
  </si>
  <si>
    <t>Game.AddToInventory("Items.Preset_Psycho_ma_bls_ina_se1_22", 1)</t>
  </si>
  <si>
    <t>Game.AddToInventory("Items.Preset_Psycho_ma_bls_ina_se1_22_early", 1)</t>
  </si>
  <si>
    <t>Game.AddToInventory("Items.Preset_Psycho_ma_bls_ina_se1_22_end", 1)</t>
  </si>
  <si>
    <t>Game.AddToInventory("Items.Preset_Psycho_ma_bls_ina_se1_22_late", 1)</t>
  </si>
  <si>
    <t>Game.AddToInventory("Items.Preset_Psycho_ma_bls_ina_se1_22_mid", 1)</t>
  </si>
  <si>
    <t>Game.AddToInventory("Items.Preset_Sor22_Nusa_Black", 1)</t>
  </si>
  <si>
    <t>Game.AddToInventory("Items.Preset_Sor22_Nusa_White", 1)</t>
  </si>
  <si>
    <t>Game.AddToInventory("Items.Craftable_Uncommon_Sor22", 1)</t>
  </si>
  <si>
    <t>Game.AddToInventory("Items.Craftable_Rare_Sor22", 1)</t>
  </si>
  <si>
    <t>Game.AddToInventory("Items.Proficiency_Craftable_Epic_Sor22", 1)</t>
  </si>
  <si>
    <t>Game.AddToInventory("Items.Craftable_Epic_Sor22", 1)</t>
  </si>
  <si>
    <t>Game.AddToInventory("Items.Craftable_Legendary_Sor22", 1)</t>
  </si>
  <si>
    <t>Sovereign</t>
  </si>
  <si>
    <t>Game.AddToInventory("Items.Preset_Igla_Sovereign_Legendary", 1)</t>
  </si>
  <si>
    <t>Game.AddToInventory("Items.Preset_Igla_Sovereign", 1)</t>
  </si>
  <si>
    <t>Game.AddToInventory("Items.Common_Igla_Sovereign", 1)</t>
  </si>
  <si>
    <t>Game.AddToInventory("Items.Uncommon_Igla_Sovereign", 1)</t>
  </si>
  <si>
    <t>Game.AddToInventory("Items.Rare_Igla_Sovereign", 1)</t>
  </si>
  <si>
    <t>Game.AddToInventory("Items.Epic_Igla_Sovereign", 1)</t>
  </si>
  <si>
    <t>Game.AddToInventory("Items.Legendary_Igla_Sovereign", 1)</t>
  </si>
  <si>
    <t>Fires both of its barrels with one pull of the trigger, always dealing critical damage when fired from point-blank range. In addition, it grants increased reload speed and movement speed upon hitting an enemy in the torso.</t>
  </si>
  <si>
    <t>Game.AddToInventory("Items.VHard_50_BodyCool_Weapon16", 1)</t>
  </si>
  <si>
    <t>Sparky</t>
  </si>
  <si>
    <t>Game.AddToInventory("Items.Preset_Grad_Scav", 1)</t>
  </si>
  <si>
    <t>Spawn An Hmg</t>
  </si>
  <si>
    <t>Game.AddToInventory("Items.w_special_flak", 1)</t>
  </si>
  <si>
    <t>Not In Inventory</t>
  </si>
  <si>
    <t>Spt32 Grad</t>
  </si>
  <si>
    <t>Game.AddToInventory("Items.Preset_Grad_Default", 1)</t>
  </si>
  <si>
    <t>Game.AddToInventory("Items.Preset_Grad_Military", 1)</t>
  </si>
  <si>
    <t>Game.AddToInventory("Items.Preset_Grad_Neon", 1)</t>
  </si>
  <si>
    <t>Game.AddToInventory("Items.Preset_Grad_Pimp", 1)</t>
  </si>
  <si>
    <t>Game.AddToInventory("Items.Craftable_Base_Grad", 1)</t>
  </si>
  <si>
    <t>Game.AddToInventory("Items.Craftable_Common_Grad", 1)</t>
  </si>
  <si>
    <t>Game.AddToInventory("Items.Preset_RocketLauncher_Default", 1)</t>
  </si>
  <si>
    <t>Game.AddToInventory("Items.Craftable_Uncommon_Grad", 1)</t>
  </si>
  <si>
    <t>Game.AddToInventory("Items.Weak_20_Cool_Weapon2", 1)</t>
  </si>
  <si>
    <t>Game.AddToInventory("Items.Proficiency_Craftable_Rare_Grad", 1)</t>
  </si>
  <si>
    <t>Game.AddToInventory("Items.Craftable_Rare_Grad", 1)</t>
  </si>
  <si>
    <t>Game.AddToInventory("Items.Craftable_Epic_Grad", 1)</t>
  </si>
  <si>
    <t>Game.AddToInventory("Items.Craftable_Legendary_Grad", 1)</t>
  </si>
  <si>
    <t>Game.AddToInventory("Items.VHard_50_CoolRef_Weapon3", 1)</t>
  </si>
  <si>
    <t>Steel Pipe</t>
  </si>
  <si>
    <t>Game.AddToInventory("Items.Preset_Iron_Pipe_Default", 1)</t>
  </si>
  <si>
    <t>Game.AddToInventory("Items.Craftable_Common_Iron_Pipe", 1)</t>
  </si>
  <si>
    <t>Game.AddToInventory("Items.Craftable_Uncommon_Iron_Pipe", 1)</t>
  </si>
  <si>
    <t>Game.AddToInventory("Items.Craftable_Rare_Iron_Pipe", 1)</t>
  </si>
  <si>
    <t>Game.AddToInventory("Items.Craftable_Epic_Iron_Pipe", 1)</t>
  </si>
  <si>
    <t>Game.AddToInventory("Items.Craftable_Legendary_Iron_Pipe", 1)</t>
  </si>
  <si>
    <t>Stinger</t>
  </si>
  <si>
    <t>Game.AddToInventory("Items.mq001_scorpions_knife", 1)</t>
  </si>
  <si>
    <t>Game.AddToInventory("Items.Preset_Knife_Stinger_Epic", 1)</t>
  </si>
  <si>
    <t>Game.AddToInventory("Items.Preset_Knife_Stinger_Legendary", 1)</t>
  </si>
  <si>
    <t>Game.AddToInventory("Items.Preset_Knife_Stinger", 1)</t>
  </si>
  <si>
    <t>Taigan</t>
  </si>
  <si>
    <t>Game.AddToInventory("Items.Preset_Metel_AirDrop", 1)</t>
  </si>
  <si>
    <t>Game.AddToInventory("Items.VHard_50_TechCool_Weapon9", 1)</t>
  </si>
  <si>
    <t>Game.AddToInventory("Items.VHard_50_RefTech_Weapon9", 1)</t>
  </si>
  <si>
    <t>Tamayura</t>
  </si>
  <si>
    <t>Game.AddToInventory("Items.Preset_Nue_Arasaka_2020", 1)</t>
  </si>
  <si>
    <t>Game.AddToInventory("Items.Preset_Nue_Arasaka_2077", 1)</t>
  </si>
  <si>
    <t>Game.AddToInventory("Items.Preset_Nue_Arasaka_2020_Left_Hand1", 1)</t>
  </si>
  <si>
    <t>Game.AddToInventory("Items.Preset_Nue_Arasaka_2020_Retrofix", 1)</t>
  </si>
  <si>
    <t>Game.AddToInventory("Items.Preset_Nue_Arasaka_2020_Unbreakable", 1)</t>
  </si>
  <si>
    <t>Game.AddToInventory("Items.VHard_50_CoolRef_Weapon5", 1)</t>
  </si>
  <si>
    <t>Tanto</t>
  </si>
  <si>
    <t>Game.AddToInventory("Items.Craftable_Common_Tanto", 1)</t>
  </si>
  <si>
    <t>Game.AddToInventory("Items.Preset_Tanto_Default", 1)</t>
  </si>
  <si>
    <t>Game.AddToInventory("Items.Craftable_Uncommon_Tanto", 1)</t>
  </si>
  <si>
    <t>Game.AddToInventory("Items.Craftable_Rare_Tanto", 1)</t>
  </si>
  <si>
    <t>Game.AddToInventory("Items.Craftable_Epic_Tanto", 1)</t>
  </si>
  <si>
    <t>Game.AddToInventory("Items.Craftable_Legendary_Tanto", 1)</t>
  </si>
  <si>
    <t>Tater Tot</t>
  </si>
  <si>
    <t>Game.AddToInventory("Items.SixthStreetGrenade1", 1)</t>
  </si>
  <si>
    <t>Game.AddToInventory("Items.SixthStreetGrenade2", 1)</t>
  </si>
  <si>
    <t>The Headsman</t>
  </si>
  <si>
    <t>Game.AddToInventory("Items.Preset_Tactician_Headsman_Legendary", 1)</t>
  </si>
  <si>
    <t>Fires a single round instead of pellets. Coupled with a unique scope, this shotgun gains ridiculous accuracy for its range. Headshots momentarily increase reload speed and accuracy and a subsequent headshot deals Crit Damage.</t>
  </si>
  <si>
    <t>Game.AddToInventory("Items.Preset_Tactician_Headsman", 1)</t>
  </si>
  <si>
    <t>Game.AddToInventory("Items.Common_Tactician_Headsman", 1)</t>
  </si>
  <si>
    <t>Game.AddToInventory("Items.Uncommon_Tactician_Headsman", 1)</t>
  </si>
  <si>
    <t>Game.AddToInventory("Items.Rare_Tactician_Headsman", 1)</t>
  </si>
  <si>
    <t>Game.AddToInventory("Items.Epic_Tactician_Headsman", 1)</t>
  </si>
  <si>
    <t>Game.AddToInventory("Items.Legendary_Tactician_Headsman", 1)</t>
  </si>
  <si>
    <t>Game.AddToInventory("Items.VHard_50_RefBody_Weapon4", 1)</t>
  </si>
  <si>
    <t>Tinker Bell</t>
  </si>
  <si>
    <t>Game.AddToInventory("Items.Preset_Baton_Tinker_Bell_Epic", 1)</t>
  </si>
  <si>
    <t>Game.AddToInventory("Items.Preset_Baton_Tinker_Bell_Legendary", 1)</t>
  </si>
  <si>
    <t>Game.AddToInventory("Items.Preset_Baton_Tinker_Bell", 1)</t>
  </si>
  <si>
    <t>Game.AddToInventory("Items.sq021_peter_pan_baton", 1)</t>
  </si>
  <si>
    <t>Tire Iron</t>
  </si>
  <si>
    <t>Game.AddToInventory("Items.Craftable_Common_Tire_Iron", 1)</t>
  </si>
  <si>
    <t>Game.AddToInventory("Items.Preset_Tire_Iron_Default", 1)</t>
  </si>
  <si>
    <t>Game.AddToInventory("Items.Craftable_Uncommon_Tire_Iron", 1)</t>
  </si>
  <si>
    <t>Game.AddToInventory("Items.Craftable_Rare_Tire_Iron", 1)</t>
  </si>
  <si>
    <t>Game.AddToInventory("Items.Craftable_Epic_Tire_Iron", 1)</t>
  </si>
  <si>
    <t>Game.AddToInventory("Items.Craftable_Legendary_Tire_Iron", 1)</t>
  </si>
  <si>
    <t>Tki-20 Shingen</t>
  </si>
  <si>
    <t>Game.AddToInventory("Items.Oda_Shingen", 1)</t>
  </si>
  <si>
    <t>Game.AddToInventory("Items.Craftable_Common_Shingen", 1)</t>
  </si>
  <si>
    <t>Game.AddToInventory("Items.Preset_Shingen_Default", 1)</t>
  </si>
  <si>
    <t>Game.AddToInventory("Items.Preset_Shingen_Military", 1)</t>
  </si>
  <si>
    <t>Game.AddToInventory("Items.Preset_Shingen_Neon", 1)</t>
  </si>
  <si>
    <t>Game.AddToInventory("Items.Preset_Shingen_Pimp", 1)</t>
  </si>
  <si>
    <t>Game.AddToInventory("Items.Preset_Shingen_Military_Unbreakable", 1)</t>
  </si>
  <si>
    <t>Game.AddToInventory("Items.Craftable_Uncommon_Shingen", 1)</t>
  </si>
  <si>
    <t>Game.AddToInventory("Items.Craftable_Rare_Shingen", 1)</t>
  </si>
  <si>
    <t>Game.AddToInventory("Items.Craftable_Epic_Shingen", 1)</t>
  </si>
  <si>
    <t>Game.AddToInventory("Items.Craftable_Legendary_Shingen", 1)</t>
  </si>
  <si>
    <t>Tomahawk</t>
  </si>
  <si>
    <t>Game.AddToInventory("Items.Craftable_Common_Tomahawk", 1)</t>
  </si>
  <si>
    <t>Game.AddToInventory("Items.Preset_Tomahawk_Default", 1)</t>
  </si>
  <si>
    <t>Game.AddToInventory("Items.Craftable_Uncommon_Tomahawk", 1)</t>
  </si>
  <si>
    <t>Game.AddToInventory("Items.Craftable_Rare_Tomahawk", 1)</t>
  </si>
  <si>
    <t>Game.AddToInventory("Items.Craftable_Epic_Tomahawk", 1)</t>
  </si>
  <si>
    <t>Game.AddToInventory("Items.Craftable_Legendary_Tomahawk", 1)</t>
  </si>
  <si>
    <t>Tsumetogi</t>
  </si>
  <si>
    <t>Game.AddToInventory("Items.Preset_Katana_Hiromi_Epic", 1)</t>
  </si>
  <si>
    <t>Game.AddToInventory("Items.Preset_Katana_Hiromi_Legendary", 1)</t>
  </si>
  <si>
    <t>Game.AddToInventory("Items.Preset_Katana_Hiromi", 1)</t>
  </si>
  <si>
    <t>Umbra X-Mod2</t>
  </si>
  <si>
    <t>Game.AddToInventory("Items.Preset_Umbra_Collectible", 1)</t>
  </si>
  <si>
    <t>Game.AddToInventory("Items.VHard_50_IntRef_Weapon5", 1)</t>
  </si>
  <si>
    <t>Unity</t>
  </si>
  <si>
    <t>Game.AddToInventory("Items.Craftable_Common_Unity", 1)</t>
  </si>
  <si>
    <t>Game.AddToInventory("Items.Preset_Unity_Default", 1)</t>
  </si>
  <si>
    <t>Game.AddToInventory("Items.Preset_Unity_Military", 1)</t>
  </si>
  <si>
    <t>Game.AddToInventory("Items.Preset_Unity_Neon", 1)</t>
  </si>
  <si>
    <t>Game.AddToInventory("Items.Preset_Unity_Pimp", 1)</t>
  </si>
  <si>
    <t>Game.AddToInventory("Items.Preset_V_Unity", 1)</t>
  </si>
  <si>
    <t>V's Unity</t>
  </si>
  <si>
    <t>Game.AddToInventory("Items.Preset_V_Unity_Cutscene", 1)</t>
  </si>
  <si>
    <t>Game.AddToInventory("Items.Preset_Unity_Default_Left_Hand", 1)</t>
  </si>
  <si>
    <t>Game.AddToInventory("Items.Preset_Unity_Default_Retrofix", 1)</t>
  </si>
  <si>
    <t>Game.AddToInventory("Items.Preset_Unity_Default_Unbreakable", 1)</t>
  </si>
  <si>
    <t>Game.AddToInventory("Items.Preset_Unity_Military_Left_Hand", 1)</t>
  </si>
  <si>
    <t>Game.AddToInventory("Items.Preset_Unity_Military_Retrofix", 1)</t>
  </si>
  <si>
    <t>Game.AddToInventory("Items.Preset_Unity_Military_Unbreakable", 1)</t>
  </si>
  <si>
    <t>Game.AddToInventory("Items.Preset_Unity_Neon_Left_Hand", 1)</t>
  </si>
  <si>
    <t>Game.AddToInventory("Items.Preset_Unity_Neon_Retrofix", 1)</t>
  </si>
  <si>
    <t>Game.AddToInventory("Items.Preset_Unity_Neon_Unbreakable", 1)</t>
  </si>
  <si>
    <t>Game.AddToInventory("Items.Preset_Unity_Pimp_Left_Hand_2", 1)</t>
  </si>
  <si>
    <t>Game.AddToInventory("Items.Preset_Unity_Pimp_Left_Hand", 1)</t>
  </si>
  <si>
    <t>Game.AddToInventory("Items.Preset_Unity_Pimp_Retrofix", 1)</t>
  </si>
  <si>
    <t>Game.AddToInventory("Items.Preset_Unity_Pimp_Unbreakable", 1)</t>
  </si>
  <si>
    <t>Game.AddToInventory("Items.Craftable_Uncommon_Unity", 1)</t>
  </si>
  <si>
    <t>Game.AddToInventory("Items.Craftable_Rare_Unity", 1)</t>
  </si>
  <si>
    <t>Game.AddToInventory("Items.Craftable_Epic_Unity", 1)</t>
  </si>
  <si>
    <t>Game.AddToInventory("Items.Craftable_Legendary_Unity", 1)</t>
  </si>
  <si>
    <t>Volkodav</t>
  </si>
  <si>
    <t>Game.AddToInventory("Items.Preset_Machete_Borg_AirDrop", 1)</t>
  </si>
  <si>
    <t>Game.AddToInventory("Items.VHard_50_RefTech_Weapon7", 1)</t>
  </si>
  <si>
    <t>Vst-37 Pozhar</t>
  </si>
  <si>
    <t>Game.AddToInventory("Items.Craftable_Common_Pozhar", 1)</t>
  </si>
  <si>
    <t>Game.AddToInventory("Items.Preset_Pozhar_Default", 1)</t>
  </si>
  <si>
    <t>Game.AddToInventory("Items.Preset_Pozhar_Military", 1)</t>
  </si>
  <si>
    <t>Game.AddToInventory("Items.Preset_Pozhar_Neon", 1)</t>
  </si>
  <si>
    <t>Game.AddToInventory("Items.Preset_Pozhar_Pimp", 1)</t>
  </si>
  <si>
    <t>Game.AddToInventory("Items.Craftable_Uncommon_Pozhar", 1)</t>
  </si>
  <si>
    <t>Game.AddToInventory("Items.Craftable_Rare_Pozhar", 1)</t>
  </si>
  <si>
    <t>Game.AddToInventory("Items.Craftable_Epic_Pozhar", 1)</t>
  </si>
  <si>
    <t>Game.AddToInventory("Items.Craftable_Legendary_Pozhar", 1)</t>
  </si>
  <si>
    <t>Warden</t>
  </si>
  <si>
    <t>Game.AddToInventory("Items.Craftable_Common_Warden", 1)</t>
  </si>
  <si>
    <t>Game.AddToInventory("Items.Preset_Warden_Krausser", 1)</t>
  </si>
  <si>
    <t>Game.AddToInventory("Items.Preset_Warden_Legendary", 1)</t>
  </si>
  <si>
    <t>Game.AddToInventory("Items.Preset_Warden_Default", 1)</t>
  </si>
  <si>
    <t>Game.AddToInventory("Items.Preset_Warden_Military", 1)</t>
  </si>
  <si>
    <t>Game.AddToInventory("Items.Preset_Warden_Neon", 1)</t>
  </si>
  <si>
    <t>Game.AddToInventory("Items.Preset_Warden_Pimp", 1)</t>
  </si>
  <si>
    <t>Game.AddToInventory("Items.Craftable_Uncommon_Warden", 1)</t>
  </si>
  <si>
    <t>Game.AddToInventory("Items.Craftable_Rare_Warden", 1)</t>
  </si>
  <si>
    <t>Game.AddToInventory("Items.Craftable_Epic_Warden", 1)</t>
  </si>
  <si>
    <t>Game.AddToInventory("Items.Craftable_Legendary_Warden", 1)</t>
  </si>
  <si>
    <t>Widow Maker</t>
  </si>
  <si>
    <t>Game.AddToInventory("Items.Preset_Achilles_Nash_Epic", 1)</t>
  </si>
  <si>
    <t>Game.AddToInventory("Items.VHard_50_IntTech_Weapon6", 1)</t>
  </si>
  <si>
    <t>Game.AddToInventory("Items.VHard_50_TechCool_Weapon10", 1)</t>
  </si>
  <si>
    <t>Widowmaker</t>
  </si>
  <si>
    <t>Game.AddToInventory("Items.Preset_Achilles_Nash_Legendary", 1)</t>
  </si>
  <si>
    <t>Game.AddToInventory("Items.Preset_Achilles_Nash", 1)</t>
  </si>
  <si>
    <t>Wild Dog</t>
  </si>
  <si>
    <t>Game.AddToInventory("Items.Preset_Defender_Kurt", 1)</t>
  </si>
  <si>
    <t>X-22 Flashbang Grenade</t>
  </si>
  <si>
    <t>Game.AddToInventory("Items.Preset_Grenade_Flash_Default", 1)</t>
  </si>
  <si>
    <t>Game.AddToInventory("Items.GrenadeFlashCommonPlus", 1)</t>
  </si>
  <si>
    <t>Game.AddToInventory("Items.GrenadeFlashUncommon", 1)</t>
  </si>
  <si>
    <t>Game.AddToInventory("Items.GrenadeFlashUncommonPlus", 1)</t>
  </si>
  <si>
    <t>Game.AddToInventory("Items.GrenadeFlashHoming", 1)</t>
  </si>
  <si>
    <t>Game.AddToInventory("Items.GrenadeFlashRarePlus", 1)</t>
  </si>
  <si>
    <t>Game.AddToInventory("Items.GrenadeFlashEpic", 1)</t>
  </si>
  <si>
    <t>Game.AddToInventory("Items.GrenadeFlashEpicPlus", 1)</t>
  </si>
  <si>
    <t>Game.AddToInventory("Items.GrenadeFlashLegendary", 1)</t>
  </si>
  <si>
    <t>Game.AddToInventory("Items.GrenadeFlashLegendaryPlus", 1)</t>
  </si>
  <si>
    <t>Yasha</t>
  </si>
  <si>
    <t>Game.AddToInventory("Items.Preset_Ashura_Twitch", 1)</t>
  </si>
  <si>
    <t>Game.AddToInventory("Items.VHard_50_IntRef_Weapon9", 1)</t>
  </si>
  <si>
    <t>Game.AddToInventory("Items.VHard_50_IntTech_Weapon9", 1)</t>
  </si>
  <si>
    <t>Yinglong</t>
  </si>
  <si>
    <t>Game.AddToInventory("Items.Preset_Dian_Yinglong", 1)</t>
  </si>
  <si>
    <t>Deals additional Electrical damage with a chance to cause EMP explosions on bullet impact.</t>
  </si>
  <si>
    <t>Game.AddToInventory("Items.Common_Dian_Yinglong", 1)</t>
  </si>
  <si>
    <t>Game.AddToInventory("Items.Uncommon_Dian_Yinglong", 1)</t>
  </si>
  <si>
    <t>Game.AddToInventory("Items.Rare_Dian_Yinglong", 1)</t>
  </si>
  <si>
    <t>Game.AddToInventory("Items.Epic_Dian_Yinglong", 1)</t>
  </si>
  <si>
    <t>Game.AddToInventory("Items.Legendary_Dian_Yinglong", 1)</t>
  </si>
  <si>
    <t>Game.AddToInventory("Items.VHard_50_IntTech_Weapon4", 1)</t>
  </si>
  <si>
    <t>Z_Removed/Useless/?</t>
  </si>
  <si>
    <t>Z_Char Incendiary Grenade [Tier 2]</t>
  </si>
  <si>
    <t>Z</t>
  </si>
  <si>
    <t>Game.AddToInventory("Items.GrenadeIncendiaryRegular_VeryHard", 1)</t>
  </si>
  <si>
    <t>Z_Dummy? Useless?</t>
  </si>
  <si>
    <t>Game.AddToInventory("Items.GrenadeIncendiaryRegularHack", 1)</t>
  </si>
  <si>
    <t>Z_Emp Grenade [Tier 1]</t>
  </si>
  <si>
    <t>Game.AddToInventory("Items.GrenadeEMPRegular_VeryHard", 1)</t>
  </si>
  <si>
    <t>Game.AddToInventory("Items.GrenadeEMPRegularHack", 1)</t>
  </si>
  <si>
    <t>Z_F-Gx Frag Grenade [Tier 1]</t>
  </si>
  <si>
    <t>Game.AddToInventory("Items.GrenadeFragRegular_VeryHard", 1)</t>
  </si>
  <si>
    <t>Game.AddToInventory("Items.GrenadeFragRegularHack", 1)</t>
  </si>
  <si>
    <t>Z_Hjsh-18 Masamune</t>
  </si>
  <si>
    <t>Game.AddToInventory("Items.Preset_Masamune_Scope", 1)</t>
  </si>
  <si>
    <t>Z_-</t>
  </si>
  <si>
    <t>Z_Knife</t>
  </si>
  <si>
    <t>Game.AddToInventory("Items.Preset_Combat_Knife_Default", 1)</t>
  </si>
  <si>
    <t>Z_Texture - Default</t>
  </si>
  <si>
    <t>Z_Knuckls</t>
  </si>
  <si>
    <t>Game.AddToInventory("Items.Preset_Knuckles_Golden", 1)</t>
  </si>
  <si>
    <t>Game.AddToInventory("Items.Preset_Knuckles_Default", 1)</t>
  </si>
  <si>
    <t>Game.AddToInventory("Items.Preset_Knuckles_Military", 1)</t>
  </si>
  <si>
    <t>Z_Texture - Military</t>
  </si>
  <si>
    <t>Game.AddToInventory("Items.Preset_Knuckles_Pimp", 1)</t>
  </si>
  <si>
    <t>Z_Texture - Pimp</t>
  </si>
  <si>
    <t>Z_M-179e Achilles</t>
  </si>
  <si>
    <t>Game.AddToInventory("Items.Preset_Achilles_Tiny_Mike", 1)</t>
  </si>
  <si>
    <t>Z_Malorian Arms 3156</t>
  </si>
  <si>
    <t>Game.AddToInventory("Items.Silverhand_Malorian", 1)</t>
  </si>
  <si>
    <t>Z_Inventory Image Bugged</t>
  </si>
  <si>
    <t>Z_Molodets Biohaz Grenade [Tier 3]</t>
  </si>
  <si>
    <t>Game.AddToInventory("Items.GrenadeBiohazardRegular_VeryHard", 1)</t>
  </si>
  <si>
    <t>Game.AddToInventory("Items.GrenadeBiohazardRegularHack", 1)</t>
  </si>
  <si>
    <t>Z_Recon Grenade [Tier 2]</t>
  </si>
  <si>
    <t>Game.AddToInventory("Items.GrenadeReconRegularHack", 1)</t>
  </si>
  <si>
    <t>Z_X-22 Flashbang Grenade [Tier 1]</t>
  </si>
  <si>
    <t>Game.AddToInventory("Items.GrenadeFlashRegular", 1)</t>
  </si>
  <si>
    <t>Game.AddToInventory("Items.GrenadeFlashRegularHack", 1)</t>
  </si>
  <si>
    <t>Catagory</t>
  </si>
  <si>
    <t xml:space="preserve">Misc </t>
  </si>
  <si>
    <t>Scope - Generic - Short</t>
  </si>
  <si>
    <t>Add-Vantage</t>
  </si>
  <si>
    <t>Game.AddToInventory("Items.w_att_scope_short_03_Craftable", 1)</t>
  </si>
  <si>
    <t xml:space="preserve"> + Additional Zoom | + Range</t>
  </si>
  <si>
    <t>Game.AddToInventory("Items.w_att_scope_short_03_Generated", 1)</t>
  </si>
  <si>
    <t>Game.AddToInventory("Items.w_att_scope_short_03", 1)</t>
  </si>
  <si>
    <t>Melee Weapon Mod</t>
  </si>
  <si>
    <t>Airstrike</t>
  </si>
  <si>
    <t>Game.AddToInventory("Items.MeleeMod1_Base", 1)</t>
  </si>
  <si>
    <t xml:space="preserve"> + Crit Chance and + Crit Damage for midair attacks | + Knockdown chance for midair Crit Hits</t>
  </si>
  <si>
    <t>Game.AddToInventory("Items.MeleeMod1_Common", 1)</t>
  </si>
  <si>
    <t>Game.AddToInventory("Items.MeleeMod1_Epic", 1)</t>
  </si>
  <si>
    <t>Game.AddToInventory("Items.MeleeMod1_Legendary", 1)</t>
  </si>
  <si>
    <t>Game.AddToInventory("Items.MeleeMod1_Rare", 1)</t>
  </si>
  <si>
    <t>Game.AddToInventory("Items.MeleeMod1_Uncommon", 1)</t>
  </si>
  <si>
    <t>Blunt Weapon Mod</t>
  </si>
  <si>
    <t>Barbarian</t>
  </si>
  <si>
    <t>Game.AddToInventory("Items.BluntMod3_Base", 1)</t>
  </si>
  <si>
    <t xml:space="preserve"> + Damage against Stunned, Staggered and Knocked Down enemies</t>
  </si>
  <si>
    <t>Game.AddToInventory("Items.BluntMod3_Epic", 1)</t>
  </si>
  <si>
    <t>Game.AddToInventory("Items.BluntMod3_Legendary", 1)</t>
  </si>
  <si>
    <t>Ranged Weapon Mod</t>
  </si>
  <si>
    <t>Better Half</t>
  </si>
  <si>
    <t>Game.AddToInventory("Items.RangedMod1_Base", 1)</t>
  </si>
  <si>
    <t xml:space="preserve"> + Crit Chance with the second half of the magazine</t>
  </si>
  <si>
    <t>Game.AddToInventory("Items.RangedMod1_Epic", 1)</t>
  </si>
  <si>
    <t>Game.AddToInventory("Items.RangedMod1_Legendary", 1)</t>
  </si>
  <si>
    <t>Ar / Smg / Lmg Mod</t>
  </si>
  <si>
    <t>Big Mag</t>
  </si>
  <si>
    <t>Game.AddToInventory("Items.ARSMGLMGMod1_Base", 1)</t>
  </si>
  <si>
    <t xml:space="preserve"> + Magazine capacity | - Reload Speed</t>
  </si>
  <si>
    <t>Game.AddToInventory("Items.ARSMGLMGMod1_Common", 1)</t>
  </si>
  <si>
    <t>Game.AddToInventory("Items.ARSMGLMGMod1_Epic", 1)</t>
  </si>
  <si>
    <t>Game.AddToInventory("Items.ARSMGLMGMod1_Legendary", 1)</t>
  </si>
  <si>
    <t>Game.AddToInventory("Items.ARSMGLMGMod1_Rare", 1)</t>
  </si>
  <si>
    <t>Game.AddToInventory("Items.ARSMGLMGMod1_Uncommon", 1)</t>
  </si>
  <si>
    <t>Blade Mod</t>
  </si>
  <si>
    <t>Bleedout</t>
  </si>
  <si>
    <t>Game.AddToInventory("Items.BladeMod1_Base", 1)</t>
  </si>
  <si>
    <t xml:space="preserve"> + Crit Chance for damage-over-time from Bleeding</t>
  </si>
  <si>
    <t>Game.AddToInventory("Items.BladeMod1_Common", 1)</t>
  </si>
  <si>
    <t>Game.AddToInventory("Items.BladeMod1_Epic", 1)</t>
  </si>
  <si>
    <t>Game.AddToInventory("Items.BladeMod1_Legendary", 1)</t>
  </si>
  <si>
    <t>Game.AddToInventory("Items.BladeMod1_Rare", 1)</t>
  </si>
  <si>
    <t>Game.AddToInventory("Items.BladeMod1_Uncommon", 1)</t>
  </si>
  <si>
    <t>Bloodbruiser</t>
  </si>
  <si>
    <t>Game.AddToInventory("Items.BluntMod2_Base", 1)</t>
  </si>
  <si>
    <t xml:space="preserve"> Makes the weapon lethal | + Chance to apply Bleeding</t>
  </si>
  <si>
    <t>Game.AddToInventory("Items.BluntMod2_Common", 1)</t>
  </si>
  <si>
    <t>Game.AddToInventory("Items.BluntMod2_Epic", 1)</t>
  </si>
  <si>
    <t>Game.AddToInventory("Items.BluntMod2_Legendary", 1)</t>
  </si>
  <si>
    <t>Game.AddToInventory("Items.BluntMod2_Rare", 1)</t>
  </si>
  <si>
    <t>Game.AddToInventory("Items.BluntMod2_Uncommon", 1)</t>
  </si>
  <si>
    <t>Throwable Weapon Mod</t>
  </si>
  <si>
    <t>Boomerang</t>
  </si>
  <si>
    <t>Game.AddToInventory("Items.ThrowMod1_Base", 1)</t>
  </si>
  <si>
    <t xml:space="preserve"> + Chance to immediately return the weapon if it neutralizes an enemy via headshot when thrown</t>
  </si>
  <si>
    <t>Game.AddToInventory("Items.ThrowMod1_Common", 1)</t>
  </si>
  <si>
    <t>Game.AddToInventory("Items.ThrowMod1_Epic", 1)</t>
  </si>
  <si>
    <t>Game.AddToInventory("Items.ThrowMod1_Legendary", 1)</t>
  </si>
  <si>
    <t>Game.AddToInventory("Items.ThrowMod1_Rare", 1)</t>
  </si>
  <si>
    <t>Game.AddToInventory("Items.ThrowMod1_Uncommon", 1)</t>
  </si>
  <si>
    <t>Tech Weapon Mod</t>
  </si>
  <si>
    <t>C-Thru</t>
  </si>
  <si>
    <t>Game.AddToInventory("Items.TechMod2_Base", 1)</t>
  </si>
  <si>
    <t xml:space="preserve"> - Charge threshold to penetrate cover | - Damage penalty for shooting through cover</t>
  </si>
  <si>
    <t>Game.AddToInventory("Items.TechMod2_Common", 1)</t>
  </si>
  <si>
    <t>Game.AddToInventory("Items.TechMod2_Epic", 1)</t>
  </si>
  <si>
    <t>Game.AddToInventory("Items.TechMod2_Legendary", 1)</t>
  </si>
  <si>
    <t>Game.AddToInventory("Items.TechMod2_Rare", 1)</t>
  </si>
  <si>
    <t>Game.AddToInventory("Items.TechMod2_Uncommon", 1)</t>
  </si>
  <si>
    <t>Scope - Generic - Long</t>
  </si>
  <si>
    <t>Clearvue Mk.8</t>
  </si>
  <si>
    <t>Game.AddToInventory("Items.w_att_scope_long_03", 1)</t>
  </si>
  <si>
    <t xml:space="preserve"> + Additional Zoom | + Range | - ADS time</t>
  </si>
  <si>
    <t>Shotgun Mod</t>
  </si>
  <si>
    <t>Condenser</t>
  </si>
  <si>
    <t>Game.AddToInventory("Items.ShotgunMod3_Base", 1)</t>
  </si>
  <si>
    <t xml:space="preserve"> + Tighter Pellet Spread | + Damage per pellet</t>
  </si>
  <si>
    <t>Game.AddToInventory("Items.ShotgunMod3_Common", 1)</t>
  </si>
  <si>
    <t>Game.AddToInventory("Items.ShotgunMod3_Epic", 1)</t>
  </si>
  <si>
    <t>Game.AddToInventory("Items.ShotgunMod3_Legendary", 1)</t>
  </si>
  <si>
    <t>Game.AddToInventory("Items.ShotgunMod3_Rare", 1)</t>
  </si>
  <si>
    <t>Game.AddToInventory("Items.ShotgunMod3_Uncommon", 1)</t>
  </si>
  <si>
    <t>Cqo Kanone Mini Mk.72</t>
  </si>
  <si>
    <t>Game.AddToInventory("Items.w_att_scope_short_04", 1)</t>
  </si>
  <si>
    <t>Power Weapon Mod</t>
  </si>
  <si>
    <t>Critochet</t>
  </si>
  <si>
    <t>Game.AddToInventory("Items.PowerMod3_Base", 1)</t>
  </si>
  <si>
    <t xml:space="preserve"> + Crit Chance with ricochets</t>
  </si>
  <si>
    <t>Game.AddToInventory("Items.PowerMod3_Common", 1)</t>
  </si>
  <si>
    <t>Game.AddToInventory("Items.PowerMod3_Epic", 1)</t>
  </si>
  <si>
    <t>Game.AddToInventory("Items.PowerMod3_Legendary", 1)</t>
  </si>
  <si>
    <t>Game.AddToInventory("Items.PowerMod3_Rare", 1)</t>
  </si>
  <si>
    <t>Game.AddToInventory("Items.PowerMod3_Uncommon", 1)</t>
  </si>
  <si>
    <t>Silencer</t>
  </si>
  <si>
    <t>Cs-1 Taipan</t>
  </si>
  <si>
    <t>Game.AddToInventory("Items.w_handgun_silencer", 1)</t>
  </si>
  <si>
    <t xml:space="preserve"> + Stealth Damage | + Damage Reduction</t>
  </si>
  <si>
    <t>Game.AddToInventory("Items.w_silencer_01_Craftable", 1)</t>
  </si>
  <si>
    <t>Game.AddToInventory("Items.w_silencer_01", 1)</t>
  </si>
  <si>
    <t>Cyclone</t>
  </si>
  <si>
    <t>Game.AddToInventory("Items.MeleeMod2_Base", 1)</t>
  </si>
  <si>
    <t xml:space="preserve"> Allow unlimited Combo after performing a Sprint Attack | + Attack speed for succesful attacks</t>
  </si>
  <si>
    <t>Game.AddToInventory("Items.MeleeMod2_Common", 1)</t>
  </si>
  <si>
    <t>Game.AddToInventory("Items.MeleeMod2_Epic", 1)</t>
  </si>
  <si>
    <t>Game.AddToInventory("Items.MeleeMod2_Legendary", 1)</t>
  </si>
  <si>
    <t>Game.AddToInventory("Items.MeleeMod2_Rare", 1)</t>
  </si>
  <si>
    <t>Game.AddToInventory("Items.MeleeMod2_Uncommon", 1)</t>
  </si>
  <si>
    <t>E255 Percipient</t>
  </si>
  <si>
    <t>Game.AddToInventory("Items.w_att_scope_long_02_Craftable", 1)</t>
  </si>
  <si>
    <t>Game.AddToInventory("Items.w_att_scope_long_02_Generated", 1)</t>
  </si>
  <si>
    <t>Game.AddToInventory("Items.w_att_scope_long_02", 1)</t>
  </si>
  <si>
    <t>Scope - Tech Sniper</t>
  </si>
  <si>
    <t>E305 Prospecta</t>
  </si>
  <si>
    <t>Game.AddToInventory("Items.w_att_scope_sniper_02_Common", 1)</t>
  </si>
  <si>
    <t xml:space="preserve"> + Additional Zoom | - Sway</t>
  </si>
  <si>
    <t>Game.AddToInventory("Items.w_att_scope_sniper_02_Epic", 1)</t>
  </si>
  <si>
    <t>Game.AddToInventory("Items.w_att_scope_sniper_02_Legendary", 1)</t>
  </si>
  <si>
    <t>Game.AddToInventory("Items.w_att_scope_sniper_02_Rare", 1)</t>
  </si>
  <si>
    <t>Game.AddToInventory("Items.w_att_scope_sniper_02_Uncommon", 1)</t>
  </si>
  <si>
    <t>Game.AddToInventory("Items.w_att_scope_sniper_02", 1)</t>
  </si>
  <si>
    <t>Equalizer</t>
  </si>
  <si>
    <t>Game.AddToInventory("Items.RangedMod3_Base", 1)</t>
  </si>
  <si>
    <t xml:space="preserve"> + Damage against Elite enemies</t>
  </si>
  <si>
    <t>Game.AddToInventory("Items.RangedMod3_Common", 1)</t>
  </si>
  <si>
    <t>Game.AddToInventory("Items.RangedMod3_Epic", 1)</t>
  </si>
  <si>
    <t>Game.AddToInventory("Items.RangedMod3_Legendary", 1)</t>
  </si>
  <si>
    <t>Game.AddToInventory("Items.RangedMod3_Rare", 1)</t>
  </si>
  <si>
    <t>Game.AddToInventory("Items.RangedMod3_Uncommon", 1)</t>
  </si>
  <si>
    <t>Firecracker  ( Iconic )</t>
  </si>
  <si>
    <t>Tier 5 - Iconic</t>
  </si>
  <si>
    <t>Game.AddToInventory("Items.ChimeraPowerMod", 1)</t>
  </si>
  <si>
    <t xml:space="preserve"> Shoots explosive rounds</t>
  </si>
  <si>
    <t>Phantom Liberty DLC</t>
  </si>
  <si>
    <t>Sniper / Prec. Rifle Mod</t>
  </si>
  <si>
    <t>Fleetshot</t>
  </si>
  <si>
    <t>Game.AddToInventory("Items.PRSRMod3_Base_HighTier", 1)</t>
  </si>
  <si>
    <t xml:space="preserve"> - Stamina cost for shooting | No speed penalty with heavy weapons | - Enemy hit reactions | - Armor Penetration</t>
  </si>
  <si>
    <t>Game.AddToInventory("Items.PRSRMod3_Base_LowTier", 1)</t>
  </si>
  <si>
    <t>Game.AddToInventory("Items.PRSRMod3_Base", 1)</t>
  </si>
  <si>
    <t>Game.AddToInventory("Items.PRSRMod3_Common", 1)</t>
  </si>
  <si>
    <t>Game.AddToInventory("Items.PRSRMod3_Epic", 1)</t>
  </si>
  <si>
    <t>Game.AddToInventory("Items.PRSRMod3_Legendary", 1)</t>
  </si>
  <si>
    <t>Game.AddToInventory("Items.PRSRMod3_Rare", 1)</t>
  </si>
  <si>
    <t>Game.AddToInventory("Items.PRSRMod3_Uncommon", 1)</t>
  </si>
  <si>
    <t>Focus Fire</t>
  </si>
  <si>
    <t>Game.AddToInventory("Items.ARSMGLMGMod3_Base", 1)</t>
  </si>
  <si>
    <t xml:space="preserve"> - Bullet spread from hipfire | - Effective range</t>
  </si>
  <si>
    <t>Game.AddToInventory("Items.ARSMGLMGMod3_Common", 1)</t>
  </si>
  <si>
    <t>Game.AddToInventory("Items.ARSMGLMGMod3_Epic", 1)</t>
  </si>
  <si>
    <t>Game.AddToInventory("Items.ARSMGLMGMod3_Legendary", 1)</t>
  </si>
  <si>
    <t>Game.AddToInventory("Items.ARSMGLMGMod3_Rare", 1)</t>
  </si>
  <si>
    <t>Game.AddToInventory("Items.ARSMGLMGMod3_Uncommon", 1)</t>
  </si>
  <si>
    <t>Gaki</t>
  </si>
  <si>
    <t>Game.AddToInventory("Items.w_att_scope_sniper_03_legendary", 1)</t>
  </si>
  <si>
    <t>Game.AddToInventory("Items.w_att_scope_sniper_03", 1)</t>
  </si>
  <si>
    <t>Smart Weapon Mod</t>
  </si>
  <si>
    <t>Gambiteer</t>
  </si>
  <si>
    <t>Game.AddToInventory("Items.SmartMod2_Base", 1)</t>
  </si>
  <si>
    <t xml:space="preserve"> + Bullet velocity |  + Armor Penetration | - Projectile homing probability</t>
  </si>
  <si>
    <t>Game.AddToInventory("Items.SmartMod2_Common", 1)</t>
  </si>
  <si>
    <t>Game.AddToInventory("Items.SmartMod2_Epic", 1)</t>
  </si>
  <si>
    <t>Game.AddToInventory("Items.SmartMod2_Legendary", 1)</t>
  </si>
  <si>
    <t>Game.AddToInventory("Items.SmartMod2_Rare", 1)</t>
  </si>
  <si>
    <t>Game.AddToInventory("Items.SmartMod2_Uncommon", 1)</t>
  </si>
  <si>
    <t>Grandstand Mk.2x</t>
  </si>
  <si>
    <t>Game.AddToInventory("Items.w_att_scope_long_01_Generated", 1)</t>
  </si>
  <si>
    <t>Game.AddToInventory("Items.w_att_scope_long_01", 1)</t>
  </si>
  <si>
    <t>Hackatomy  ( Iconic )</t>
  </si>
  <si>
    <t>Game.AddToInventory("Items.ChimeraSmartMod", 1)</t>
  </si>
  <si>
    <t xml:space="preserve"> + Chance to apply a quickhack effect. Effect type depends on the body part hit</t>
  </si>
  <si>
    <t>Haemocide</t>
  </si>
  <si>
    <t>Game.AddToInventory("Items.BladeMod3_Base", 1)</t>
  </si>
  <si>
    <t xml:space="preserve"> + Bleeding duration | + Crit Chance | + Base Damage</t>
  </si>
  <si>
    <t>Game.AddToInventory("Items.BladeMod3_Common", 1)</t>
  </si>
  <si>
    <t>Game.AddToInventory("Items.BladeMod3_Epic", 1)</t>
  </si>
  <si>
    <t>Game.AddToInventory("Items.BladeMod3_Legendary", 1)</t>
  </si>
  <si>
    <t>Game.AddToInventory("Items.BladeMod3_Rare", 1)</t>
  </si>
  <si>
    <t>Game.AddToInventory("Items.BladeMod3_Uncommon", 1)</t>
  </si>
  <si>
    <t>Handyman</t>
  </si>
  <si>
    <t>Game.AddToInventory("Items.w_att_scope_short_06_Craftable", 1)</t>
  </si>
  <si>
    <t xml:space="preserve"> + Additional Zoom | + Range | + Headshot Crit Chance</t>
  </si>
  <si>
    <t>Game.AddToInventory("Items.w_att_scope_short_06_Generated", 1)</t>
  </si>
  <si>
    <t>Game.AddToInventory("Items.w_att_scope_short_06_legendary", 1)</t>
  </si>
  <si>
    <t>Game.AddToInventory("Items.w_att_scope_short_06", 1)</t>
  </si>
  <si>
    <t>Headhopper</t>
  </si>
  <si>
    <t>Game.AddToInventory("Items.SmartMod1_Base", 1)</t>
  </si>
  <si>
    <t xml:space="preserve"> + Lock-on Target(s) | + Lock-on speed | + Headshot damage</t>
  </si>
  <si>
    <t>Game.AddToInventory("Items.SmartMod1_Epic", 1)</t>
  </si>
  <si>
    <t>Game.AddToInventory("Items.SmartMod1_Legendary", 1)</t>
  </si>
  <si>
    <t>Headtoll</t>
  </si>
  <si>
    <t>Game.AddToInventory("Items.PRSRMod2_Base", 1)</t>
  </si>
  <si>
    <t xml:space="preserve"> + Bonuses for headshot kills, based on the quality (Fire rate, Reload speed, Movement speed, Crit Chance/Damage, Health)</t>
  </si>
  <si>
    <t>Game.AddToInventory("Items.PRSRMod2_Common", 1)</t>
  </si>
  <si>
    <t>Game.AddToInventory("Items.PRSRMod2_Epic", 1)</t>
  </si>
  <si>
    <t>Game.AddToInventory("Items.PRSRMod2_Legendary", 1)</t>
  </si>
  <si>
    <t>Game.AddToInventory("Items.PRSRMod2_Rare", 1)</t>
  </si>
  <si>
    <t>Game.AddToInventory("Items.PRSRMod2_Uncommon", 1)</t>
  </si>
  <si>
    <t>Scope - Power Sniper</t>
  </si>
  <si>
    <t>Hpo Kanone Max Mk.77</t>
  </si>
  <si>
    <t>Game.AddToInventory("Items.w_att_scope_sniper_01_Common", 1)</t>
  </si>
  <si>
    <t>Game.AddToInventory("Items.w_att_scope_sniper_01_Epic", 1)</t>
  </si>
  <si>
    <t>Game.AddToInventory("Items.w_att_scope_sniper_01_Legendary", 1)</t>
  </si>
  <si>
    <t>Game.AddToInventory("Items.w_att_scope_sniper_01_legendary", 1)</t>
  </si>
  <si>
    <t>Game.AddToInventory("Items.w_att_scope_sniper_01_Rare", 1)</t>
  </si>
  <si>
    <t>Game.AddToInventory("Items.w_att_scope_sniper_01_Uncommon", 1)</t>
  </si>
  <si>
    <t>Game.AddToInventory("Items.w_att_scope_sniper_01", 1)</t>
  </si>
  <si>
    <t>Hyakume</t>
  </si>
  <si>
    <t>Game.AddToInventory("Items.w_att_scope_short_02", 1)</t>
  </si>
  <si>
    <t>Javelin</t>
  </si>
  <si>
    <t>Game.AddToInventory("Items.ThrowMod3_Base", 1)</t>
  </si>
  <si>
    <t xml:space="preserve"> + Armor Penetration with melee attacks | Thrown attacks have double Armor Penetration, but - 20% range</t>
  </si>
  <si>
    <t>Game.AddToInventory("Items.ThrowMod3_Common", 1)</t>
  </si>
  <si>
    <t>Game.AddToInventory("Items.ThrowMod3_Epic", 1)</t>
  </si>
  <si>
    <t>Game.AddToInventory("Items.ThrowMod3_Legendary", 1)</t>
  </si>
  <si>
    <t>Game.AddToInventory("Items.ThrowMod3_Rare", 1)</t>
  </si>
  <si>
    <t>Game.AddToInventory("Items.ThrowMod3_Uncommon", 1)</t>
  </si>
  <si>
    <t>Jue</t>
  </si>
  <si>
    <t>Game.AddToInventory("Items.w_att_scope_long_05_legendary", 1)</t>
  </si>
  <si>
    <t>Game.AddToInventory("Items.w_att_scope_long_05", 1)</t>
  </si>
  <si>
    <t>K.O.</t>
  </si>
  <si>
    <t>Game.AddToInventory("Items.BluntMod1_Base", 1)</t>
  </si>
  <si>
    <t xml:space="preserve"> + Damage | + Knockdown chance on Stunned enemies | + Stamina cost | - Attack speed</t>
  </si>
  <si>
    <t>Game.AddToInventory("Items.BluntMod1_Common", 1)</t>
  </si>
  <si>
    <t>Game.AddToInventory("Items.BluntMod1_Epic", 1)</t>
  </si>
  <si>
    <t>Game.AddToInventory("Items.BluntMod1_Legendary", 1)</t>
  </si>
  <si>
    <t>Game.AddToInventory("Items.BluntMod1_Rare", 1)</t>
  </si>
  <si>
    <t>Game.AddToInventory("Items.BluntMod1_Uncommon", 1)</t>
  </si>
  <si>
    <t>Kairo Sa-1</t>
  </si>
  <si>
    <t>Game.AddToInventory("Items.w_att_scope_long_06", 1)</t>
  </si>
  <si>
    <t>Kanetsugu</t>
  </si>
  <si>
    <t>Game.AddToInventory("Items.w_att_scope_short_07_legendary", 1)</t>
  </si>
  <si>
    <t xml:space="preserve"> + Additional Zoom | + Range | + CritChance | + Crit Damage</t>
  </si>
  <si>
    <t>Game.AddToInventory("Items.w_att_scope_short_07", 1)</t>
  </si>
  <si>
    <t>Kneel!</t>
  </si>
  <si>
    <t>Game.AddToInventory("Items.ShotgunMod2_Base", 1)</t>
  </si>
  <si>
    <t xml:space="preserve"> + Chance to dismember and instantly kill when shooting an enemy in the leg</t>
  </si>
  <si>
    <t>Game.AddToInventory("Items.ShotgunMod2_Legendary", 1)</t>
  </si>
  <si>
    <t>Os-1 Gimleteye</t>
  </si>
  <si>
    <t>Game.AddToInventory("Items.w_att_scope_short_01_Craftable", 1)</t>
  </si>
  <si>
    <t>Game.AddToInventory("Items.w_att_scope_short_01_Generated", 1)</t>
  </si>
  <si>
    <t>Game.AddToInventory("Items.w_att_scope_short_01", 1)</t>
  </si>
  <si>
    <t>Panorama</t>
  </si>
  <si>
    <t>Game.AddToInventory("Items.SmartMod3_Base", 1)</t>
  </si>
  <si>
    <t xml:space="preserve"> + Smart-targeting reticle size | + Enemies will remain target-locked longer</t>
  </si>
  <si>
    <t>Game.AddToInventory("Items.SmartMod3_Common", 1)</t>
  </si>
  <si>
    <t>Game.AddToInventory("Items.SmartMod3_Epic", 1)</t>
  </si>
  <si>
    <t>Game.AddToInventory("Items.SmartMod3_Legendary", 1)</t>
  </si>
  <si>
    <t>Game.AddToInventory("Items.SmartMod3_Rare", 1)</t>
  </si>
  <si>
    <t>Game.AddToInventory("Items.SmartMod3_Uncommon", 1)</t>
  </si>
  <si>
    <t>Pistol / Revolver Mod</t>
  </si>
  <si>
    <t>Parallax</t>
  </si>
  <si>
    <t>Game.AddToInventory("Items.HGMod3_Base_HighTier", 1)</t>
  </si>
  <si>
    <t xml:space="preserve"> When aiming: + Effective range | - Weapon sway | Stamina does not regenerate</t>
  </si>
  <si>
    <t>Game.AddToInventory("Items.HGMod3_Base_LowTier", 1)</t>
  </si>
  <si>
    <t>Game.AddToInventory("Items.HGMod3_Base", 1)</t>
  </si>
  <si>
    <t>Game.AddToInventory("Items.HGMod3_Common", 1)</t>
  </si>
  <si>
    <t>Game.AddToInventory("Items.HGMod3_Epic", 1)</t>
  </si>
  <si>
    <t>Game.AddToInventory("Items.HGMod3_Legendary", 1)</t>
  </si>
  <si>
    <t>Game.AddToInventory("Items.HGMod3_Rare", 1)</t>
  </si>
  <si>
    <t>Game.AddToInventory("Items.HGMod3_Uncommon", 1)</t>
  </si>
  <si>
    <t>Weapon Mod</t>
  </si>
  <si>
    <t>Pax</t>
  </si>
  <si>
    <t>Game.AddToInventory("Items.GenericMod1_Common", 1)</t>
  </si>
  <si>
    <t xml:space="preserve"> Makes the weapon non-lethal | + Damage outside of combat | -Damage in combat</t>
  </si>
  <si>
    <t>Game.AddToInventory("Items.GenericMod1_Epic", 1)</t>
  </si>
  <si>
    <t>Game.AddToInventory("Items.GenericMod1_HighTier", 1)</t>
  </si>
  <si>
    <t>Game.AddToInventory("Items.GenericMod1_Legendary", 1)</t>
  </si>
  <si>
    <t>Game.AddToInventory("Items.GenericMod1_LowTier", 1)</t>
  </si>
  <si>
    <t>Game.AddToInventory("Items.GenericMod1_Rare", 1)</t>
  </si>
  <si>
    <t>Game.AddToInventory("Items.GenericMod1_Uncommon", 1)</t>
  </si>
  <si>
    <t>Pinpoint</t>
  </si>
  <si>
    <t>Game.AddToInventory("Items.HGMod1_Base", 1)</t>
  </si>
  <si>
    <t xml:space="preserve"> - Bullet spread for 5 sec. after a headshot. Stacks 2 / 6 times</t>
  </si>
  <si>
    <t>Game.AddToInventory("Items.HGMod1_Common", 1)</t>
  </si>
  <si>
    <t>Game.AddToInventory("Items.HGMod1_Epic", 1)</t>
  </si>
  <si>
    <t>Game.AddToInventory("Items.HGMod1_Legendary", 1)</t>
  </si>
  <si>
    <t>Game.AddToInventory("Items.HGMod1_Rare", 1)</t>
  </si>
  <si>
    <t>Game.AddToInventory("Items.HGMod1_Uncommon", 1)</t>
  </si>
  <si>
    <t>Pyro</t>
  </si>
  <si>
    <t>Game.AddToInventory("Items.PowerMod1_Base", 1)</t>
  </si>
  <si>
    <t xml:space="preserve"> Converts % of damage to Thermal damage and gives a % chance to apply Burn.</t>
  </si>
  <si>
    <t>Game.AddToInventory("Items.PowerMod1_Common", 1)</t>
  </si>
  <si>
    <t>Game.AddToInventory("Items.PowerMod1_Epic", 1)</t>
  </si>
  <si>
    <t>Game.AddToInventory("Items.PowerMod1_Legendary", 1)</t>
  </si>
  <si>
    <t>Game.AddToInventory("Items.PowerMod1_Rare", 1)</t>
  </si>
  <si>
    <t>Game.AddToInventory("Items.PowerMod1_Uncommon", 1)</t>
  </si>
  <si>
    <t>Muzzle - Assault Rifle / Smg</t>
  </si>
  <si>
    <t>Rc-7 Aswang</t>
  </si>
  <si>
    <t>Game.AddToInventory("Items.w_muzzle_brake_05", 1)</t>
  </si>
  <si>
    <t xml:space="preserve"> - Crit Chance | + Recoil Angle Reduction  | + Recoil Direction Reduction</t>
  </si>
  <si>
    <t>Muzzle - Handgun</t>
  </si>
  <si>
    <t>Rc-7 Babaroga</t>
  </si>
  <si>
    <t>Game.AddToInventory("Items.w_muzzle_brake_10_legendary", 1)</t>
  </si>
  <si>
    <t xml:space="preserve"> - Crit Chance | + Ricochet Chance | + Ricochet Damage | + Ricochet Crit Chance</t>
  </si>
  <si>
    <t>Game.AddToInventory("Items.w_muzzle_brake_10", 1)</t>
  </si>
  <si>
    <t>Rc-7 Dybbuk</t>
  </si>
  <si>
    <t>Game.AddToInventory("Items.w_muzzle_brake_09_Craftable", 1)</t>
  </si>
  <si>
    <t xml:space="preserve"> - Crit Chance | + Recoil Direction Reduction</t>
  </si>
  <si>
    <t>Game.AddToInventory("Items.w_muzzle_brake_09_legendary", 1)</t>
  </si>
  <si>
    <t>Game.AddToInventory("Items.w_muzzle_brake_09", 1)</t>
  </si>
  <si>
    <t>Rc-7 Ifrit</t>
  </si>
  <si>
    <t>Game.AddToInventory("Items.w_muzzle_brake_06", 1)</t>
  </si>
  <si>
    <t xml:space="preserve"> - Crit Chance | + Recoil Reduction</t>
  </si>
  <si>
    <t>Rc-7 Kutrub</t>
  </si>
  <si>
    <t>Game.AddToInventory("Items.w_muzzle_brake_08", 1)</t>
  </si>
  <si>
    <t>Rc-7 Liger</t>
  </si>
  <si>
    <t>Game.AddToInventory("Items.w_muzzle_brake_11", 1)</t>
  </si>
  <si>
    <t>Rc-7 Strigoi</t>
  </si>
  <si>
    <t>Game.AddToInventory("Items.w_muzzle_brake_01_Craftable", 1)</t>
  </si>
  <si>
    <t>Game.AddToInventory("Items.w_muzzle_brake_01_legendary", 1)</t>
  </si>
  <si>
    <t>Game.AddToInventory("Items.w_muzzle_brake_01", 1)</t>
  </si>
  <si>
    <t>Rc-7 Varkolak</t>
  </si>
  <si>
    <t>Game.AddToInventory("Items.w_muzzle_brake_03_legendary", 1)</t>
  </si>
  <si>
    <t xml:space="preserve"> - Crit Chance | + Ricochet Chance | + Ricochet Angle</t>
  </si>
  <si>
    <t>Game.AddToInventory("Items.w_muzzle_brake_03", 1)</t>
  </si>
  <si>
    <t>Rc-7 Yokai</t>
  </si>
  <si>
    <t>Game.AddToInventory("Items.w_muzzle_brake_07", 1)</t>
  </si>
  <si>
    <t xml:space="preserve"> - Crit Chance | + Recoil Angle Reduction</t>
  </si>
  <si>
    <t>Rc-7 Zaar</t>
  </si>
  <si>
    <t>Game.AddToInventory("Items.w_muzzle_brake_02", 1)</t>
  </si>
  <si>
    <t>Ready Steady</t>
  </si>
  <si>
    <t>Game.AddToInventory("Items.ARSMGLMGMod2_Base_HighTier", 1)</t>
  </si>
  <si>
    <t xml:space="preserve"> - Recoil |  When aiming from cover: additional -Recoil  and No Horizontal Recoil</t>
  </si>
  <si>
    <t>Game.AddToInventory("Items.ARSMGLMGMod2_Base_LowTier", 1)</t>
  </si>
  <si>
    <t>Game.AddToInventory("Items.ARSMGLMGMod2_Base", 1)</t>
  </si>
  <si>
    <t>Game.AddToInventory("Items.ARSMGLMGMod2_Common", 1)</t>
  </si>
  <si>
    <t>Game.AddToInventory("Items.ARSMGLMGMod2_Epic", 1)</t>
  </si>
  <si>
    <t>Game.AddToInventory("Items.ARSMGLMGMod2_Legendary", 1)</t>
  </si>
  <si>
    <t>Game.AddToInventory("Items.ARSMGLMGMod2_Rare", 1)</t>
  </si>
  <si>
    <t>Game.AddToInventory("Items.ARSMGLMGMod2_Uncommon", 1)</t>
  </si>
  <si>
    <t>Severance  ( Iconic )</t>
  </si>
  <si>
    <t>Game.AddToInventory("Items.ChimeraMeleeMod", 1)</t>
  </si>
  <si>
    <t xml:space="preserve"> When an enemy health is below 50% :  +20% Chance of dismembering and killing if hit in the limbs or head</t>
  </si>
  <si>
    <t>Shuffler</t>
  </si>
  <si>
    <t>Game.AddToInventory("Items.RangedMod2_Base", 1)</t>
  </si>
  <si>
    <t xml:space="preserve"> Drawing the weapon refills its ammo up to % | + Weapon swap speed | - Reload speed</t>
  </si>
  <si>
    <t>Game.AddToInventory("Items.RangedMod2_Common", 1)</t>
  </si>
  <si>
    <t>Game.AddToInventory("Items.RangedMod2_Epic", 1)</t>
  </si>
  <si>
    <t>Game.AddToInventory("Items.RangedMod2_Legendary", 1)</t>
  </si>
  <si>
    <t>Game.AddToInventory("Items.RangedMod2_Rare", 1)</t>
  </si>
  <si>
    <t>Game.AddToInventory("Items.RangedMod2_Uncommon", 1)</t>
  </si>
  <si>
    <t>Silencio</t>
  </si>
  <si>
    <t>Game.AddToInventory("Items.MeleeMod3_Base_HighTier", 1)</t>
  </si>
  <si>
    <t xml:space="preserve"> When crouched and undetected:  + Crit Chance and + Crit Damage</t>
  </si>
  <si>
    <t>Game.AddToInventory("Items.MeleeMod3_Base_LowTier", 1)</t>
  </si>
  <si>
    <t>Game.AddToInventory("Items.MeleeMod3_Base", 1)</t>
  </si>
  <si>
    <t>Game.AddToInventory("Items.MeleeMod3_Common", 1)</t>
  </si>
  <si>
    <t>Game.AddToInventory("Items.MeleeMod3_Epic", 1)</t>
  </si>
  <si>
    <t>Game.AddToInventory("Items.MeleeMod3_Legendary", 1)</t>
  </si>
  <si>
    <t>Game.AddToInventory("Items.MeleeMod3_Rare", 1)</t>
  </si>
  <si>
    <t>Game.AddToInventory("Items.MeleeMod3_Uncommon", 1)</t>
  </si>
  <si>
    <t>Slice 'Em Up</t>
  </si>
  <si>
    <t>Game.AddToInventory("Items.BladeMod2_Base", 1)</t>
  </si>
  <si>
    <t xml:space="preserve"> After neutralizing an enemy, +% enemy susceptibility to Finishers for 5 sec</t>
  </si>
  <si>
    <t>Game.AddToInventory("Items.BladeMod2_Legendary", 1)</t>
  </si>
  <si>
    <t>So-21 Saika</t>
  </si>
  <si>
    <t>Game.AddToInventory("Items.w_att_scope_long_04_legendary", 1)</t>
  </si>
  <si>
    <t xml:space="preserve"> + Additional Zoom | + Range | - ADS time / + Crit Damage | +Crit Chance</t>
  </si>
  <si>
    <t>Game.AddToInventory("Items.w_att_scope_long_04", 1)</t>
  </si>
  <si>
    <t>Spinetickler</t>
  </si>
  <si>
    <t>Game.AddToInventory("Items.TechMod1_Base", 1)</t>
  </si>
  <si>
    <t xml:space="preserve"> +% Chance to cause an EMP blast when shooting an enemy with a fully charged weapon</t>
  </si>
  <si>
    <t>Game.AddToInventory("Items.TechMod1_Common", 1)</t>
  </si>
  <si>
    <t>Game.AddToInventory("Items.TechMod1_Epic", 1)</t>
  </si>
  <si>
    <t>Game.AddToInventory("Items.TechMod1_Legendary", 1)</t>
  </si>
  <si>
    <t>Game.AddToInventory("Items.TechMod1_Rare", 1)</t>
  </si>
  <si>
    <t>Game.AddToInventory("Items.TechMod1_Uncommon", 1)</t>
  </si>
  <si>
    <t>Stabilizer</t>
  </si>
  <si>
    <t>Game.AddToInventory("Items.PRSRMod1_Base", 1)</t>
  </si>
  <si>
    <t xml:space="preserve"> +% Improved weapon handling when crouching and crouch-sprinting</t>
  </si>
  <si>
    <t>Game.AddToInventory("Items.PRSRMod1_Common", 1)</t>
  </si>
  <si>
    <t>Game.AddToInventory("Items.PRSRMod1_Epic", 1)</t>
  </si>
  <si>
    <t>Game.AddToInventory("Items.PRSRMod1_Legendary", 1)</t>
  </si>
  <si>
    <t>Game.AddToInventory("Items.PRSRMod1_Rare", 1)</t>
  </si>
  <si>
    <t>Game.AddToInventory("Items.PRSRMod1_Uncommon", 1)</t>
  </si>
  <si>
    <t>Supercharger</t>
  </si>
  <si>
    <t>Game.AddToInventory("Items.TechMod3_Base", 1)</t>
  </si>
  <si>
    <t xml:space="preserve"> + Reload speed | - Stamina cost for shooting | - Armor Penetration</t>
  </si>
  <si>
    <t>Game.AddToInventory("Items.TechMod3_Common", 1)</t>
  </si>
  <si>
    <t>Game.AddToInventory("Items.TechMod3_Epic", 1)</t>
  </si>
  <si>
    <t>Game.AddToInventory("Items.TechMod3_Legendary", 1)</t>
  </si>
  <si>
    <t>Game.AddToInventory("Items.TechMod3_Rare", 1)</t>
  </si>
  <si>
    <t>Game.AddToInventory("Items.TechMod3_Uncommon", 1)</t>
  </si>
  <si>
    <t>Swiss Cheese</t>
  </si>
  <si>
    <t>Game.AddToInventory("Items.PowerMod2_Base", 1)</t>
  </si>
  <si>
    <t xml:space="preserve"> + Armor Penetration | + Stamina cost per bullet</t>
  </si>
  <si>
    <t>Game.AddToInventory("Items.PowerMod2_Epic", 1)</t>
  </si>
  <si>
    <t>Game.AddToInventory("Items.PowerMod2_Legendary", 1)</t>
  </si>
  <si>
    <t>Game.AddToInventory("Items.PowerMod2_Rare", 1)</t>
  </si>
  <si>
    <t>Game.AddToInventory("Items.PowerMod2_Uncommon", 1)</t>
  </si>
  <si>
    <t>Tsx Tocororo</t>
  </si>
  <si>
    <t>Game.AddToInventory("Items.w_silencer_04", 1)</t>
  </si>
  <si>
    <t xml:space="preserve"> + Stealth Damage | + Damage Reduction | + Crit Chance</t>
  </si>
  <si>
    <t>Type 2067</t>
  </si>
  <si>
    <t>Game.AddToInventory("Items.w_att_scope_short_05", 1)</t>
  </si>
  <si>
    <t xml:space="preserve"> + Additional Zoom | + Range | - Spread</t>
  </si>
  <si>
    <t>Vivisector</t>
  </si>
  <si>
    <t>Game.AddToInventory("Items.ShotgunMod1_Base", 1)</t>
  </si>
  <si>
    <t xml:space="preserve"> + Dismemberment chance | + Torso damage for 3-5 sec. on dismemberment</t>
  </si>
  <si>
    <t>Game.AddToInventory("Items.ShotgunMod1_Common", 1)</t>
  </si>
  <si>
    <t>Game.AddToInventory("Items.ShotgunMod1_Epic", 1)</t>
  </si>
  <si>
    <t>Game.AddToInventory("Items.ShotgunMod1_Legendary", 1)</t>
  </si>
  <si>
    <t>Game.AddToInventory("Items.ShotgunMod1_Rare", 1)</t>
  </si>
  <si>
    <t>Game.AddToInventory("Items.ShotgunMod1_Uncommon", 1)</t>
  </si>
  <si>
    <t>Wallpuncher  ( Iconic )</t>
  </si>
  <si>
    <t>Game.AddToInventory("Items.ChimeraTechMod", 1)</t>
  </si>
  <si>
    <t xml:space="preserve"> Reload the weapon up to 200% the mag. capacity | + Armor Penetration | No penalty when penetrating cover</t>
  </si>
  <si>
    <t>Xc-10 Cetus</t>
  </si>
  <si>
    <t>Game.AddToInventory("Items.w_silencer_03_legendary", 1)</t>
  </si>
  <si>
    <t xml:space="preserve"> + Stealth Damage | + Damage Reduction | + Crit Chance | + Guaranteed Crits when undetected</t>
  </si>
  <si>
    <t>Game.AddToInventory("Items.w_silencer_03", 1)</t>
  </si>
  <si>
    <t>Xc-10 Strix</t>
  </si>
  <si>
    <t>Game.AddToInventory("Items.w_silencer_02", 1)</t>
  </si>
  <si>
    <t>Zenith</t>
  </si>
  <si>
    <t>Game.AddToInventory("Items.HGMod2_Base", 1)</t>
  </si>
  <si>
    <t xml:space="preserve"> For 5 sec. after drawing the weapon: + Crit Chance | - Bullet spread | + Weapon swap speed</t>
  </si>
  <si>
    <t>Game.AddToInventory("Items.HGMod2_Common", 1)</t>
  </si>
  <si>
    <t>Game.AddToInventory("Items.HGMod2_Epic", 1)</t>
  </si>
  <si>
    <t>Game.AddToInventory("Items.HGMod2_Legendary", 1)</t>
  </si>
  <si>
    <t>Game.AddToInventory("Items.HGMod2_Rare", 1)</t>
  </si>
  <si>
    <t>Game.AddToInventory("Items.HGMod2_Uncommon", 1)</t>
  </si>
  <si>
    <t>Zero-G</t>
  </si>
  <si>
    <t>Game.AddToInventory("Items.ThrowMod2_Base", 1)</t>
  </si>
  <si>
    <t xml:space="preserve"> + Effective range | Gravity has no effect on trajectory</t>
  </si>
  <si>
    <t>Game.AddToInventory("Items.ThrowMod2_Epic", 1)</t>
  </si>
  <si>
    <t>Game.AddToInventory("Items.ThrowMod2_Legendary", 1)</t>
  </si>
  <si>
    <t>Game.AddToInventory("Items.ThrowMod2_Rare", 1)</t>
  </si>
  <si>
    <t>COMMAND</t>
  </si>
  <si>
    <t>Special</t>
  </si>
  <si>
    <t>Adds +100  Max Cyberware Capacity</t>
  </si>
  <si>
    <t>for i=1,10 do for i,bonus in next, {"Epic", "Legendary"} do Game.AddToInventory("Items.CWCapacityPermaReward_"..bonus, 1) end end print(" - MAXIMUM CYBERWARE CAPACITY:  + 100")</t>
  </si>
  <si>
    <t>Cumulative  /  Permanent</t>
  </si>
  <si>
    <t>Circulatory System</t>
  </si>
  <si>
    <t>Adrenaline Booster</t>
  </si>
  <si>
    <t>Game.AddToInventory("Items.AdvancedStaminaRegenBoosterCommon", 1)</t>
  </si>
  <si>
    <t>Game.AddToInventory("Items.AdvancedStaminaRegenBoosterCommonPlus", 1)</t>
  </si>
  <si>
    <t>Game.AddToInventory("Items.AdvancedStaminaRegenBoosterUncommon", 1)</t>
  </si>
  <si>
    <t>Game.AddToInventory("Items.AdvancedStaminaRegenBoosterUncommonPlus", 1)</t>
  </si>
  <si>
    <t>Game.AddToInventory("Items.AdvancedStaminaRegenBoosterRare", 1)</t>
  </si>
  <si>
    <t>Game.AddToInventory("Items.AdvancedStaminaRegenBoosterRarePlus", 1)</t>
  </si>
  <si>
    <t>Game.AddToInventory("Items.AdvancedStaminaRegenBoosterEpic", 1)</t>
  </si>
  <si>
    <t>Game.AddToInventory("Items.AdvancedStaminaRegenBoosterEpicPlus", 1)</t>
  </si>
  <si>
    <t>Game.AddToInventory("Items.AdvancedStaminaRegenBoosterLegendary", 1)</t>
  </si>
  <si>
    <t>Game.AddToInventory("Items.AdvancedStaminaRegenBoosterLegendaryPlus", 1)</t>
  </si>
  <si>
    <t>Game.AddToInventory("Items.AdvancedStaminaRegenBoosterLegendaryPlusPlus", 1)</t>
  </si>
  <si>
    <t>Nervous System</t>
  </si>
  <si>
    <t>Adrenaline Converter</t>
  </si>
  <si>
    <t>Game.AddToInventory("Items.AdvancedDetectorRushCommon", 1)</t>
  </si>
  <si>
    <t>Game.AddToInventory("Items.AdvancedDetectorRushCommonPlus", 1)</t>
  </si>
  <si>
    <t>Game.AddToInventory("Items.AdvancedDetectorRushUncommon", 1)</t>
  </si>
  <si>
    <t>Game.AddToInventory("Items.AdvancedDetectorRushUncommonPlus", 1)</t>
  </si>
  <si>
    <t>Game.AddToInventory("Items.AdvancedDetectorRushRare", 1)</t>
  </si>
  <si>
    <t>Game.AddToInventory("Items.AdvancedDetectorRushRarePlus", 1)</t>
  </si>
  <si>
    <t>Game.AddToInventory("Items.AdvancedDetectorRushEpic", 1)</t>
  </si>
  <si>
    <t>Game.AddToInventory("Items.AdvancedDetectorRushEpicPlus", 1)</t>
  </si>
  <si>
    <t>Game.AddToInventory("Items.AdvancedDetectorRushLegendary", 1)</t>
  </si>
  <si>
    <t>Game.AddToInventory("Items.AdvancedDetectorRushLegendaryPlus", 1)</t>
  </si>
  <si>
    <t>Game.AddToInventory("Items.AdvancedDetectorRushLegendaryPlusPlus", 1)</t>
  </si>
  <si>
    <t>Adreno-Trigger</t>
  </si>
  <si>
    <t>Game.AddToInventory("Items.IconicAdvancedDetectorRushRare", 1)</t>
  </si>
  <si>
    <t>Game.AddToInventory("Items.IconicAdvancedDetectorRushRarePlus", 1)</t>
  </si>
  <si>
    <t>Game.AddToInventory("Items.IconicAdvancedDetectorRushEpic", 1)</t>
  </si>
  <si>
    <t>Game.AddToInventory("Items.IconicAdvancedDetectorRushEpicPlus", 1)</t>
  </si>
  <si>
    <t>Game.AddToInventory("Items.IconicAdvancedDetectorRushLegendary", 1)</t>
  </si>
  <si>
    <t>Game.AddToInventory("Items.IconicAdvancedDetectorRushLegendaryPlus", 1)</t>
  </si>
  <si>
    <t>Game.AddToInventory("Items.IconicAdvancedDetectorRushLegendaryPlusPlus", 1)</t>
  </si>
  <si>
    <t>Operating System</t>
  </si>
  <si>
    <t>Arasaka Mk.1</t>
  </si>
  <si>
    <t>Game.AddToInventory("Items.AdvancedArasakaShadowMKICommon", 1)</t>
  </si>
  <si>
    <t>Game.AddToInventory("Items.AdvancedArasakaShadowMKICommonPlus", 1)</t>
  </si>
  <si>
    <t>Arasaka Mk.2</t>
  </si>
  <si>
    <t>Game.AddToInventory("Items.AdvancedArasakaShadowMKIIUncommon", 1)</t>
  </si>
  <si>
    <t>Game.AddToInventory("Items.AdvancedArasakaShadowMKIIUncommonPlus", 1)</t>
  </si>
  <si>
    <t>Arasaka Mk.3</t>
  </si>
  <si>
    <t>Game.AddToInventory("Items.AdvancedArasakaShadowMKIIIRare", 1)</t>
  </si>
  <si>
    <t>Game.AddToInventory("Items.AdvancedArasakaShadowMKIIIRarePlus", 1)</t>
  </si>
  <si>
    <t>Arasaka Mk.4</t>
  </si>
  <si>
    <t>Game.AddToInventory("Items.AdvancedArasakaShadowMKIVEpic", 1)</t>
  </si>
  <si>
    <t>Game.AddToInventory("Items.Debug_Ultimate_Cyberdeck_Epic", 1)</t>
  </si>
  <si>
    <t>Game.AddToInventory("Items.Hard_30_IntBody_Cyberdeck", 1)</t>
  </si>
  <si>
    <t>Game.AddToInventory("Items.AdvancedArasakaShadowMKIVEpicPlus", 1)</t>
  </si>
  <si>
    <t>Arasaka Mk.5</t>
  </si>
  <si>
    <t>Game.AddToInventory("Items.AdvancedArasakaShadowMKVLegendary", 1)</t>
  </si>
  <si>
    <t>Game.AddToInventory("Items.Debug_Ultimate_Cyberdeck_Legendary", 1)</t>
  </si>
  <si>
    <t>Game.AddToInventory("Items.AdvancedArasakaShadowMKVLegendaryPlus", 1)</t>
  </si>
  <si>
    <t>Game.AddToInventory("Items.VHard_50_CoolRef_Cyberdeck", 1)</t>
  </si>
  <si>
    <t>Game.AddToInventory("Items.AdvancedArasakaShadowMKVLegendaryPlusPlus", 1)</t>
  </si>
  <si>
    <t>Atomic Sensors</t>
  </si>
  <si>
    <t>Game.AddToInventory("Items.AdvancedTroubleFinderCommon", 1)</t>
  </si>
  <si>
    <t>Game.AddToInventory("Items.AdvancedTroubleFinderCommonPlus", 1)</t>
  </si>
  <si>
    <t>Game.AddToInventory("Items.AdvancedTroubleFinderUncommon", 1)</t>
  </si>
  <si>
    <t>Game.AddToInventory("Items.AdvancedTroubleFinderUncommonPlus", 1)</t>
  </si>
  <si>
    <t>Game.AddToInventory("Items.AdvancedTroubleFinderRare", 1)</t>
  </si>
  <si>
    <t>Game.AddToInventory("Items.AdvancedTroubleFinderRarePlus", 1)</t>
  </si>
  <si>
    <t>Game.AddToInventory("Items.AdvancedTroubleFinderEpic", 1)</t>
  </si>
  <si>
    <t>Game.AddToInventory("Items.AdvancedTroubleFinderEpicPlus", 1)</t>
  </si>
  <si>
    <t>Game.AddToInventory("Items.AdvancedTroubleFinderLegendary", 1)</t>
  </si>
  <si>
    <t>Game.AddToInventory("Items.AdvancedTroubleFinderLegendaryPlus", 1)</t>
  </si>
  <si>
    <t>Game.AddToInventory("Items.AdvancedTroubleFinderLegendaryPlusPlus", 1)</t>
  </si>
  <si>
    <t>Frontal Cortex</t>
  </si>
  <si>
    <t>Axolotl</t>
  </si>
  <si>
    <t>Game.AddToInventory("Items.IconicAdvancedSubdermalCoProcessorEpic", 1)</t>
  </si>
  <si>
    <t>Game.AddToInventory("Items.IconicAdvancedSubdermalCoProcessorEpic_Regina", 1)</t>
  </si>
  <si>
    <t>Game.AddToInventory("Items.IconicAdvancedSubdermalCoProcessorEpicPlus_Regina", 1)</t>
  </si>
  <si>
    <t>Game.AddToInventory("Items.IconicAdvancedSubdermalCoProcessorEpicPlus", 1)</t>
  </si>
  <si>
    <t>Game.AddToInventory("Items.IconicAdvancedSubdermalCoProcessorLegendary", 1)</t>
  </si>
  <si>
    <t>Game.AddToInventory("Items.IconicAdvancedSubdermalCoProcessorLegendary_Regina", 1)</t>
  </si>
  <si>
    <t>Game.AddToInventory("Items.IconicAdvancedSubdermalCoProcessorLegendaryPlus", 1)</t>
  </si>
  <si>
    <t>Game.AddToInventory("Items.IconicAdvancedSubdermalCoProcessorLegendaryPlus_Regina", 1)</t>
  </si>
  <si>
    <t>Game.AddToInventory("Items.IconicAdvancedSubdermalCoProcessorLegendaryPlusPlus", 1)</t>
  </si>
  <si>
    <t>Quickhack</t>
  </si>
  <si>
    <t>Bait</t>
  </si>
  <si>
    <t>Game.AddToInventory("Items.WhistleLvl0Program", 1)</t>
  </si>
  <si>
    <t>Game.AddToInventory("Items.WhistleLvl1Program", 1)</t>
  </si>
  <si>
    <t>Game.AddToInventory("Items.WhistleLvl4Program", 1)</t>
  </si>
  <si>
    <t>Game.AddToInventory("Items.WhistleLvl4PlusPlusProgram", 1)</t>
  </si>
  <si>
    <t>Hands</t>
  </si>
  <si>
    <t>Ballistic Coprocessor</t>
  </si>
  <si>
    <t>Game.AddToInventory("Items.AdvancedPowerGripCommon", 1)</t>
  </si>
  <si>
    <t>Game.AddToInventory("Items.AdvancedPowerGrip_q001_3", 1)</t>
  </si>
  <si>
    <t>Game.AddToInventory("Items.AdvancedPowerGrip_q001_2", 1)</t>
  </si>
  <si>
    <t>Game.AddToInventory("Items.AdvancedPowerGrip_q001_1", 1)</t>
  </si>
  <si>
    <t>Game.AddToInventory("Items.AdvancedPowerGrip_Tutorial_CommonPlus", 1)</t>
  </si>
  <si>
    <t>Game.AddToInventory("Items.AdvancedPowerGripCommonPlus", 1)</t>
  </si>
  <si>
    <t>Game.AddToInventory("Items.AdvancedPowerGripUncommon", 1)</t>
  </si>
  <si>
    <t>Game.AddToInventory("Items.AdvancedPowerGrip_Tutorial_Uncommon", 1)</t>
  </si>
  <si>
    <t>Game.AddToInventory("Items.AdvancedPowerGripUncommonPlus", 1)</t>
  </si>
  <si>
    <t>Game.AddToInventory("Items.AdvancedPowerGrip_Tutorial_UncommonPlus", 1)</t>
  </si>
  <si>
    <t>Game.AddToInventory("Items.AdvancedPowerGripRare", 1)</t>
  </si>
  <si>
    <t>Game.AddToInventory("Items.AdvancedPowerGrip_Tutorial_Rare", 1)</t>
  </si>
  <si>
    <t>Game.AddToInventory("Items.AdvancedPowerGripRarePlus", 1)</t>
  </si>
  <si>
    <t>Game.AddToInventory("Items.AdvancedPowerGrip_Tutorial_RarePlus", 1)</t>
  </si>
  <si>
    <t>Game.AddToInventory("Items.AdvancedPowerGripEpic", 1)</t>
  </si>
  <si>
    <t>Game.AddToInventory("Items.AdvancedPowerGrip_Tutorial_Epic", 1)</t>
  </si>
  <si>
    <t>Game.AddToInventory("Items.AdvancedPowerGripEpicPlus", 1)</t>
  </si>
  <si>
    <t>Game.AddToInventory("Items.AdvancedPowerGrip_Tutorial_EpicPlus", 1)</t>
  </si>
  <si>
    <t>Game.AddToInventory("Items.AdvancedPowerGripLegendary", 1)</t>
  </si>
  <si>
    <t>Game.AddToInventory("Items.AdvancedPowerGrip_Tutorial_Legendary", 1)</t>
  </si>
  <si>
    <t>Game.AddToInventory("Items.AdvancedPowerGripLegendaryPlus", 1)</t>
  </si>
  <si>
    <t>Game.AddToInventory("Items.AdvancedPowerGrip_Tutorial_LegendaryPlus", 1)</t>
  </si>
  <si>
    <t>Game.AddToInventory("Items.AdvancedPowerGripLegendaryPlusPlus", 1)</t>
  </si>
  <si>
    <t>Game.AddToInventory("Items.AdvancedPowerGrip_Tutorial_LegendaryPlusPlus", 1)</t>
  </si>
  <si>
    <t>Face</t>
  </si>
  <si>
    <t>Basic Kiroshi Optics</t>
  </si>
  <si>
    <t>Game.AddToInventory("Items.AdvancedKiroshiOpticsBareBase", 1)</t>
  </si>
  <si>
    <t>Game.AddToInventory("Items.AdvancedKiroshiOptics_q001_1", 1)</t>
  </si>
  <si>
    <t>Game.AddToInventory("Items.AdvancedKiroshiOpticsBareCommon", 1)</t>
  </si>
  <si>
    <t>Game.AddToInventory("Items.AdvancedKiroshiOpticsBareCommonPlus", 1)</t>
  </si>
  <si>
    <t>Game.AddToInventory("Items.AdvancedKiroshiOpticsBareUncommon", 1)</t>
  </si>
  <si>
    <t>Game.AddToInventory("Items.AdvancedKiroshiOpticsBareUncommonPlus", 1)</t>
  </si>
  <si>
    <t>Game.AddToInventory("Items.AdvancedKiroshiOpticsBareRare", 1)</t>
  </si>
  <si>
    <t>Game.AddToInventory("Items.AdvancedKiroshiOpticsBareRarePlus", 1)</t>
  </si>
  <si>
    <t>Game.AddToInventory("Items.AdvancedKiroshiOpticsBareEpic", 1)</t>
  </si>
  <si>
    <t>Game.AddToInventory("Items.AdvancedKiroshiOpticsBareEpicPlus", 1)</t>
  </si>
  <si>
    <t>Game.AddToInventory("Items.AdvancedKiroshiOpticsBareLegendary", 1)</t>
  </si>
  <si>
    <t>Game.AddToInventory("Items.AdvancedKiroshiOpticsBareLegendaryPlus", 1)</t>
  </si>
  <si>
    <t>Game.AddToInventory("Items.AdvancedKiroshiOpticsBareLegendaryPlusPlus", 1)</t>
  </si>
  <si>
    <t>Behavioral Imprint-Synced Faceplate</t>
  </si>
  <si>
    <t>Game.AddToInventory("Items.MaskCW", 1) if Game.GetQuestsSystem():GetFactStr("cw_mask_slot_unlocked") == 0 then local msg = "\tWARNING : Item Added To the Inventory but you don't have the mask slot unlocked.\n\tTo unlock the CW mask slot you can use this command :\n\tGame.GetQuestsSystem():SetFactStr('cw_mask_slot_unlocked', 1)\n "; print(msg) PreventionSystem.ShowMessage("Warning :\nMore informations in the console", 10) end;</t>
  </si>
  <si>
    <t>Game.AddToInventory("Items.MaskCWPlus", 1) if Game.GetQuestsSystem():GetFactStr("cw_mask_slot_unlocked") == 0 then local msg = "\tWARNING : Item Added To the Inventory but you don't have the mask slot unlocked.\n\tTo unlock the CW mask slot you can use this command :\n\tGame.GetQuestsSystem():SetFactStr('cw_mask_slot_unlocked', 1)\n "; print(msg) PreventionSystem.ShowMessage("Warning :\nMore informations in the console", 10) end;</t>
  </si>
  <si>
    <t>Game.AddToInventory("Items.MaskCWPlusPlus", 1) if Game.GetQuestsSystem():GetFactStr("cw_mask_slot_unlocked") == 0 then local msg = "\tWARNING : Item Added To the Inventory but you don't have the mask slot unlocked.\n\tTo unlock the CW mask slot you can use this command :\n\tGame.GetQuestsSystem():SetFactStr('cw_mask_slot_unlocked', 1)\n "; print(msg) PreventionSystem.ShowMessage("Warning :\nMore informations in the console", 10) end;</t>
  </si>
  <si>
    <t>Bioconductor</t>
  </si>
  <si>
    <t>Game.AddToInventory("Items.AdvancedBioConductorsCommon", 1)</t>
  </si>
  <si>
    <t>Game.AddToInventory("Items.AdvancedBioConductorsCommonPlus", 1)</t>
  </si>
  <si>
    <t>Game.AddToInventory("Items.AdvancedBioConductorsUncommon", 1)</t>
  </si>
  <si>
    <t>Game.AddToInventory("Items.AdvancedBioConductorsUncommonPlus", 1)</t>
  </si>
  <si>
    <t>Game.AddToInventory("Items.AdvancedBioConductorsRare", 1)</t>
  </si>
  <si>
    <t>Game.AddToInventory("Items.AdvancedBioConductorsRarePlus", 1)</t>
  </si>
  <si>
    <t>Game.AddToInventory("Items.AdvancedBioConductorsEpic", 1)</t>
  </si>
  <si>
    <t>Game.AddToInventory("Items.AdvancedBioConductorsEpicPlus", 1)</t>
  </si>
  <si>
    <t>Game.AddToInventory("Items.AdvancedBioConductorsLegendary", 1)</t>
  </si>
  <si>
    <t>Game.AddToInventory("Items.AdvancedBioConductorsLegendaryPlus", 1)</t>
  </si>
  <si>
    <t>Game.AddToInventory("Items.AdvancedBioConductorsLegendary_PlusPlus", 1)</t>
  </si>
  <si>
    <t>Biodyne Berserk</t>
  </si>
  <si>
    <t>Game.AddToInventory("Items.AdvancedBerserkC2MK1", 1)</t>
  </si>
  <si>
    <t>Game.AddToInventory("Items.AdvancedBerserkC2MK1Plus", 1)</t>
  </si>
  <si>
    <t>Game.AddToInventory("Items.AdvancedBerserkC2MK2", 1)</t>
  </si>
  <si>
    <t>Game.AddToInventory("Items.AdvancedBerserkC2MK2Plus", 1)</t>
  </si>
  <si>
    <t>Game.AddToInventory("Items.AdvancedBerserkC2MK3", 1)</t>
  </si>
  <si>
    <t>Game.AddToInventory("Items.AdvancedBerserkC2MK3Plus", 1)</t>
  </si>
  <si>
    <t>Game.AddToInventory("Items.AdvancedBerserkC2MK4", 1)</t>
  </si>
  <si>
    <t>Game.AddToInventory("Items.AdvancedBerserkC2MK4Plus", 1)</t>
  </si>
  <si>
    <t>Game.AddToInventory("Items.AdvancedBerserkC2MK4PlusPlus", 1)</t>
  </si>
  <si>
    <t>Biomonitor</t>
  </si>
  <si>
    <t>Game.AddToInventory("Items.AdvancedBiomonitorCommon", 1)</t>
  </si>
  <si>
    <t>Game.AddToInventory("Items.AdvancedBiomonitorCommonPlus", 1)</t>
  </si>
  <si>
    <t>Game.AddToInventory("Items.AdvancedBiomonitorUncommon", 1)</t>
  </si>
  <si>
    <t>Game.AddToInventory("Items.AdvancedBiomonitorUncommonPlus", 1)</t>
  </si>
  <si>
    <t>Game.AddToInventory("Items.AdvancedBiomonitorRare", 1)</t>
  </si>
  <si>
    <t>Game.AddToInventory("Items.AdvancedBiomonitorRarePlus", 1)</t>
  </si>
  <si>
    <t>Game.AddToInventory("Items.AdvancedBiomonitorEpic", 1)</t>
  </si>
  <si>
    <t>Game.AddToInventory("Items.AdvancedBiomonitorEpicPlus", 1)</t>
  </si>
  <si>
    <t>Game.AddToInventory("Items.AdvancedBiomonitorLegendary", 1)</t>
  </si>
  <si>
    <t>Game.AddToInventory("Items.AdvancedBiomonitorLegendaryPlus", 1)</t>
  </si>
  <si>
    <t>Game.AddToInventory("Items.AdvancedBiomonitorLegendaryPlusPlus", 1)</t>
  </si>
  <si>
    <t>Skeleton</t>
  </si>
  <si>
    <t>Bionic Joints</t>
  </si>
  <si>
    <t>Game.AddToInventory("Items.AdvancedBionicJointsCommon2", 1)</t>
  </si>
  <si>
    <t>Game.AddToInventory("Items.AdvancedBionicJointsCommon", 1)</t>
  </si>
  <si>
    <t>Game.AddToInventory("Items.AdvancedBionicJointsCommon2Plus", 1)</t>
  </si>
  <si>
    <t>Game.AddToInventory("Items.AdvancedBionicJointsCommonPlus", 1)</t>
  </si>
  <si>
    <t>Game.AddToInventory("Items.AdvancedBionicJointsUncommon2", 1)</t>
  </si>
  <si>
    <t>Game.AddToInventory("Items.AdvancedBionicJointsUncommon", 1)</t>
  </si>
  <si>
    <t>Game.AddToInventory("Items.AdvancedBionicJointsUncommon2Plus", 1)</t>
  </si>
  <si>
    <t>Game.AddToInventory("Items.AdvancedBionicJointsUncommonPlus", 1)</t>
  </si>
  <si>
    <t>Game.AddToInventory("Items.AdvancedBionicJointsRare2", 1)</t>
  </si>
  <si>
    <t>Game.AddToInventory("Items.AdvancedBionicJointsRare", 1)</t>
  </si>
  <si>
    <t>Game.AddToInventory("Items.AdvancedBionicJointsRare2Plus", 1)</t>
  </si>
  <si>
    <t>Game.AddToInventory("Items.AdvancedBionicJointsRarePlus", 1)</t>
  </si>
  <si>
    <t>Game.AddToInventory("Items.AdvancedBionicJointsEpic2", 1)</t>
  </si>
  <si>
    <t>Game.AddToInventory("Items.AdvancedBionicJointsEpic", 1)</t>
  </si>
  <si>
    <t>Game.AddToInventory("Items.AdvancedBionicJointsEpic2Plus", 1)</t>
  </si>
  <si>
    <t>Game.AddToInventory("Items.AdvancedBionicJointsEpicPlus", 1)</t>
  </si>
  <si>
    <t>Game.AddToInventory("Items.AdvancedBionicJointsLegendary", 1)</t>
  </si>
  <si>
    <t>Game.AddToInventory("Items.AdvancedBionicJointsLegendary2", 1)</t>
  </si>
  <si>
    <t>Game.AddToInventory("Items.AdvancedBionicJointsLegendary2Plus", 1)</t>
  </si>
  <si>
    <t>Game.AddToInventory("Items.AdvancedBionicJointsLegendaryPlus", 1)</t>
  </si>
  <si>
    <t>Game.AddToInventory("Items.AdvancedBionicJointsLegendary2PlusPlus", 1)</t>
  </si>
  <si>
    <t>Game.AddToInventory("Items.AdvancedBionicJointsLegendaryPlusPlus", 1)</t>
  </si>
  <si>
    <t>Biotech Σ Mk.1</t>
  </si>
  <si>
    <t>Game.AddToInventory("Items.AdvancedBiotechSigmaMKIUncommon", 1)</t>
  </si>
  <si>
    <t>Game.AddToInventory("Items.EP1_Stanalone_StartingBuild_Cyberdeck", 1)</t>
  </si>
  <si>
    <t>Game.AddToInventory("Items.AdvancedBiotechSigmaMKIUncommonPlus", 1)</t>
  </si>
  <si>
    <t>Biotech Σ Mk.2</t>
  </si>
  <si>
    <t>Game.AddToInventory("Items.AdvancedBiotechSigmaMKIIRare", 1)</t>
  </si>
  <si>
    <t>Game.AddToInventory("Items.Normal_20_Netrunner_Cyberdeck", 1)</t>
  </si>
  <si>
    <t>Game.AddToInventory("Items.AdvancedBiotechSigmaMKIIRarePlus", 1)</t>
  </si>
  <si>
    <t>Biotech Σ Mk.3</t>
  </si>
  <si>
    <t>Game.AddToInventory("Items.AdvancedBiotechSigmaMKIIIEpic", 1)</t>
  </si>
  <si>
    <t>Game.AddToInventory("Items.AdvancedBiotechSigmaMKIIIEpicPlus", 1)</t>
  </si>
  <si>
    <t>Biotech Σ Mk.4</t>
  </si>
  <si>
    <t>Game.AddToInventory("Items.AdvancedBiotechSigmaMKIVLegendary", 1)</t>
  </si>
  <si>
    <t>Game.AddToInventory("Items.AdvancedBiotechSigmaMKIVLegendaryPlus", 1)</t>
  </si>
  <si>
    <t>Game.AddToInventory("Items.AdvancedBiotechSigmaMKIVLegendaryPlusPlus", 1)</t>
  </si>
  <si>
    <t>Black Mamba</t>
  </si>
  <si>
    <t>Game.AddToInventory("Items.AdvancedViralVenomCommon", 1)</t>
  </si>
  <si>
    <t>Game.AddToInventory("Items.AdvancedViralVenomUncommon", 1)</t>
  </si>
  <si>
    <t>Game.AddToInventory("Items.AdvancedViralVenomRare", 1)</t>
  </si>
  <si>
    <t>Game.AddToInventory("Items.AdvancedViralVenomRarePlus", 1)</t>
  </si>
  <si>
    <t>Game.AddToInventory("Items.AdvancedViralVenomEpic", 1)</t>
  </si>
  <si>
    <t>Game.AddToInventory("Items.AdvancedViralVenomEpicPlus", 1)</t>
  </si>
  <si>
    <t>Game.AddToInventory("Items.AdvancedViralVenomLegendary", 1)</t>
  </si>
  <si>
    <t>Game.AddToInventory("Items.AdvancedViralVenomLegendaryPlus", 1)</t>
  </si>
  <si>
    <t>Game.AddToInventory("Items.AdvancedViralVenomLegendaryPlusPlus", 1)</t>
  </si>
  <si>
    <t>Blood Pump</t>
  </si>
  <si>
    <t>Game.AddToInventory("Items.AdvancedBloodPumpCommon", 1)</t>
  </si>
  <si>
    <t>Game.AddToInventory("Items.AdvancedBloodPumpUncommon", 1)</t>
  </si>
  <si>
    <t>Game.AddToInventory("Items.AdvancedBloodPumpUncommonPlus", 1)</t>
  </si>
  <si>
    <t>Game.AddToInventory("Items.AdvancedBloodPumpRare", 1)</t>
  </si>
  <si>
    <t>Game.AddToInventory("Items.AdvancedBloodPumpRarePlus", 1)</t>
  </si>
  <si>
    <t>Game.AddToInventory("Items.AdvancedBloodPumpEpic", 1)</t>
  </si>
  <si>
    <t>Game.AddToInventory("Items.AdvancedBloodPumpEpicPlus", 1)</t>
  </si>
  <si>
    <t>Game.AddToInventory("Items.AdvancedBloodPumpLegendary", 1)</t>
  </si>
  <si>
    <t>Game.AddToInventory("Items.AdvancedBloodPumpLegendaryPlus", 1)</t>
  </si>
  <si>
    <t>Game.AddToInventory("Items.AdvancedBloodPumpLegendaryPlusPlus", 1)</t>
  </si>
  <si>
    <t>Burnout Buffer</t>
  </si>
  <si>
    <t>Game.AddToInventory("Items.AdvancedSmartStorageCommon", 1)</t>
  </si>
  <si>
    <t>Game.AddToInventory("Items.AdvancedSmartStorageUncommon", 1)</t>
  </si>
  <si>
    <t>Game.AddToInventory("Items.AdvancedSmartStorageRare", 1)</t>
  </si>
  <si>
    <t>Game.AddToInventory("Items.AdvancedSmartStorageEpic", 1)</t>
  </si>
  <si>
    <t>Game.AddToInventory("Items.AdvancedSmartStorageLegendary", 1)</t>
  </si>
  <si>
    <t>Camillo Ram Manager</t>
  </si>
  <si>
    <t>Game.AddToInventory("Items.AdvancedCamilloRamManagerEpic", 1)</t>
  </si>
  <si>
    <t>Game.AddToInventory("Items.AdvancedCamilloRamManagerEpicPlus", 1)</t>
  </si>
  <si>
    <t>Game.AddToInventory("Items.AdvancedCamilloRamManagerLegendary", 1)</t>
  </si>
  <si>
    <t>Game.AddToInventory("Items.AdvancedCamilloRamManagerLegendaryPlus", 1)</t>
  </si>
  <si>
    <t>Game.AddToInventory("Items.AdvancedCamilloRamManagerLegendaryPlusPlus", 1)</t>
  </si>
  <si>
    <t>Integumentary System</t>
  </si>
  <si>
    <t>Carapace</t>
  </si>
  <si>
    <t>Game.AddToInventory("Items.AdvancedWeirdTankyPlatingCommon", 1)</t>
  </si>
  <si>
    <t>Game.AddToInventory("Items.AdvancedWeirdTankyPlatingUncommon", 1)</t>
  </si>
  <si>
    <t>Game.AddToInventory("Items.AdvancedWeirdTankyPlatingUncommonPlus", 1)</t>
  </si>
  <si>
    <t>Game.AddToInventory("Items.AdvancedWeirdTankyPlatingRare", 1)</t>
  </si>
  <si>
    <t>Game.AddToInventory("Items.AdvancedWeirdTankyPlatingRarePlus", 1)</t>
  </si>
  <si>
    <t>Game.AddToInventory("Items.AdvancedWeirdTankyPlatingEpic", 1)</t>
  </si>
  <si>
    <t>Game.AddToInventory("Items.AdvancedWeirdTankyPlatingEpicPlus", 1)</t>
  </si>
  <si>
    <t>Game.AddToInventory("Items.AdvancedWeirdTankyPlatingLegendary", 1)</t>
  </si>
  <si>
    <t>Game.AddToInventory("Items.AdvancedWeirdTankyPlatingLegendaryPlus", 1)</t>
  </si>
  <si>
    <t>Game.AddToInventory("Items.AdvancedWeirdTankyPlatingLegendaryPlusPlus", 1)</t>
  </si>
  <si>
    <t>Cellular Adapter</t>
  </si>
  <si>
    <t>Game.AddToInventory("Items.AdvancedAdaptiveStemCellsCommon", 1)</t>
  </si>
  <si>
    <t>Game.AddToInventory("Items.AdvancedAdaptiveStemCellsUncommon", 1)</t>
  </si>
  <si>
    <t>Game.AddToInventory("Items.AdvancedAdaptiveStemCellsUncommonPlus", 1)</t>
  </si>
  <si>
    <t>Game.AddToInventory("Items.AdvancedAdaptiveStemCellsRare", 1)</t>
  </si>
  <si>
    <t>Game.AddToInventory("Items.AdvancedAdaptiveStemCellsRarePlus", 1)</t>
  </si>
  <si>
    <t>Game.AddToInventory("Items.AdvancedAdaptiveStemCellsEpic", 1)</t>
  </si>
  <si>
    <t>Game.AddToInventory("Items.AdvancedAdaptiveStemCellsEpicPlus", 1)</t>
  </si>
  <si>
    <t>Game.AddToInventory("Items.AdvancedAdaptiveStemCellsLegendary", 1)</t>
  </si>
  <si>
    <t>Game.AddToInventory("Items.AdvancedAdaptiveStemCellsLegendaryPlus", 1)</t>
  </si>
  <si>
    <t>Game.AddToInventory("Items.AdvancedAdaptiveStemCellsLegendaryPlusPlus", 1)</t>
  </si>
  <si>
    <t>Chitin</t>
  </si>
  <si>
    <t>Game.AddToInventory("Items.IconicAdvancedChitonCommon", 1)</t>
  </si>
  <si>
    <t>Game.AddToInventory("Items.IconicAdvancedChitonCommonPlus", 1)</t>
  </si>
  <si>
    <t>Game.AddToInventory("Items.IconicAdvancedChitonUncommon", 1)</t>
  </si>
  <si>
    <t>Game.AddToInventory("Items.IconicAdvancedChitonUncommonPlus", 1)</t>
  </si>
  <si>
    <t>Game.AddToInventory("Items.IconicAdvancedChitonRare", 1)</t>
  </si>
  <si>
    <t>Game.AddToInventory("Items.IconicAdvancedChitonRarePlus", 1)</t>
  </si>
  <si>
    <t>Game.AddToInventory("Items.IconicAdvancedChitonEpic", 1)</t>
  </si>
  <si>
    <t>Game.AddToInventory("Items.IconicAdvancedChitonEpicPlus", 1)</t>
  </si>
  <si>
    <t>Game.AddToInventory("Items.IconicAdvancedChitonLegendary", 1)</t>
  </si>
  <si>
    <t>Game.AddToInventory("Items.IconicAdvancedChitonLegendaryPlus", 1)</t>
  </si>
  <si>
    <t>Game.AddToInventory("Items.IconicAdvancedChitonLegendaryPlusPlus", 1)</t>
  </si>
  <si>
    <t>Chrome Compressor</t>
  </si>
  <si>
    <t>Game.AddToInventory("Items.CapacityBoosterBase", 1)</t>
  </si>
  <si>
    <t>Game.AddToInventory("Items.CapacityBoosterUncommon", 1)</t>
  </si>
  <si>
    <t>Game.AddToInventory("Items.CapacityBoosterUncommonPlus", 1)</t>
  </si>
  <si>
    <t>Game.AddToInventory("Items.CapacityBoosterRare", 1)</t>
  </si>
  <si>
    <t>Game.AddToInventory("Items.CapacityBoosterRarePlus", 1)</t>
  </si>
  <si>
    <t>Game.AddToInventory("Items.CapacityBoosterEpic", 1)</t>
  </si>
  <si>
    <t>Game.AddToInventory("Items.CapacityBoosterEpicPlus", 1)</t>
  </si>
  <si>
    <t>Game.AddToInventory("Items.CapacityBoosterLegendary", 1)</t>
  </si>
  <si>
    <t>Game.AddToInventory("Items.CapacityBoosterLegendaryPlus", 1)</t>
  </si>
  <si>
    <t>Game.AddToInventory("Items.CapacityBoosterLegendaryPlusPlus", 1)</t>
  </si>
  <si>
    <t>Clutch Padding</t>
  </si>
  <si>
    <t>Game.AddToInventory("Items.AdvancedShockAbsorberCommon", 1)</t>
  </si>
  <si>
    <t>Game.AddToInventory("Items.AdvancedShockAbsorberCommonPlus", 1)</t>
  </si>
  <si>
    <t>Game.AddToInventory("Items.AdvancedShockAbsorberUncommon", 1)</t>
  </si>
  <si>
    <t>Game.AddToInventory("Items.AdvancedShockAbsorberUncommonPlus", 1)</t>
  </si>
  <si>
    <t>Game.AddToInventory("Items.AdvancedShockAbsorberRare", 1)</t>
  </si>
  <si>
    <t>Game.AddToInventory("Items.AdvancedShockAbsorberRarePlus", 1)</t>
  </si>
  <si>
    <t>Game.AddToInventory("Items.AdvancedShockAbsorberEpic", 1)</t>
  </si>
  <si>
    <t>Game.AddToInventory("Items.AdvancedShockAbsorberEpicPlus", 1)</t>
  </si>
  <si>
    <t>Game.AddToInventory("Items.AdvancedShockAbsorberLegendary", 1)</t>
  </si>
  <si>
    <t>Game.AddToInventory("Items.AdvancedShockAbsorberLegendaryPlus", 1)</t>
  </si>
  <si>
    <t>Game.AddToInventory("Items.AdvancedShockAbsorberLegendaryPlusPlus", 1)</t>
  </si>
  <si>
    <t>Cogito Lattice</t>
  </si>
  <si>
    <t>Game.AddToInventory("Items.AdvancedCogitoFrameCommon", 1)</t>
  </si>
  <si>
    <t>Game.AddToInventory("Items.AdvancedCogitoFrameCommonPlus", 1)</t>
  </si>
  <si>
    <t>Game.AddToInventory("Items.AdvancedCogitoFrameUncommon", 1)</t>
  </si>
  <si>
    <t>Game.AddToInventory("Items.AdvancedCogitoFrameUncommonPlus", 1)</t>
  </si>
  <si>
    <t>Game.AddToInventory("Items.AdvancedCogitoFrameRare", 1)</t>
  </si>
  <si>
    <t>Game.AddToInventory("Items.AdvancedCogitoFrameRarePlus", 1)</t>
  </si>
  <si>
    <t>Game.AddToInventory("Items.AdvancedCogitoFrameEpic", 1)</t>
  </si>
  <si>
    <t>Game.AddToInventory("Items.AdvancedCogitoFrameEpicPlus", 1)</t>
  </si>
  <si>
    <t>Game.AddToInventory("Items.AdvancedCogitoFrameLegendary", 1)</t>
  </si>
  <si>
    <t>Game.AddToInventory("Items.AdvancedCogitoFrameLegendaryPlus", 1)</t>
  </si>
  <si>
    <t>Game.AddToInventory("Items.AdvancedCogitoFrameLegendaryPlusPlus", 1)</t>
  </si>
  <si>
    <t>Contagion</t>
  </si>
  <si>
    <t>Game.AddToInventory("Items.ContagionProgram", 1)</t>
  </si>
  <si>
    <t>Game.AddToInventory("Items.ContagionLvl2Program", 1)</t>
  </si>
  <si>
    <t>Game.AddToInventory("Items.ContagionLvl3Program", 1)</t>
  </si>
  <si>
    <t>Game.AddToInventory("Items.ContagionLvl4Program", 1)</t>
  </si>
  <si>
    <t>Game.AddToInventory("Items.ContagionLvl4PlusPlusProgram", 1)</t>
  </si>
  <si>
    <t>Countershell</t>
  </si>
  <si>
    <t>Game.AddToInventory("Items.AdvancedSuddenAidCommon", 1)</t>
  </si>
  <si>
    <t>Game.AddToInventory("Items.AdvancedSuddenAidCommonPlus", 1)</t>
  </si>
  <si>
    <t>Game.AddToInventory("Items.AdvancedSuddenAidUncommon", 1)</t>
  </si>
  <si>
    <t>Game.AddToInventory("Items.AdvancedSuddenAidUncommonPlus", 1)</t>
  </si>
  <si>
    <t>Game.AddToInventory("Items.AdvancedSuddenAidRare", 1)</t>
  </si>
  <si>
    <t>Game.AddToInventory("Items.AdvancedSuddenAidRarePlus", 1)</t>
  </si>
  <si>
    <t>Game.AddToInventory("Items.AdvancedSuddenAidEpic", 1)</t>
  </si>
  <si>
    <t>Game.AddToInventory("Items.AdvancedSuddenAidEpicPlus", 1)</t>
  </si>
  <si>
    <t>Game.AddToInventory("Items.AdvancedSuddenAidLegendary", 1)</t>
  </si>
  <si>
    <t>Game.AddToInventory("Items.AdvancedSuddenAidLegendaryPlus", 1)</t>
  </si>
  <si>
    <t>Game.AddToInventory("Items.AdvancedSuddenAidLegendaryPlusPlus", 1)</t>
  </si>
  <si>
    <t>Cox-2 Cybersomatic Optimizer</t>
  </si>
  <si>
    <t>Game.AddToInventory("Items.IconicBioConductorsRare", 1)</t>
  </si>
  <si>
    <t>Game.AddToInventory("Items.IconicBioConductorsRarePlus", 1)</t>
  </si>
  <si>
    <t>Game.AddToInventory("Items.IconicBioConductorsEpic", 1)</t>
  </si>
  <si>
    <t>Game.AddToInventory("Items.IconicBioConductorsEpicPlus", 1)</t>
  </si>
  <si>
    <t>Game.AddToInventory("Items.IconicBioConductorsLegendary", 1)</t>
  </si>
  <si>
    <t>Game.AddToInventory("Items.IconicBioConductorsLegendaryPlus", 1)</t>
  </si>
  <si>
    <t>Game.AddToInventory("Items.IconicBioConductorsLegendaryPlusPlus", 1)</t>
  </si>
  <si>
    <t>Cripple Movement</t>
  </si>
  <si>
    <t>Game.AddToInventory("Items.LocomotionMalfunctionProgram", 1)</t>
  </si>
  <si>
    <t>Game.AddToInventory("Items.LocomotionMalfunctionLvl2Program", 1)</t>
  </si>
  <si>
    <t>Game.AddToInventory("Items.LocomotionMalfunctionLvl3Program", 1)</t>
  </si>
  <si>
    <t>Game.AddToInventory("Items.LocomotionMalfunctionLvl4Program", 1)</t>
  </si>
  <si>
    <t>Game.AddToInventory("Items.LocomotionMalfunctionLvl4PlusPlusProgram", 1)</t>
  </si>
  <si>
    <t>Cyberpsychosis</t>
  </si>
  <si>
    <t>Game.AddToInventory("Items.MadnessLvl3Program", 1)</t>
  </si>
  <si>
    <t>Game.AddToInventory("Items.MadnessLvl4Program", 1)</t>
  </si>
  <si>
    <t>Game.AddToInventory("Items.MadnessLvl4PlusPlusProgram", 1)</t>
  </si>
  <si>
    <t>Cyberware Malfunction</t>
  </si>
  <si>
    <t>Game.AddToInventory("Items.DisableCyberwareProgram", 1)</t>
  </si>
  <si>
    <t>Game.AddToInventory("Items.DisableCyberwareLvl2Program", 1)</t>
  </si>
  <si>
    <t>Game.AddToInventory("Items.DisableCyberwareLvl3Program", 1)</t>
  </si>
  <si>
    <t>Game.AddToInventory("Items.DisableCyberwareLvl4Program", 1)</t>
  </si>
  <si>
    <t>Game.AddToInventory("Items.DisableCyberwareLvl4PlusPlusProgram", 1)</t>
  </si>
  <si>
    <t>Deep-Field Visual Interface</t>
  </si>
  <si>
    <t>Game.AddToInventory("Items.IconicAdvancedVisualCortexSupportCommon", 1)</t>
  </si>
  <si>
    <t>Game.AddToInventory("Items.IconicAdvancedVisualCortexSupportCommonPlus", 1)</t>
  </si>
  <si>
    <t>Game.AddToInventory("Items.IconicAdvancedVisualCortexSupportUncommon", 1)</t>
  </si>
  <si>
    <t>Game.AddToInventory("Items.IconicAdvancedVisualCortexSupportUncommonPlus", 1)</t>
  </si>
  <si>
    <t>Game.AddToInventory("Items.IconicAdvancedVisualCortexSupportRare", 1)</t>
  </si>
  <si>
    <t>Game.AddToInventory("Items.IconicAdvancedVisualCortexSupportRarePlus", 1)</t>
  </si>
  <si>
    <t>Game.AddToInventory("Items.IconicAdvancedVisualCortexSupportEpic", 1)</t>
  </si>
  <si>
    <t>Game.AddToInventory("Items.IconicAdvancedVisualCortexSupportEpicPlus", 1)</t>
  </si>
  <si>
    <t>Game.AddToInventory("Items.IconicAdvancedVisualCortexSupportLegendary", 1)</t>
  </si>
  <si>
    <t>Game.AddToInventory("Items.IconicAdvancedVisualCortexSupportLegendaryPlus", 1)</t>
  </si>
  <si>
    <t>Game.AddToInventory("Items.IconicAdvancedVisualCortexSupportLegendaryPlusPlus", 1)</t>
  </si>
  <si>
    <t>Defenzikov</t>
  </si>
  <si>
    <t>Game.AddToInventory("Items.AdvancedPlatingGlitchCommon", 1)</t>
  </si>
  <si>
    <t>Game.AddToInventory("Items.AdvancedPlatingGlitchUncommon", 1)</t>
  </si>
  <si>
    <t>Game.AddToInventory("Items.AdvancedPlatingGlitchRare", 1)</t>
  </si>
  <si>
    <t>Game.AddToInventory("Items.AdvancedPlatingGlitchRarePlus", 1)</t>
  </si>
  <si>
    <t>Game.AddToInventory("Items.AdvancedPlatingGlitchEpic", 1)</t>
  </si>
  <si>
    <t>Game.AddToInventory("Items.AdvancedPlatingGlitchEpicPlus", 1)</t>
  </si>
  <si>
    <t>Game.AddToInventory("Items.AdvancedPlatingGlitchLegendary", 1)</t>
  </si>
  <si>
    <t>Game.AddToInventory("Items.AdvancedPlatingGlitchLegendaryPlus", 1)</t>
  </si>
  <si>
    <t>Game.AddToInventory("Items.AdvancedPlatingGlitchLegendaryPlusPlus", 1)</t>
  </si>
  <si>
    <t>Dense Marrow</t>
  </si>
  <si>
    <t>Game.AddToInventory("Items.AdvancedDenseMarrowBase", 1)</t>
  </si>
  <si>
    <t>Game.AddToInventory("Items.AdvancedDenseMarrowCommon2", 1)</t>
  </si>
  <si>
    <t>Game.AddToInventory("Items.AdvancedDenseMarrowCommon", 1)</t>
  </si>
  <si>
    <t>Game.AddToInventory("Items.AdvancedDenseMarrowCommon2Plus", 1)</t>
  </si>
  <si>
    <t>Game.AddToInventory("Items.AdvancedDenseMarrowCommonPlus", 1)</t>
  </si>
  <si>
    <t>Game.AddToInventory("Items.AdvancedDenseMarrowUncommon2", 1)</t>
  </si>
  <si>
    <t>Game.AddToInventory("Items.AdvancedDenseMarrowUncommon", 1)</t>
  </si>
  <si>
    <t>Game.AddToInventory("Items.AdvancedDenseMarrowUncommon2Plus", 1)</t>
  </si>
  <si>
    <t>Game.AddToInventory("Items.AdvancedDenseMarrowUncommonPlus", 1)</t>
  </si>
  <si>
    <t>Game.AddToInventory("Items.AdvancedDenseMarrowRare2", 1)</t>
  </si>
  <si>
    <t>Game.AddToInventory("Items.AdvancedDenseMarrowRare", 1)</t>
  </si>
  <si>
    <t>Game.AddToInventory("Items.AdvancedDenseMarrowRare2Plus", 1)</t>
  </si>
  <si>
    <t>Game.AddToInventory("Items.AdvancedDenseMarrowRarePlus", 1)</t>
  </si>
  <si>
    <t>Game.AddToInventory("Items.AdvancedDenseMarrowEpic2", 1)</t>
  </si>
  <si>
    <t>Game.AddToInventory("Items.AdvancedDenseMarrowEpic", 1)</t>
  </si>
  <si>
    <t>Game.AddToInventory("Items.AdvancedDenseMarrowEpic2Plus", 1)</t>
  </si>
  <si>
    <t>Game.AddToInventory("Items.AdvancedDenseMarrowEpicPlus", 1)</t>
  </si>
  <si>
    <t>Game.AddToInventory("Items.AdvancedDenseMarrowLegendary", 1)</t>
  </si>
  <si>
    <t>Game.AddToInventory("Items.AdvancedDenseMarrowLegendary2", 1)</t>
  </si>
  <si>
    <t>Game.AddToInventory("Items.AdvancedDenseMarrowLegendary2Plus", 1)</t>
  </si>
  <si>
    <t>Game.AddToInventory("Items.AdvancedDenseMarrowLegendaryPlus", 1)</t>
  </si>
  <si>
    <t>Game.AddToInventory("Items.AdvancedDenseMarrowLegendary2PlusPlus", 1)</t>
  </si>
  <si>
    <t>Game.AddToInventory("Items.AdvancedDenseMarrowLegendaryPlusPlus", 1)</t>
  </si>
  <si>
    <t>Detonate Grenade</t>
  </si>
  <si>
    <t>Game.AddToInventory("Items.GrenadeExplodeLvl3Program", 1)</t>
  </si>
  <si>
    <t>Game.AddToInventory("Items.GrenadeExplodeLvl4Program", 1)</t>
  </si>
  <si>
    <t>Game.AddToInventory("Items.GrenadeExplodeLvl4PlusPlusProgram", 1)</t>
  </si>
  <si>
    <t>Dynalar Sandevistan</t>
  </si>
  <si>
    <t>Game.AddToInventory("Items.AdvancedSandevistanC2MK1", 1)</t>
  </si>
  <si>
    <t>Game.AddToInventory("Items.AdvancedSandevistanC2MK1Plus", 1)</t>
  </si>
  <si>
    <t>Game.AddToInventory("Items.AdvancedSandevistanC2MK2", 1)</t>
  </si>
  <si>
    <t>Game.AddToInventory("Items.AdvancedSandevistanC2MK2Plus", 1)</t>
  </si>
  <si>
    <t>Game.AddToInventory("Items.AdvancedSandevistanC2MK3", 1)</t>
  </si>
  <si>
    <t>Game.AddToInventory("Items.AdvancedSandevistanC2MK3Plus", 1)</t>
  </si>
  <si>
    <t>Game.AddToInventory("Items.AdvancedSandevistanC2MK4", 1)</t>
  </si>
  <si>
    <t>Game.AddToInventory("Items.AdvancedSandevistanC2MK4Plus", 1)</t>
  </si>
  <si>
    <t>Game.AddToInventory("Items.AdvancedSandevistanC2MK4PlusPlus", 1)</t>
  </si>
  <si>
    <t>Arms</t>
  </si>
  <si>
    <t>Electrifying Gorilla Arms</t>
  </si>
  <si>
    <t>Game.AddToInventory("Items.AdvancedStrongArmsElectricUncommon", 1)</t>
  </si>
  <si>
    <t>Game.AddToInventory("Items.AdvancedStrongArmsElectricUncommonPlus", 1)</t>
  </si>
  <si>
    <t>Game.AddToInventory("Items.AdvancedStrongArmsElectricRare", 1)</t>
  </si>
  <si>
    <t>Game.AddToInventory("Items.AdvancedStrongArmsElectric_RarePlus", 1)</t>
  </si>
  <si>
    <t>Game.AddToInventory("Items.AdvancedStrongArmsElectricEpic", 1)</t>
  </si>
  <si>
    <t>Game.AddToInventory("Items.AdvancedStrongArmsElectricEpicPlus", 1)</t>
  </si>
  <si>
    <t>Game.AddToInventory("Items.AdvancedStrongArmsElectricLegendary", 1)</t>
  </si>
  <si>
    <t>Game.AddToInventory("Items.AdvancedStrongArmsElectricLegendaryPlus", 1)</t>
  </si>
  <si>
    <t>Game.AddToInventory("Items.AdvancedStrongArmsElectricLegendaryPlusPlus", 1)</t>
  </si>
  <si>
    <t>Electrifying Mantis Blades</t>
  </si>
  <si>
    <t>Game.AddToInventory("Items.AdvancedMantisBladesElectricUncommon", 1)</t>
  </si>
  <si>
    <t>Game.AddToInventory("Items.AdvancedMantisBladesElectricUncommonPlus", 1)</t>
  </si>
  <si>
    <t>Game.AddToInventory("Items.AdvancedMantisBladesElectricRare", 1)</t>
  </si>
  <si>
    <t>Game.AddToInventory("Items.AdvancedMantisBladesElectricRarePlus", 1)</t>
  </si>
  <si>
    <t>Game.AddToInventory("Items.AdvancedMantisBladesElectricEpic", 1)</t>
  </si>
  <si>
    <t>Game.AddToInventory("Items.AdvancedMantisBladesElectricEpicPlus", 1)</t>
  </si>
  <si>
    <t>Game.AddToInventory("Items.AdvancedMantisBladesElectricLegendary", 1)</t>
  </si>
  <si>
    <t>Game.AddToInventory("Items.AdvancedMantisBladesElectricLegendaryPlus", 1)</t>
  </si>
  <si>
    <t>Game.AddToInventory("Items.AdvancedMantisBladesElectricLegendaryPlusPlus", 1)</t>
  </si>
  <si>
    <t>Electrifying Monowire</t>
  </si>
  <si>
    <t>Game.AddToInventory("Items.AdvancedNanoWiresElectricUncommon", 1)</t>
  </si>
  <si>
    <t>Game.AddToInventory("Items.AdvancedNanoWiresElectricUncommonPlus", 1)</t>
  </si>
  <si>
    <t>Game.AddToInventory("Items.AdvancedNanoWiresElectricRare", 1)</t>
  </si>
  <si>
    <t>Game.AddToInventory("Items.AdvancedNanoWiresElectricRarePlus", 1)</t>
  </si>
  <si>
    <t>Game.AddToInventory("Items.AdvancedNanoWiresElectricEpic", 1)</t>
  </si>
  <si>
    <t>Game.AddToInventory("Items.AdvancedNanoWiresElectricEpicPlus", 1)</t>
  </si>
  <si>
    <t>Game.AddToInventory("Items.AdvancedNanoWiresElectricLegendary", 1)</t>
  </si>
  <si>
    <t>Game.AddToInventory("Items.AdvancedNanoWiresElectricLegendaryPlus", 1)</t>
  </si>
  <si>
    <t>Game.AddToInventory("Items.VHard_50_IntTech_Monowire", 1)</t>
  </si>
  <si>
    <t>Game.AddToInventory("Items.AdvancedNanoWiresElectricLegendaryPlusPlus", 1)</t>
  </si>
  <si>
    <t>Electrifying Projectile Launch System</t>
  </si>
  <si>
    <t>Game.AddToInventory("Items.AdvancedProjectileLauncherElectricUncommon", 1)</t>
  </si>
  <si>
    <t>Game.AddToInventory("Items.AdvancedProjectileLauncherElectricUncommonPlus", 1)</t>
  </si>
  <si>
    <t>Game.AddToInventory("Items.AdvancedProjectileLauncherElectricRare", 1)</t>
  </si>
  <si>
    <t>Game.AddToInventory("Items.AdvancedProjectileLauncherElectricRarePlus", 1)</t>
  </si>
  <si>
    <t>Game.AddToInventory("Items.AdvancedProjectileLauncherElectricEpic", 1)</t>
  </si>
  <si>
    <t>Game.AddToInventory("Items.AdvancedProjectileLauncherElectricEpicPlus", 1)</t>
  </si>
  <si>
    <t>Game.AddToInventory("Items.AdvancedProjectileLauncherElectricLegendary", 1)</t>
  </si>
  <si>
    <t>Game.AddToInventory("Items.AdvancedProjectileLauncherElectricLegendaryPlus", 1)</t>
  </si>
  <si>
    <t>Game.AddToInventory("Items.AdvancedProjectileLauncherElectricLegendaryPlusPlus", 1)</t>
  </si>
  <si>
    <t>Electromag Recycler</t>
  </si>
  <si>
    <t>Game.AddToInventory("Items.IconicDischargeConnectorRare", 1)</t>
  </si>
  <si>
    <t>Game.AddToInventory("Items.IconicDischargeConnectorRarePlus", 1)</t>
  </si>
  <si>
    <t>Game.AddToInventory("Items.IconicDischargeConnectorEpic", 1)</t>
  </si>
  <si>
    <t>Game.AddToInventory("Items.IconicDischargeConnectorEpicPlus", 1)</t>
  </si>
  <si>
    <t>Game.AddToInventory("Items.IconicDischargeConnectorLegendary", 1)</t>
  </si>
  <si>
    <t>Game.AddToInventory("Items.IconicDischargeConnectorLegendaryPlus", 1)</t>
  </si>
  <si>
    <t>Game.AddToInventory("Items.IconicDischargeConnectorLegendaryPlusPlus", 1)</t>
  </si>
  <si>
    <t>Epimorphic Skeleton</t>
  </si>
  <si>
    <t>Game.AddToInventory("Items.AdvancedEndoskeletonEpic2", 1)</t>
  </si>
  <si>
    <t>Game.AddToInventory("Items.AdvancedEndoskeletonEpic", 1)</t>
  </si>
  <si>
    <t>Game.AddToInventory("Items.AdvancedEndoskeletonEpic2Plus", 1)</t>
  </si>
  <si>
    <t>Game.AddToInventory("Items.AdvancedEndoskeletonEpicPlus", 1)</t>
  </si>
  <si>
    <t>Game.AddToInventory("Items.AdvancedEndoskeletonLegendary", 1)</t>
  </si>
  <si>
    <t>Game.AddToInventory("Items.AdvancedEndoSkeletonLegendary2", 1)</t>
  </si>
  <si>
    <t>Game.AddToInventory("Items.AdvancedEndoSkeletonLegendary2Plus", 1)</t>
  </si>
  <si>
    <t>Game.AddToInventory("Items.AdvancedEndoskeletonLegendaryPlus", 1)</t>
  </si>
  <si>
    <t>Game.AddToInventory("Items.AdvancedEndoSkeletonLegendary2PlusPlus", 1)</t>
  </si>
  <si>
    <t>Game.AddToInventory("Items.AdvancedEndoskeletonLegendaryPlusPlus", 1)</t>
  </si>
  <si>
    <t>Ex-Disk</t>
  </si>
  <si>
    <t>Game.AddToInventory("Items.AdvancedExDiskRare", 1)</t>
  </si>
  <si>
    <t>Game.AddToInventory("Items.AdvancedExDiskRarePlus", 1)</t>
  </si>
  <si>
    <t>Game.AddToInventory("Items.AdvancedExDiskEpic", 1)</t>
  </si>
  <si>
    <t>Game.AddToInventory("Items.AdvancedExDiskEpicPlus", 1)</t>
  </si>
  <si>
    <t>Game.AddToInventory("Items.AdvancedExDiskLegendary", 1)</t>
  </si>
  <si>
    <t>Game.AddToInventory("Items.AdvancedExDiskLegendaryPlus", 1)</t>
  </si>
  <si>
    <t>Game.AddToInventory("Items.AdvancedExDiskLegendaryPlusPlus", 1)</t>
  </si>
  <si>
    <t>Feedback Circuit</t>
  </si>
  <si>
    <t>Game.AddToInventory("Items.AdvancedDischargeConnectorRare", 1)</t>
  </si>
  <si>
    <t>Game.AddToInventory("Items.AdvancedDischargeConnectorRarePlus", 1)</t>
  </si>
  <si>
    <t>Game.AddToInventory("Items.AdvancedDischargeConnectorEpic", 1)</t>
  </si>
  <si>
    <t>Game.AddToInventory("Items.AdvancedDischargeConnectorEpicPlus", 1)</t>
  </si>
  <si>
    <t>Game.AddToInventory("Items.AdvancedDischargeConnectorLegendary", 1)</t>
  </si>
  <si>
    <t>Game.AddToInventory("Items.AdvancedDischargeConnectorLegendaryPlus", 1)</t>
  </si>
  <si>
    <t>Game.AddToInventory("Items.AdvancedDischargeConnectorLegendaryPlusPlus", 1)</t>
  </si>
  <si>
    <t>Feen-X</t>
  </si>
  <si>
    <t>Game.AddToInventory("Items.AdvancedNeuroMatrixCommon", 1)</t>
  </si>
  <si>
    <t>Game.AddToInventory("Items.AdvancedNeuroMatrixCommon2", 1)</t>
  </si>
  <si>
    <t>2.1 Patch  (Duplicate?)</t>
  </si>
  <si>
    <t>Game.AddToInventory("Items.AdvancedNeuroMatrixCommonPlus", 1)</t>
  </si>
  <si>
    <t>Game.AddToInventory("Items.AdvancedNeuroMatrixCommon2Plus", 1)</t>
  </si>
  <si>
    <t>Game.AddToInventory("Items.AdvancedNeuroMatrixUncommon", 1)</t>
  </si>
  <si>
    <t>Game.AddToInventory("Items.AdvancedNeuroMatrixUncommon2", 1)</t>
  </si>
  <si>
    <t>Game.AddToInventory("Items.AdvancedNeuroMatrixUncommonPlus", 1)</t>
  </si>
  <si>
    <t>Game.AddToInventory("Items.AdvancedNeuroMatrixUncommon2Plus", 1)</t>
  </si>
  <si>
    <t>Game.AddToInventory("Items.AdvancedNeuroMatrixRare", 1)</t>
  </si>
  <si>
    <t>Game.AddToInventory("Items.AdvancedNeuroMatrixRare2", 1)</t>
  </si>
  <si>
    <t>Game.AddToInventory("Items.AdvancedNeuroMatrixRarePlus", 1)</t>
  </si>
  <si>
    <t>Game.AddToInventory("Items.AdvancedNeuroMatrixRare2Plus", 1)</t>
  </si>
  <si>
    <t>Game.AddToInventory("Items.AdvancedNeuroMatrixEpic", 1)</t>
  </si>
  <si>
    <t>Game.AddToInventory("Items.AdvancedNeuroMatrixEpic2", 1)</t>
  </si>
  <si>
    <t>Game.AddToInventory("Items.AdvancedNeuroMatrixEpicPlus", 1)</t>
  </si>
  <si>
    <t>Game.AddToInventory("Items.AdvancedNeuroMatrixEpic2Plus", 1)</t>
  </si>
  <si>
    <t>Game.AddToInventory("Items.AdvancedNeuroMatrixLegendary", 1)</t>
  </si>
  <si>
    <t>Game.AddToInventory("Items.AdvancedNeuroMatrixLegendary2", 1)</t>
  </si>
  <si>
    <t>Game.AddToInventory("Items.AdvancedNeuroMatrixLegendaryPlus", 1)</t>
  </si>
  <si>
    <t>Game.AddToInventory("Items.AdvancedNeuroMatrixLegendary2Plus", 1)</t>
  </si>
  <si>
    <t>Game.AddToInventory("Items.AdvancedNeuroMatrixLegendaryPlusPlus", 1)</t>
  </si>
  <si>
    <t>Game.AddToInventory("Items.AdvancedNeuroMatrixLegendary2PlusPlus", 1)</t>
  </si>
  <si>
    <t>Legs</t>
  </si>
  <si>
    <t>Fortified Ankles</t>
  </si>
  <si>
    <t>Game.AddToInventory("Items.AdvancedReinforcedMusclesUncommon", 1)</t>
  </si>
  <si>
    <t>Game.AddToInventory("Items.AdvancedReinforcedMusclesUncommonPlus", 1)</t>
  </si>
  <si>
    <t>Game.AddToInventory("Items.AdvancedReinforcedMusclesRare", 1)</t>
  </si>
  <si>
    <t>Game.AddToInventory("Items.AdvancedReinforcedMusclesRarePlus", 1)</t>
  </si>
  <si>
    <t>Game.AddToInventory("Items.AdvancedReinforcedMusclesEpic", 1)</t>
  </si>
  <si>
    <t>Game.AddToInventory("Items.AdvancedReinforcedMusclesEpicPlus", 1)</t>
  </si>
  <si>
    <t>Game.AddToInventory("Items.AdvancedReinforcedMusclesLegendary", 1)</t>
  </si>
  <si>
    <t>Game.AddToInventory("Items.AdvancedReinforcedMusclesLegendaryPlus", 1)</t>
  </si>
  <si>
    <t>Game.AddToInventory("Items.AdvancedReinforcedMusclesLegendaryPlusPlus", 1)</t>
  </si>
  <si>
    <t>Fuyutsuki Tinkerer Mk.3</t>
  </si>
  <si>
    <t>Game.AddToInventory("Items.TetratronicLegendaryTest", 1)</t>
  </si>
  <si>
    <t>Gorilla Arms</t>
  </si>
  <si>
    <t>Game.AddToInventory("Items.AdvancedStrongArmsBase", 1)</t>
  </si>
  <si>
    <t>Game.AddToInventory("Items.AdvancedStrongArmsUncommon", 1)</t>
  </si>
  <si>
    <t>Game.AddToInventory("Items.AdvancedStrongArmsUncommonPlus", 1)</t>
  </si>
  <si>
    <t>Game.AddToInventory("Items.AdvancedStrongArmsRare", 1)</t>
  </si>
  <si>
    <t>Game.AddToInventory("Items.AdvancedStrongArmsRarePlus", 1)</t>
  </si>
  <si>
    <t>Game.AddToInventory("Items.AdvancedStrongArmsEpic", 1)</t>
  </si>
  <si>
    <t>Game.AddToInventory("Items.AdvancedStrongArmsEpicPlus", 1)</t>
  </si>
  <si>
    <t>Game.AddToInventory("Items.AdvancedStrongArmsLegendary", 1)</t>
  </si>
  <si>
    <t>Game.AddToInventory("Items.AdvancedStrongArmsLegendaryPlus", 1)</t>
  </si>
  <si>
    <t>Game.AddToInventory("Items.AdvancedStrongArmsLegendaryPlusPlus", 1)</t>
  </si>
  <si>
    <t>Handle Wrap</t>
  </si>
  <si>
    <t>Game.AddToInventory("Items.AdvancedKnifeSharpenerCommon", 1)</t>
  </si>
  <si>
    <t>Game.AddToInventory("Items.AdvancedKnifeSharpenerUncommon", 1)</t>
  </si>
  <si>
    <t>Game.AddToInventory("Items.AdvancedKnifeSharpenerRare", 1)</t>
  </si>
  <si>
    <t>Game.AddToInventory("Items.AdvancedKnifeSharpenerRarePlus", 1)</t>
  </si>
  <si>
    <t>Game.AddToInventory("Items.AdvancedKnifeSharpenerEpic", 1)</t>
  </si>
  <si>
    <t>Game.AddToInventory("Items.AdvancedKnifeSharpenerEpicPlus", 1)</t>
  </si>
  <si>
    <t>Game.AddToInventory("Items.AdvancedKnifeSharpenerLegendary", 1)</t>
  </si>
  <si>
    <t>Game.AddToInventory("Items.AdvancedKnifeSharpenerLegendaryPlus", 1)</t>
  </si>
  <si>
    <t>Game.AddToInventory("Items.AdvancedKnifeSharpenerLegendaryPlusPlus", 1)</t>
  </si>
  <si>
    <t>Heal-On-Kill</t>
  </si>
  <si>
    <t>Game.AddToInventory("Items.AdvancedHealOnKillCommon", 1)</t>
  </si>
  <si>
    <t>Game.AddToInventory("Items.AdvancedHealOnKillCommonPlus", 1)</t>
  </si>
  <si>
    <t>Game.AddToInventory("Items.AdvancedHealOnKillUncommon", 1)</t>
  </si>
  <si>
    <t>Game.AddToInventory("Items.AdvancedHealOnKillUncommonPlus", 1)</t>
  </si>
  <si>
    <t>Game.AddToInventory("Items.AdvancedHealOnKillRare", 1)</t>
  </si>
  <si>
    <t>Game.AddToInventory("Items.AdvancedHealOnKillRarePlus", 1)</t>
  </si>
  <si>
    <t>Game.AddToInventory("Items.AdvancedHealOnKillEpic", 1)</t>
  </si>
  <si>
    <t>Game.AddToInventory("Items.AdvancedHealOnKillEpicPlus", 1)</t>
  </si>
  <si>
    <t>Game.AddToInventory("Items.AdvancedHealOnKillLegendary", 1)</t>
  </si>
  <si>
    <t>Game.AddToInventory("Items.AdvancedHealOnKillLegendaryPlus", 1)</t>
  </si>
  <si>
    <t>Game.AddToInventory("Items.AdvancedHealOnKillLegendaryPlusPlus", 1)</t>
  </si>
  <si>
    <t>Immovable Force</t>
  </si>
  <si>
    <t>Game.AddToInventory("Items.IconicGunStabilizerCommon", 1)</t>
  </si>
  <si>
    <t>Game.AddToInventory("Items.IconicGunStabilizerCommonPlus", 1)</t>
  </si>
  <si>
    <t>Game.AddToInventory("Items.IconicGunStabilizerUncommon", 1)</t>
  </si>
  <si>
    <t>Game.AddToInventory("Items.IconicGunStabilizerUncommonPlus", 1)</t>
  </si>
  <si>
    <t>Game.AddToInventory("Items.IconicGunStabilizerRare", 1)</t>
  </si>
  <si>
    <t>Game.AddToInventory("Items.IconicGunStabilizerRarePlus", 1)</t>
  </si>
  <si>
    <t>Game.AddToInventory("Items.IconicGunStabilizerEpic", 1)</t>
  </si>
  <si>
    <t>Game.AddToInventory("Items.IconicGunStabilizerEpicPlus", 1)</t>
  </si>
  <si>
    <t>Game.AddToInventory("Items.IconicGunStabilizerLegendary", 1)</t>
  </si>
  <si>
    <t>Game.AddToInventory("Items.IconicGunStabilizerLegendaryPlus", 1)</t>
  </si>
  <si>
    <t>Game.AddToInventory("Items.IconicGunStabilizerLegendaryPlusPlus", 1)</t>
  </si>
  <si>
    <t>Isometric Stabilizer</t>
  </si>
  <si>
    <t>Game.AddToInventory("Items.IconicShockAbsorberRare", 1)</t>
  </si>
  <si>
    <t>Game.AddToInventory("Items.IconicShockAbsorberRarePlus", 1)</t>
  </si>
  <si>
    <t>Game.AddToInventory("Items.IconicShockAbsorberEpic", 1)</t>
  </si>
  <si>
    <t>Game.AddToInventory("Items.IconicShockAbsorberEpicPlus", 1)</t>
  </si>
  <si>
    <t>Game.AddToInventory("Items.IconicShockAbsorberLegendary", 1)</t>
  </si>
  <si>
    <t>Game.AddToInventory("Items.IconicShockAbsorberLegendaryPlus", 1)</t>
  </si>
  <si>
    <t>Game.AddToInventory("Items.IconicShockAbsorberLegendaryPlusPlus", 1)</t>
  </si>
  <si>
    <t>Jenkins' Tendons</t>
  </si>
  <si>
    <t>Game.AddToInventory("Items.AdvancedJenkinsTendonsCommon", 1)</t>
  </si>
  <si>
    <t>Game.AddToInventory("Items.AdvancedJenkinsTendonsCommonPlus", 1)</t>
  </si>
  <si>
    <t>Game.AddToInventory("Items.AdvancedJenkinsTendonsUncommon", 1)</t>
  </si>
  <si>
    <t>Game.AddToInventory("Items.AdvancedJenkinsTendonsUncommonPlus", 1)</t>
  </si>
  <si>
    <t>Game.AddToInventory("Items.AdvancedJenkinsTendonsRare", 1)</t>
  </si>
  <si>
    <t>Game.AddToInventory("Items.AdvancedJenkinsTendonsRarePlus", 1)</t>
  </si>
  <si>
    <t>Game.AddToInventory("Items.AdvancedJenkinsTendonsEpic", 1)</t>
  </si>
  <si>
    <t>Game.AddToInventory("Items.AdvancedJenkinsTendonsEpicPlus", 1)</t>
  </si>
  <si>
    <t>Game.AddToInventory("Items.AdvancedJenkinsTendonsLegendary", 1)</t>
  </si>
  <si>
    <t>Game.AddToInventory("Items.AdvancedJenkinsTendonsLegendaryPlus", 1)</t>
  </si>
  <si>
    <t>Game.AddToInventory("Items.AdvancedJenkinsTendonsLegendaryPlusPlus", 1)</t>
  </si>
  <si>
    <t>Kerenzikov</t>
  </si>
  <si>
    <t>Game.AddToInventory("Items.AdvancedKerenzikovCommon", 1)</t>
  </si>
  <si>
    <t>Game.AddToInventory("Items.AdvancedKerenzikovUncommon", 1)</t>
  </si>
  <si>
    <t>Game.AddToInventory("Items.AdvancedKerenzikovUncommonPlus", 1)</t>
  </si>
  <si>
    <t>Game.AddToInventory("Items.AdvancedKerenzikovRare", 1)</t>
  </si>
  <si>
    <t>Game.AddToInventory("Items.AdvancedKerenzikovRarePlus", 1)</t>
  </si>
  <si>
    <t>Game.AddToInventory("Items.AdvancedKerenzikovEpic", 1)</t>
  </si>
  <si>
    <t>Game.AddToInventory("Items.AdvancedKerenzikovEpicPlus", 1)</t>
  </si>
  <si>
    <t>Game.AddToInventory("Items.AdvancedKerenzikovLegendary", 1)</t>
  </si>
  <si>
    <t>Game.AddToInventory("Items.AdvancedKerenzikovLegendaryPlus", 1)</t>
  </si>
  <si>
    <t>Game.AddToInventory("Items.AdvancedKerenzikovLegendaryPlusPlus", 1)</t>
  </si>
  <si>
    <t>Kerenzikov Boost System</t>
  </si>
  <si>
    <t>Game.AddToInventory("Items.AdvancedKerenziovBoostSystemCommon", 1)</t>
  </si>
  <si>
    <t>Game.AddToInventory("Items.AdvancedKerenziovBoostSystemCommonPlus", 1)</t>
  </si>
  <si>
    <t>Game.AddToInventory("Items.AdvancedKerenziovBoostSystemUncommon", 1)</t>
  </si>
  <si>
    <t>Game.AddToInventory("Items.AdvancedKerenziovBoostSystemRare", 1)</t>
  </si>
  <si>
    <t>Game.AddToInventory("Items.AdvancedKerenziovBoostSystemRarePlus", 1)</t>
  </si>
  <si>
    <t>Game.AddToInventory("Items.AdvancedKerenziovBoostSystemEpic", 1)</t>
  </si>
  <si>
    <t>Game.AddToInventory("Items.AdvancedKerenziovBoostSystemEpicPlus", 1)</t>
  </si>
  <si>
    <t>Game.AddToInventory("Items.AdvancedKerenziovBoostSystemLegendary", 1)</t>
  </si>
  <si>
    <t>Game.AddToInventory("Items.AdvancedKerenziovBoostSystemLegendaryPlus", 1)</t>
  </si>
  <si>
    <t>Game.AddToInventory("Items.AdvancedKerenziovBoostSystemLegendaryPlusPlus", 1)</t>
  </si>
  <si>
    <t>Kinetic Frame</t>
  </si>
  <si>
    <t>Game.AddToInventory("Items.AdvancedBoneMarrowCellsCommon", 1)</t>
  </si>
  <si>
    <t>Game.AddToInventory("Items.AdvancedBoneMarrowCellsCommon2", 1)</t>
  </si>
  <si>
    <t>Game.AddToInventory("Items.AdvancedBoneMarrowCellsCommonPlus", 1)</t>
  </si>
  <si>
    <t>Game.AddToInventory("Items.AdvancedBoneMarrowCellsCommon2Plus", 1)</t>
  </si>
  <si>
    <t>Game.AddToInventory("Items.AdvancedBoneMarrowCellsUncommon2", 1)</t>
  </si>
  <si>
    <t>Game.AddToInventory("Items.AdvancedBoneMarrowCellsUncommon", 1)</t>
  </si>
  <si>
    <t>Game.AddToInventory("Items.AdvancedBoneMarrowCellsUncommon2Plus", 1)</t>
  </si>
  <si>
    <t>Game.AddToInventory("Items.AdvancedBoneMarrowCellsUncommonPlus", 1)</t>
  </si>
  <si>
    <t>Game.AddToInventory("Items.AdvancedBoneMarrowCellsRare2", 1)</t>
  </si>
  <si>
    <t>Game.AddToInventory("Items.AdvancedBoneMarrowCellsRare", 1)</t>
  </si>
  <si>
    <t>Game.AddToInventory("Items.AdvancedBoneMarrowCellsRare2Plus", 1)</t>
  </si>
  <si>
    <t>Game.AddToInventory("Items.AdvancedBoneMarrowCellsRarePlus", 1)</t>
  </si>
  <si>
    <t>Game.AddToInventory("Items.AdvancedBoneMarrowCellsEpic2", 1)</t>
  </si>
  <si>
    <t>Game.AddToInventory("Items.AdvancedBoneMarrowCellsEpic", 1)</t>
  </si>
  <si>
    <t>Game.AddToInventory("Items.AdvancedBoneMarrowCellsEpic2Plus", 1)</t>
  </si>
  <si>
    <t>Game.AddToInventory("Items.AdvancedBoneMarrowCellsEpicPlus", 1)</t>
  </si>
  <si>
    <t>Game.AddToInventory("Items.AdvancedBoneMarrowCellsLegendary", 1)</t>
  </si>
  <si>
    <t>Game.AddToInventory("Items.AdvancedBoneMarrowCellsLegendary2", 1)</t>
  </si>
  <si>
    <t>Game.AddToInventory("Items.AdvancedBoneMarrowCellsLegendary2Plus", 1)</t>
  </si>
  <si>
    <t>Game.AddToInventory("Items.AdvancedBoneMarrowCellsLegendaryPlus", 1)</t>
  </si>
  <si>
    <t>Game.AddToInventory("Items.AdvancedBoneMarrowCellsLegendary2PlusPlus", 1)</t>
  </si>
  <si>
    <t>Game.AddToInventory("Items.AdvancedBoneMarrowCellsLegendaryPlusPlus", 1)</t>
  </si>
  <si>
    <t>Kiroshi "Clairvoyant" Optics</t>
  </si>
  <si>
    <t>Game.AddToInventory("Items.AdvancedKiroshiOpticsWallhackBase", 1)</t>
  </si>
  <si>
    <t>Game.AddToInventory("Items.AdvancedKiroshiOpticsWallhackCommon", 1)</t>
  </si>
  <si>
    <t>Game.AddToInventory("Items.AdvancedKiroshiOpticsWallhackCommonPlus", 1)</t>
  </si>
  <si>
    <t>Game.AddToInventory("Items.AdvancedKiroshiOpticsWallhackUncommon", 1)</t>
  </si>
  <si>
    <t>Game.AddToInventory("Items.AdvancedKiroshiOpticsWallhackUncommonPlus", 1)</t>
  </si>
  <si>
    <t>Game.AddToInventory("Items.AdvancedKiroshiOpticsWallhackRare", 1)</t>
  </si>
  <si>
    <t>Game.AddToInventory("Items.AdvancedKiroshiOpticsWallhackRarePlus", 1)</t>
  </si>
  <si>
    <t>Game.AddToInventory("Items.AdvancedKiroshiOpticsWallhackEpic", 1)</t>
  </si>
  <si>
    <t>Game.AddToInventory("Items.AdvancedKiroshiOpticsWallhackEpicPlus", 1)</t>
  </si>
  <si>
    <t>Game.AddToInventory("Items.AdvancedKiroshiOpticsWallhackLegendary", 1)</t>
  </si>
  <si>
    <t>Game.AddToInventory("Items.AdvancedKiroshiOpticsWallhackLegendaryPlus", 1)</t>
  </si>
  <si>
    <t>Game.AddToInventory("Items.AdvancedKiroshiOpticsWallhackLegendaryPlusPlus", 1)</t>
  </si>
  <si>
    <t>Kiroshi "Cockatrice" Optics</t>
  </si>
  <si>
    <t>Game.AddToInventory("Items.Iconic_AdvancedKiroshiOpticsBareBase", 1)</t>
  </si>
  <si>
    <t>Game.AddToInventory("Items.Iconic_AdvancedKiroshiOpticsBareEpic", 1)</t>
  </si>
  <si>
    <t>Game.AddToInventory("Items.Iconic_AdvancedKiroshiOpticsBareEpicPlus", 1)</t>
  </si>
  <si>
    <t>Game.AddToInventory("Items.Iconic_AdvancedKiroshiOpticsBareLegendary", 1)</t>
  </si>
  <si>
    <t>Game.AddToInventory("Items.Iconic_AdvancedKiroshiOpticsBareLegendaryPlus", 1)</t>
  </si>
  <si>
    <t>Game.AddToInventory("Items.Iconic_AdvancedKiroshiOpticsBareLegendaryPlusPlus", 1)</t>
  </si>
  <si>
    <t>Kiroshi "Doomsayer" Optics</t>
  </si>
  <si>
    <t>Game.AddToInventory("Items.AdvancedKiroshiOpticsHunterBase", 1)</t>
  </si>
  <si>
    <t>Game.AddToInventory("Items.AdvancedKiroshiOpticsHunterCommon", 1)</t>
  </si>
  <si>
    <t>Game.AddToInventory("Items.AdvancedKiroshiOpticsHunterCommonPlus", 1)</t>
  </si>
  <si>
    <t>Game.AddToInventory("Items.AdvancedKiroshiOpticsHunterUncommon", 1)</t>
  </si>
  <si>
    <t>Game.AddToInventory("Items.AdvancedKiroshiOpticsHunterUncommonPlus", 1)</t>
  </si>
  <si>
    <t>Game.AddToInventory("Items.AdvancedKiroshiOpticsHunterRare", 1)</t>
  </si>
  <si>
    <t>Game.AddToInventory("Items.AdvancedKiroshiOpticsHunterRarePlus", 1)</t>
  </si>
  <si>
    <t>Game.AddToInventory("Items.AdvancedKiroshiOpticsHunterEpic", 1)</t>
  </si>
  <si>
    <t>Game.AddToInventory("Items.AdvancedKiroshiOpticsHunterEpicPlus", 1)</t>
  </si>
  <si>
    <t>Game.AddToInventory("Items.AdvancedKiroshiOpticsHunterLegendary", 1)</t>
  </si>
  <si>
    <t>Game.AddToInventory("Items.AdvancedKiroshiOpticsHunterLegendaryPlus", 1)</t>
  </si>
  <si>
    <t>Game.AddToInventory("Items.AdvancedKiroshiOpticsHunterLegendaryPlusPlus", 1)</t>
  </si>
  <si>
    <t>Kiroshi "Sentry" Optics</t>
  </si>
  <si>
    <t>Game.AddToInventory("Items.AdvancedKiroshiOpticsSensorBase", 1)</t>
  </si>
  <si>
    <t>Game.AddToInventory("Items.AdvancedKiroshiOpticsSensorCommon", 1)</t>
  </si>
  <si>
    <t>Game.AddToInventory("Items.AdvancedKiroshiOpticsSensorCommonPlus", 1)</t>
  </si>
  <si>
    <t>Game.AddToInventory("Items.AdvancedKiroshiOptics_Tutorial_CommonPlus", 1)</t>
  </si>
  <si>
    <t>Game.AddToInventory("Items.AdvancedKiroshiOpticsSensor_Uncommon", 1)</t>
  </si>
  <si>
    <t>Game.AddToInventory("Items.AdvancedKiroshiOptics_Tutorial_Uncommon", 1)</t>
  </si>
  <si>
    <t>Game.AddToInventory("Items.AdvancedKiroshiOpticsSensorUncommonPlus", 1)</t>
  </si>
  <si>
    <t>Game.AddToInventory("Items.AdvancedKiroshiOptics_Tutorial_UncommonPlus", 1)</t>
  </si>
  <si>
    <t>Game.AddToInventory("Items.AdvancedKiroshiOpticsSensorRare", 1)</t>
  </si>
  <si>
    <t>Game.AddToInventory("Items.AdvancedKiroshiOptics_Tutorial_Rare", 1)</t>
  </si>
  <si>
    <t>Game.AddToInventory("Items.AdvancedKiroshiOpticsSensorRarePlus", 1)</t>
  </si>
  <si>
    <t>Game.AddToInventory("Items.AdvancedKiroshiOptics_Tutorial_RarePlus", 1)</t>
  </si>
  <si>
    <t>Game.AddToInventory("Items.AdvancedKiroshiOpticsSensorEpic", 1)</t>
  </si>
  <si>
    <t>Game.AddToInventory("Items.AdvancedKiroshiOptics_Tutorial_Epic", 1)</t>
  </si>
  <si>
    <t>Game.AddToInventory("Items.AdvancedKiroshiOpticsSensorEpicPlus", 1)</t>
  </si>
  <si>
    <t>Game.AddToInventory("Items.AdvancedKiroshiOptics_Tutorial_EpicPlus", 1)</t>
  </si>
  <si>
    <t>Game.AddToInventory("Items.AdvancedKiroshiOpticsSensorLegendary", 1)</t>
  </si>
  <si>
    <t>Game.AddToInventory("Items.AdvancedKiroshiOptics_Tutorial_Legendary", 1)</t>
  </si>
  <si>
    <t>Game.AddToInventory("Items.AdvancedKiroshiOpticsSensorLegendaryPlus", 1)</t>
  </si>
  <si>
    <t>Game.AddToInventory("Items.AdvancedKiroshiOptics_Tutorial_LegendaryPlus", 1)</t>
  </si>
  <si>
    <t>Game.AddToInventory("Items.AdvancedKiroshiOpticsSensorLegendaryPlusPlus", 1)</t>
  </si>
  <si>
    <t>Game.AddToInventory("Items.AdvancedKiroshiOptics_Tutorial_LegendaryPlusPlus", 1)</t>
  </si>
  <si>
    <t>Kiroshi "Stalker" Optics</t>
  </si>
  <si>
    <t>Game.AddToInventory("Items.AdvancedKiroshiOpticsPiercingBase", 1)</t>
  </si>
  <si>
    <t>Game.AddToInventory("Items.AdvancedKiroshiOpticsPiercingCommon", 1)</t>
  </si>
  <si>
    <t>Game.AddToInventory("Items.AdvancedKiroshiOpticsPiercingCommonPlus", 1)</t>
  </si>
  <si>
    <t>Game.AddToInventory("Items.AdvancedKiroshiOpticsPiercingUncommon", 1)</t>
  </si>
  <si>
    <t>Game.AddToInventory("Items.AdvancedKiroshiOpticsPiercingUncommonPlus", 1)</t>
  </si>
  <si>
    <t>Game.AddToInventory("Items.AdvancedKiroshiOpticsPiercingRare", 1)</t>
  </si>
  <si>
    <t>Game.AddToInventory("Items.AdvancedKiroshiOpticsPiercingRarePlus", 1)</t>
  </si>
  <si>
    <t>Game.AddToInventory("Items.AdvancedKiroshiOpticsPiercingEpic", 1)</t>
  </si>
  <si>
    <t>Game.AddToInventory("Items.AdvancedKiroshiOpticsPiercingEpicPlus", 1)</t>
  </si>
  <si>
    <t>Game.AddToInventory("Items.AdvancedKiroshiOpticsPiercingLegendary", 1)</t>
  </si>
  <si>
    <t>Game.AddToInventory("Items.AdvancedKiroshiOpticsPiercingLegendaryPlus", 1)</t>
  </si>
  <si>
    <t>Game.AddToInventory("Items.AdvancedKiroshiOpticsPiercingLegendaryPlusPlus", 1)</t>
  </si>
  <si>
    <t>Kiroshi "The Oracle" Optics</t>
  </si>
  <si>
    <t>Game.AddToInventory("Items.AdvancedKiroshiOpticsCombinedBase", 1)</t>
  </si>
  <si>
    <t>Game.AddToInventory("Items.AdvancedKiroshiOpticsCombinedCommon", 1)</t>
  </si>
  <si>
    <t>Game.AddToInventory("Items.AdvancedKiroshiOpticsCombinedCommonPlus", 1)</t>
  </si>
  <si>
    <t>Game.AddToInventory("Items.AdvancedKiroshiOpticsCombinedUncommon", 1)</t>
  </si>
  <si>
    <t>Game.AddToInventory("Items.AdvancedKiroshiOpticsCombinedUncommonPlus", 1)</t>
  </si>
  <si>
    <t>Game.AddToInventory("Items.AdvancedKiroshiOpticsCombinedRare", 1)</t>
  </si>
  <si>
    <t>Game.AddToInventory("Items.AdvancedKiroshiOpticsCombinedRarePlus", 1)</t>
  </si>
  <si>
    <t>Game.AddToInventory("Items.AdvancedKiroshiOpticsCombinedEpic", 1)</t>
  </si>
  <si>
    <t>Game.AddToInventory("Items.AdvancedKiroshiOpticsCombinedEpicPlus", 1)</t>
  </si>
  <si>
    <t>Game.AddToInventory("Items.AdvancedKiroshiOpticsCombinedLegendary", 1)</t>
  </si>
  <si>
    <t>Game.AddToInventory("Items.AdvancedKiroshiOpticsCombinedLegendaryPlus", 1)</t>
  </si>
  <si>
    <t>Game.AddToInventory("Items.AdvancedKiroshiOpticsCombinedLegendaryPlusPlus", 1)</t>
  </si>
  <si>
    <t>Kiroshi Optics Mk.1</t>
  </si>
  <si>
    <t>Game.AddToInventory("Items.AdvancedKiroshiOpticsPlus", 1)</t>
  </si>
  <si>
    <t>Game.AddToInventory("Items.AdvancedKiroshiOptics_q001_3", 1)</t>
  </si>
  <si>
    <t>Game.AddToInventory("Items.AdvancedKiroshiOptics", 1)</t>
  </si>
  <si>
    <t>Game.AddToInventory("Items.AdvancedKiroshiOptics_q001_2", 1)</t>
  </si>
  <si>
    <t>Game.AddToInventory("Items.AdvancedKiroshiOpticsUncommon", 1)</t>
  </si>
  <si>
    <t>Game.AddToInventory("Items.AdvancedKiroshiOpticsRare", 1)</t>
  </si>
  <si>
    <t>Game.AddToInventory("Items.AdvancedKiroshiOpticsEpic", 1)</t>
  </si>
  <si>
    <t>Game.AddToInventory("Items.AdvancedKiroshiOpticsLegendary", 1)</t>
  </si>
  <si>
    <t>Leeroy Ligament System</t>
  </si>
  <si>
    <t>Game.AddToInventory("Items.IconicJenkinsTendonsUncommon", 1)</t>
  </si>
  <si>
    <t>Game.AddToInventory("Items.IconicJenkinsTendonsUncommonPlus", 1)</t>
  </si>
  <si>
    <t>Game.AddToInventory("Items.IconicJenkinsTendonsRare", 1)</t>
  </si>
  <si>
    <t>Game.AddToInventory("Items.IconicJenkinsTendonsRarePlus", 1)</t>
  </si>
  <si>
    <t>Game.AddToInventory("Items.IconicJenkinsTendonsEpic", 1)</t>
  </si>
  <si>
    <t>Game.AddToInventory("Items.IconicJenkinsTendonsEpicPlus", 1)</t>
  </si>
  <si>
    <t>Game.AddToInventory("Items.IconicJenkinsTendonsLegendary", 1)</t>
  </si>
  <si>
    <t>Game.AddToInventory("Items.IconicJenkinsTendonsLegendaryPlus", 1)</t>
  </si>
  <si>
    <t>Game.AddToInventory("Items.IconicJenkinsTendonsLegendaryPlusPlus", 1)</t>
  </si>
  <si>
    <t>Lynx Paws</t>
  </si>
  <si>
    <t>Game.AddToInventory("Items.AdvancedCatPawsUncommon", 1)</t>
  </si>
  <si>
    <t>Game.AddToInventory("Items.AdvancedCatPawsUncommonPlus", 1)</t>
  </si>
  <si>
    <t>Game.AddToInventory("Items.AdvancedCatPawsRare", 1)</t>
  </si>
  <si>
    <t>Game.AddToInventory("Items.AdvancedCatPawsRarePlus", 1)</t>
  </si>
  <si>
    <t>Game.AddToInventory("Items.AdvancedCatPawsEpic", 1)</t>
  </si>
  <si>
    <t>Game.AddToInventory("Items.AdvancedCatPawsEpicPlus", 1)</t>
  </si>
  <si>
    <t>Game.AddToInventory("Items.AdvancedCatPawsLegendary", 1)</t>
  </si>
  <si>
    <t>Game.AddToInventory("Items.AdvancedCatPawsLegendaryPlus", 1)</t>
  </si>
  <si>
    <t>Game.AddToInventory("Items.AdvancedCatPawsLegendaryPlusPlus", 1)</t>
  </si>
  <si>
    <t>Mantis Blades</t>
  </si>
  <si>
    <t>Game.AddToInventory("Items.AdvancedMantisBladesBase", 1)</t>
  </si>
  <si>
    <t>Game.AddToInventory("Items.AdvancedMantisBladesUncommon", 1)</t>
  </si>
  <si>
    <t>Game.AddToInventory("Items.AdvancedMantisBladesUncommonPlus", 1)</t>
  </si>
  <si>
    <t>Game.AddToInventory("Items.Q306_orbital_cyberware", 1)</t>
  </si>
  <si>
    <t>Game.AddToInventory("Items.AdvancedMantisBladesRare", 1)</t>
  </si>
  <si>
    <t>Game.AddToInventory("Items.AdvancedMantisBladesRarePlus", 1)</t>
  </si>
  <si>
    <t>Game.AddToInventory("Items.AdvancedMantisBladesEpic", 1)</t>
  </si>
  <si>
    <t>Game.AddToInventory("Items.AdvancedMantisBladesEpicPlus", 1)</t>
  </si>
  <si>
    <t>Game.AddToInventory("Items.AdvancedMantisBladesLegendary", 1)</t>
  </si>
  <si>
    <t>Game.AddToInventory("Items.AdvancedMantisBladesLegendaryPlus", 1)</t>
  </si>
  <si>
    <t>Game.AddToInventory("Items.AdvancedMantisBladesLegendaryPlusPlus", 1)</t>
  </si>
  <si>
    <t>Maxtac Mantis Blades</t>
  </si>
  <si>
    <t>Game.AddToInventory("Items.AdvancedMaxTacMantisBladesEpic", 1)</t>
  </si>
  <si>
    <t>Game.AddToInventory("Items.AdvancedMaxTacMantisBladesEpicPlus", 1)</t>
  </si>
  <si>
    <t>Game.AddToInventory("Items.AdvancedMaxTacMantisBladesLegendary", 1)</t>
  </si>
  <si>
    <t>Game.AddToInventory("Items.AdvancedMaxTacMantisBladesLegendaryPlus", 1)</t>
  </si>
  <si>
    <t>Game.AddToInventory("Items.AdvancedMaxTacMantisBladesLegendaryPlusPlus", 1)</t>
  </si>
  <si>
    <t>Mechatronic Core</t>
  </si>
  <si>
    <t>Game.AddToInventory("Items.AdvancedMechatronicCoreCommon", 1)</t>
  </si>
  <si>
    <t>Game.AddToInventory("Items.AdvancedMechatronicCoreCommonPlus", 1)</t>
  </si>
  <si>
    <t>Game.AddToInventory("Items.AdvancedMechatronicCoreUncommon", 1)</t>
  </si>
  <si>
    <t>Game.AddToInventory("Items.AdvancedMechatronicCoreUncommonPlus", 1)</t>
  </si>
  <si>
    <t>Game.AddToInventory("Items.AdvancedMechatronicCoreRare", 1)</t>
  </si>
  <si>
    <t>Game.AddToInventory("Items.AdvancedMechatronicCoreRarePlus", 1)</t>
  </si>
  <si>
    <t>Game.AddToInventory("Items.AdvancedMechatronicCoreEpic", 1)</t>
  </si>
  <si>
    <t>Game.AddToInventory("Items.AdvancedMechatronicCoreEpicPlus", 1)</t>
  </si>
  <si>
    <t>Game.AddToInventory("Items.AdvancedMechatronicCoreLegendary", 1)</t>
  </si>
  <si>
    <t>Game.AddToInventory("Items.AdvancedMechatronicCoreLegendaryPlus", 1)</t>
  </si>
  <si>
    <t>Game.AddToInventory("Items.AdvancedMechatronicCoreLegendaryPlusPlus", 1)</t>
  </si>
  <si>
    <t>Memory Boost</t>
  </si>
  <si>
    <t>Game.AddToInventory("Items.AdvancedMemoryBoostUncommon", 1)</t>
  </si>
  <si>
    <t>Game.AddToInventory("Items.AdvancedMemoryBoostUncommonPlus", 1)</t>
  </si>
  <si>
    <t>Game.AddToInventory("Items.AdvancedMemoryBoostRare", 1)</t>
  </si>
  <si>
    <t>Game.AddToInventory("Items.AdvancedMemoryBoostRarePlus", 1)</t>
  </si>
  <si>
    <t>Game.AddToInventory("Items.AdvancedMemoryBoostEpic", 1)</t>
  </si>
  <si>
    <t>Game.AddToInventory("Items.AdvancedMemoryBoostEpicPlus", 1)</t>
  </si>
  <si>
    <t>Game.AddToInventory("Items.AdvancedMemoryBoostLegendary", 1)</t>
  </si>
  <si>
    <t>Game.AddToInventory("Items.AdvancedMemoryBoostLegendaryPlus", 1)</t>
  </si>
  <si>
    <t>Game.AddToInventory("Items.AdvancedMemoryBoostLegendaryPlusPlus", 1)</t>
  </si>
  <si>
    <t>Memory Wipe</t>
  </si>
  <si>
    <t>Game.AddToInventory("Items.MemoryWipeLvl2Program", 1)</t>
  </si>
  <si>
    <t>Game.AddToInventory("Items.MemoryWipeLvl3Program", 1)</t>
  </si>
  <si>
    <t>Game.AddToInventory("Items.MemoryWipeLvl4Program", 1)</t>
  </si>
  <si>
    <t>Game.AddToInventory("Items.MemoryWipeLvl4PlusPlusProgram", 1)</t>
  </si>
  <si>
    <t>Microgenerator</t>
  </si>
  <si>
    <t>Game.AddToInventory("Items.AdvancedMicroGeneratorCommon", 1)</t>
  </si>
  <si>
    <t>Game.AddToInventory("Items.AdvancedMicroGeneratorUncommon", 1)</t>
  </si>
  <si>
    <t>Game.AddToInventory("Items.AdvancedMicroGeneratorUncommonPlus", 1)</t>
  </si>
  <si>
    <t>Game.AddToInventory("Items.AdvancedMicroGeneratorRare", 1)</t>
  </si>
  <si>
    <t>Game.AddToInventory("Items.AdvancedMicroGeneratorRarePlus", 1)</t>
  </si>
  <si>
    <t>Game.AddToInventory("Items.AdvancedMicroGeneratorEpic", 1)</t>
  </si>
  <si>
    <t>Game.AddToInventory("Items.AdvancedMicroGeneratorEpicPlus", 1)</t>
  </si>
  <si>
    <t>Game.AddToInventory("Items.AdvancedMicroGeneratorLegendary", 1)</t>
  </si>
  <si>
    <t>Game.AddToInventory("Items.AdvancedMicroGeneratorLegendaryPlus", 1)</t>
  </si>
  <si>
    <t>Game.AddToInventory("Items.AdvancedMicroGeneratorLegendaryPlusPlus", 1)</t>
  </si>
  <si>
    <t>Microrotors</t>
  </si>
  <si>
    <t>Game.AddToInventory("Items.AdvancedCyberRotorsCommon", 1)</t>
  </si>
  <si>
    <t>Game.AddToInventory("Items.AdvancedCyberRotorsCommonPlus", 1)</t>
  </si>
  <si>
    <t>Game.AddToInventory("Items.AdvancedCyberRotorsUncommon", 1)</t>
  </si>
  <si>
    <t>Game.AddToInventory("Items.AdvancedCyberRotorsUncommonPlus", 1)</t>
  </si>
  <si>
    <t>Game.AddToInventory("Items.AdvancedCyberRotorsRare", 1)</t>
  </si>
  <si>
    <t>Game.AddToInventory("Items.AdvancedCyberRotorsRarePlus", 1)</t>
  </si>
  <si>
    <t>Game.AddToInventory("Items.AdvancedCyberRotorsEpic", 1)</t>
  </si>
  <si>
    <t>Game.AddToInventory("Items.AdvancedCyberRotorsEpicPlus", 1)</t>
  </si>
  <si>
    <t>Game.AddToInventory("Items.AdvancedCyberRotorsLegendary", 1)</t>
  </si>
  <si>
    <t>Game.AddToInventory("Items.AdvancedCyberRotorsLegendaryPlus", 1)</t>
  </si>
  <si>
    <t>Game.AddToInventory("Items.AdvancedCyberRotorsLegendaryPlusPlus", 1)</t>
  </si>
  <si>
    <t>Militech "Apogee" Sandevistan</t>
  </si>
  <si>
    <t>Game.AddToInventory("Items.AdvancedSandevistanApogee", 1)</t>
  </si>
  <si>
    <t>Game.AddToInventory("Items.AdvancedSandevistanApogeePlus", 1)</t>
  </si>
  <si>
    <t>Game.AddToInventory("Items.AdvancedSandevistanApogeePlusPlus", 1)</t>
  </si>
  <si>
    <t>Militech "Falcon" Sandevistan</t>
  </si>
  <si>
    <t>Game.AddToInventory("Items.AdvancedSandevistanC4MK4", 1)</t>
  </si>
  <si>
    <t>Game.AddToInventory("Items.AdvancedSandevistanC4MK4Plus", 1)</t>
  </si>
  <si>
    <t>Game.AddToInventory("Items.AdvancedSandevistanC4MK5", 1)</t>
  </si>
  <si>
    <t>Game.AddToInventory("Items.AdvancedSandevistanC4MK5Plus", 1)</t>
  </si>
  <si>
    <t>Game.AddToInventory("Items.AdvancedSandevistanC4MK5PlusPlus", 1)</t>
  </si>
  <si>
    <t>Militech Berserk</t>
  </si>
  <si>
    <t>Game.AddToInventory("Items.AdvancedBerserkC4MK4", 1)</t>
  </si>
  <si>
    <t>Game.AddToInventory("Items.AdvancedBerserkC4MK4Plus", 1)</t>
  </si>
  <si>
    <t>Game.AddToInventory("Items.AdvancedBerserkC4MK5", 1)</t>
  </si>
  <si>
    <t>Game.AddToInventory("Items.AdvancedBerserkC4MK5Plus", 1)</t>
  </si>
  <si>
    <t>Game.AddToInventory("Items.AdvancedBerserkC4MK5PlusPlus", 1)</t>
  </si>
  <si>
    <t>Militech Canto Mk.6</t>
  </si>
  <si>
    <t>Game.AddToInventory("Items.HauntedCyberdeck", 1)</t>
  </si>
  <si>
    <t>Game.AddToInventory("Items.HauntedCyberdeck_Rare", 1)</t>
  </si>
  <si>
    <t>Game.AddToInventory("Items.HauntedCyberdeck_RarePlus", 1)</t>
  </si>
  <si>
    <t>Game.AddToInventory("Items.HauntedCyberdeck_Epic", 1)</t>
  </si>
  <si>
    <t>Game.AddToInventory("Items.HauntedCyberdeck_EpicPlus", 1)</t>
  </si>
  <si>
    <t>Game.AddToInventory("Items.HauntedCyberdeck_Legendary", 1)</t>
  </si>
  <si>
    <t>Game.AddToInventory("Items.VHard_50_IntRef_Cyberdeck", 1)</t>
  </si>
  <si>
    <t>Game.AddToInventory("Items.HauntedCyberdeck_LegendaryPlus", 1)</t>
  </si>
  <si>
    <t>Game.AddToInventory("Items.HauntedCyberdeck_LegendaryPlusPlus", 1)</t>
  </si>
  <si>
    <t>Militech Paraline Mk.1</t>
  </si>
  <si>
    <t>Game.AddToInventory("Items.AdvancedMilitechParalineMKICommon", 1)</t>
  </si>
  <si>
    <t>Game.AddToInventory("Items.AdvancedMilitechParalineMKICommonPlus", 1)</t>
  </si>
  <si>
    <t>Militech Paraline Mk.2</t>
  </si>
  <si>
    <t>Game.AddToInventory("Items.AdvancedMilitechParalineMKIIUncommon", 1)</t>
  </si>
  <si>
    <t>Game.AddToInventory("Items.AdvancedMilitechParalineMKIIUncommonPlus", 1)</t>
  </si>
  <si>
    <t>Militech Paraline Mk.3</t>
  </si>
  <si>
    <t>Game.AddToInventory("Items.AdvancedMilitechParalineMKIIIRare", 1)</t>
  </si>
  <si>
    <t>Game.AddToInventory("Items.AdvancedMilitechParalineMKIIIRarePlus", 1)</t>
  </si>
  <si>
    <t>Militech Paraline Mk.4</t>
  </si>
  <si>
    <t>Game.AddToInventory("Items.AdvancedMilitechParalineMKIVEpic", 1)</t>
  </si>
  <si>
    <t>Game.AddToInventory("Items.AdvancedMilitechParalineMKIVEpicPlus", 1)</t>
  </si>
  <si>
    <t>Game.AddToInventory("Items.AdvancedMilitechParalineMKVLegendary", 1)</t>
  </si>
  <si>
    <t>Game.AddToInventory("Items.AdvancedMilitechParalineMKVLegendaryPlus", 1)</t>
  </si>
  <si>
    <t>Game.AddToInventory("Items.VHard_50_IntTech_Cyberdeck", 1)</t>
  </si>
  <si>
    <t>Game.AddToInventory("Items.AdvancedMilitechParalineMKVLegendaryPlusPlus", 1)</t>
  </si>
  <si>
    <t>Monowire</t>
  </si>
  <si>
    <t>Game.AddToInventory("Items.AdvancedNanoWiresBase", 1)</t>
  </si>
  <si>
    <t>Game.AddToInventory("Items.AdvancedNanoWiresUncommon", 1)</t>
  </si>
  <si>
    <t>Game.AddToInventory("Items.AdvancedNanoWiresUncommonPlus", 1)</t>
  </si>
  <si>
    <t>Game.AddToInventory("Items.NanoWiresTest", 1)</t>
  </si>
  <si>
    <t>Game.AddToInventory("Items.AdvancedNanoWiresRare", 1)</t>
  </si>
  <si>
    <t>Game.AddToInventory("Items.AdvancedNanoWiresRarePlus", 1)</t>
  </si>
  <si>
    <t>Game.AddToInventory("Items.Hard_20_Intelligence_Monowire", 1)</t>
  </si>
  <si>
    <t>Game.AddToInventory("Items.AdvancedNanoWiresEpic", 1)</t>
  </si>
  <si>
    <t>Game.AddToInventory("Items.AdvancedNanoWiresEpicPlus", 1)</t>
  </si>
  <si>
    <t>Game.AddToInventory("Items.AdvancedNanoWiresLegendary", 1)</t>
  </si>
  <si>
    <t>Game.AddToInventory("Items.AdvancedNanoWiresLegendaryPlus", 1)</t>
  </si>
  <si>
    <t>Game.AddToInventory("Items.AdvancedNanoWiresLegendaryPlusPlus", 1)</t>
  </si>
  <si>
    <t>Moore Tech Berserk</t>
  </si>
  <si>
    <t>Game.AddToInventory("Items.AdvancedBerserkC1MK1", 1)</t>
  </si>
  <si>
    <t>Game.AddToInventory("Items.AdvancedBerserkC1MK1Plus", 1)</t>
  </si>
  <si>
    <t>Game.AddToInventory("Items.AdvancedBerserkC1MK2", 1)</t>
  </si>
  <si>
    <t>Game.AddToInventory("Items.AdvancedBerserkC1MK2Plus", 1)</t>
  </si>
  <si>
    <t>Game.AddToInventory("Items.AdvancedBerserkC1MK3", 1)</t>
  </si>
  <si>
    <t>Game.AddToInventory("Items.AdvancedBerserkC1MK3Plus", 1)</t>
  </si>
  <si>
    <t>Game.AddToInventory("Items.AdvancedBerserkC1MK4", 1)</t>
  </si>
  <si>
    <t>Game.AddToInventory("Items.AdvancedBerserkC1MK4Plus", 1)</t>
  </si>
  <si>
    <t>Game.AddToInventory("Items.AdvancedBerserkC1MK4PlusPlus", 1)</t>
  </si>
  <si>
    <t>Nano-Plating</t>
  </si>
  <si>
    <t>Game.AddToInventory("Items.AdvancedNanoTechPlatesCommon", 1)</t>
  </si>
  <si>
    <t>Game.AddToInventory("Items.AdvancedNanoTechPlatesUncommon", 1)</t>
  </si>
  <si>
    <t>Game.AddToInventory("Items.AdvancedNanoTechPlatesUncommonPlus", 1)</t>
  </si>
  <si>
    <t>Game.AddToInventory("Items.AdvancedNanoTechPlatesRare", 1)</t>
  </si>
  <si>
    <t>Game.AddToInventory("Items.AdvancedNanoTechPlatesRarePlus", 1)</t>
  </si>
  <si>
    <t>Game.AddToInventory("Items.AdvancedNanoTechPlatesEpic", 1)</t>
  </si>
  <si>
    <t>Game.AddToInventory("Items.AdvancedNanoTechPlatesEpicPlus", 1)</t>
  </si>
  <si>
    <t>Game.AddToInventory("Items.AdvancedNanoTechPlatesLegendary", 1)</t>
  </si>
  <si>
    <t>Game.AddToInventory("Items.AdvancedNanoTechPlatesLegendaryPlus", 1)</t>
  </si>
  <si>
    <t>Game.AddToInventory("Items.AdvancedNanoTechPlatesLegendaryPlusPlus", 1)</t>
  </si>
  <si>
    <t>Neofiber</t>
  </si>
  <si>
    <t>Game.AddToInventory("Items.AdvancedNeoFiberCommon", 1)</t>
  </si>
  <si>
    <t>Game.AddToInventory("Items.AdvancedNeoFiberUncommon", 1)</t>
  </si>
  <si>
    <t>Game.AddToInventory("Items.AdvancedNeoFiberRare", 1)</t>
  </si>
  <si>
    <t>Game.AddToInventory("Items.AdvancedNeoFiberRarePlus", 1)</t>
  </si>
  <si>
    <t>Game.AddToInventory("Items.AdvancedNeoFiberEpic", 1)</t>
  </si>
  <si>
    <t>Game.AddToInventory("Items.AdvancedNeoFiberEpicPlus", 1)</t>
  </si>
  <si>
    <t>Game.AddToInventory("Items.AdvancedNeoFiberLegendary", 1)</t>
  </si>
  <si>
    <t>Game.AddToInventory("Items.AdvancedNeoFiberLegendaryPlus", 1)</t>
  </si>
  <si>
    <t>Game.AddToInventory("Items.AdvancedNeoFiberLegendaryPlusPlus", 1)</t>
  </si>
  <si>
    <t>Netwatch Netdriver Mk.1</t>
  </si>
  <si>
    <t>Game.AddToInventory("Items.AdvancedNetwatchNetdriverMKLegendary", 1)</t>
  </si>
  <si>
    <t>Game.AddToInventory("Items.AdvancedNetwatchNetdriverMKLegendaryPlus", 1)</t>
  </si>
  <si>
    <t>Game.AddToInventory("Items.AdvancedNetwatchNetdriverMKLegendaryPlusPlus", 1)</t>
  </si>
  <si>
    <t>Newton Module</t>
  </si>
  <si>
    <t>Game.AddToInventory("Items.AdvancedSubdermalCoProcessorCommon", 1)</t>
  </si>
  <si>
    <t>Game.AddToInventory("Items.AdvancedSubdermalCoProcessorCommonPlus", 1)</t>
  </si>
  <si>
    <t>Game.AddToInventory("Items.AdvancedSubdermalCoProcessorUncommon", 1)</t>
  </si>
  <si>
    <t>Game.AddToInventory("Items.AdvancedSubdermalCoProcessorUncommonPlus", 1)</t>
  </si>
  <si>
    <t>Game.AddToInventory("Items.AdvancedSubdermalCoProcessorRare", 1)</t>
  </si>
  <si>
    <t>Game.AddToInventory("Items.AdvancedSubdermalCoProcessorRarePlus", 1)</t>
  </si>
  <si>
    <t>Game.AddToInventory("Items.AdvancedSubdermalCoProcessorEpic", 1)</t>
  </si>
  <si>
    <t>Game.AddToInventory("Items.AdvancedSubdermalCoProcessorEpicPlus", 1)</t>
  </si>
  <si>
    <t>Game.AddToInventory("Items.AdvancedSubdermalCoProcessorLegendary", 1)</t>
  </si>
  <si>
    <t>Game.AddToInventory("Items.AdvancedSubdermalCoProcessorLegendaryPlus", 1)</t>
  </si>
  <si>
    <t>Game.AddToInventory("Items.AdvancedSubdermalCoProcessorLegendaryPlusPlus", 1)</t>
  </si>
  <si>
    <t>Optical Camo</t>
  </si>
  <si>
    <t>Game.AddToInventory("Items.AdvancedOpticalCamoCommon", 1)</t>
  </si>
  <si>
    <t>Game.AddToInventory("Items.AdvancedOpticalCamoUncommon", 1)</t>
  </si>
  <si>
    <t>Game.AddToInventory("Items.AdvancedOpticalCamoUncommonPlus", 1)</t>
  </si>
  <si>
    <t>Game.AddToInventory("Items.AdvancedOpticalCamoRare", 1)</t>
  </si>
  <si>
    <t>Game.AddToInventory("Items.AdvancedOpticalCamoRarePlus", 1)</t>
  </si>
  <si>
    <t>Game.AddToInventory("Items.AdvancedOpticalCamoEpic", 1)</t>
  </si>
  <si>
    <t>Game.AddToInventory("Items.AdvancedOpticalCamoEpicPlus", 1)</t>
  </si>
  <si>
    <t>Game.AddToInventory("Items.AdvancedOpticalCamoLegendary", 1)</t>
  </si>
  <si>
    <t>Game.AddToInventory("Items.AdvancedOpticalCamoLegendaryPlus", 1)</t>
  </si>
  <si>
    <t>Game.AddToInventory("Items.AdvancedOpticalCamoLegendaryPlusPlus", 1)</t>
  </si>
  <si>
    <t>Overheat</t>
  </si>
  <si>
    <t>Game.AddToInventory("Items.OverheatProgram", 1)</t>
  </si>
  <si>
    <t>Game.AddToInventory("Items.OverheatLvl1Program", 1)</t>
  </si>
  <si>
    <t>Game.AddToInventory("Items.OverheatLvl2Program", 1)</t>
  </si>
  <si>
    <t>Game.AddToInventory("Items.OverheatLvl3Program", 1)</t>
  </si>
  <si>
    <t>Game.AddToInventory("Items.OverheatLvl4Program", 1)</t>
  </si>
  <si>
    <t>Game.AddToInventory("Items.OverheatLvl4PlusPlusProgram", 1)</t>
  </si>
  <si>
    <t>Pain Editor</t>
  </si>
  <si>
    <t>Game.AddToInventory("Items.AdvancedPainReductorEpic", 1)</t>
  </si>
  <si>
    <t>Game.AddToInventory("Items.AdvancedPainReductorEpicPlus", 1)</t>
  </si>
  <si>
    <t>Game.AddToInventory("Items.AdvancedPainReductorLegendary", 1)</t>
  </si>
  <si>
    <t>Game.AddToInventory("Items.AdvancedPainReductorLegendaryPlus", 1)</t>
  </si>
  <si>
    <t>Game.AddToInventory("Items.AdvancedPainReductorLegendaryPlusPlus", 1)</t>
  </si>
  <si>
    <t>Painducer</t>
  </si>
  <si>
    <t>Game.AddToInventory("Items.AdvancedBloodDepleterCommon", 1)</t>
  </si>
  <si>
    <t>Game.AddToInventory("Items.AdvancedBloodDepleterUncommon", 1)</t>
  </si>
  <si>
    <t>Game.AddToInventory("Items.AdvancedBloodDepleterRare", 1)</t>
  </si>
  <si>
    <t>Game.AddToInventory("Items.AdvancedBloodDepleterEpic", 1)</t>
  </si>
  <si>
    <t>Game.AddToInventory("Items.AdvancedBloodDepleterEpicPlus", 1)</t>
  </si>
  <si>
    <t>Game.AddToInventory("Items.AdvancedBloodDepleterLegendary", 1)</t>
  </si>
  <si>
    <t>Game.AddToInventory("Items.AdvancedBloodDepleterLegendaryPlus", 1)</t>
  </si>
  <si>
    <t>Game.AddToInventory("Items.AdvancedBloodDepleterLegendaryPlusPlus", 1)</t>
  </si>
  <si>
    <t>Para Bellum</t>
  </si>
  <si>
    <t>Game.AddToInventory("Items.AdvancedT1000Common", 1)</t>
  </si>
  <si>
    <t>Game.AddToInventory("Items.AdvancedT1000Common2", 1)</t>
  </si>
  <si>
    <t>Game.AddToInventory("Items.AdvancedT1000Uncommon2", 1)</t>
  </si>
  <si>
    <t>Game.AddToInventory("Items.AdvancedT1000Uncommon", 1)</t>
  </si>
  <si>
    <t>Game.AddToInventory("Items.AdvancedT1000Rare2", 1)</t>
  </si>
  <si>
    <t>Game.AddToInventory("Items.AdvancedT1000Rare", 1)</t>
  </si>
  <si>
    <t>Game.AddToInventory("Items.AdvancedT1000Rare2Plus", 1)</t>
  </si>
  <si>
    <t>Game.AddToInventory("Items.AdvancedT1000RarePlus", 1)</t>
  </si>
  <si>
    <t>Game.AddToInventory("Items.AdvancedT1000Epic2", 1)</t>
  </si>
  <si>
    <t>Game.AddToInventory("Items.AdvancedT1000Epic", 1)</t>
  </si>
  <si>
    <t>Game.AddToInventory("Items.AdvancedT1000Epic2Plus", 1)</t>
  </si>
  <si>
    <t>Game.AddToInventory("Items.AdvancedT1000EpicPlus", 1)</t>
  </si>
  <si>
    <t>Game.AddToInventory("Items.AdvancedT1000Legendary", 1)</t>
  </si>
  <si>
    <t>Game.AddToInventory("Items.AdvancedT1000Legendary2", 1)</t>
  </si>
  <si>
    <t>Game.AddToInventory("Items.AdvancedT1000Legendary2Plus", 1)</t>
  </si>
  <si>
    <t>Game.AddToInventory("Items.AdvancedT1000LegendaryPlus", 1)</t>
  </si>
  <si>
    <t>Game.AddToInventory("Items.AdvancedT1000Legendary2PlusPlus", 1)</t>
  </si>
  <si>
    <t>Game.AddToInventory("Items.AdvancedT1000LegendaryPlusPlus", 1)</t>
  </si>
  <si>
    <t>Peripheral Inverse</t>
  </si>
  <si>
    <t>Game.AddToInventory("Items.IconicAdvancedProximityReducerEpic", 1)</t>
  </si>
  <si>
    <t>Game.AddToInventory("Items.IconicAdvancedProximityReducerEpicPlus", 1)</t>
  </si>
  <si>
    <t>Game.AddToInventory("Items.IconicAdvancedProximityReducerLegendary", 1)</t>
  </si>
  <si>
    <t>Game.AddToInventory("Items.IconicAdvancedProximityReducerLegendaryPlus", 1)</t>
  </si>
  <si>
    <t>Game.AddToInventory("Items.IconicAdvancedProximityReducerLegendaryPlusPlus", 1)</t>
  </si>
  <si>
    <t>Ping</t>
  </si>
  <si>
    <t>Game.AddToInventory("Items.PingProgram", 1)</t>
  </si>
  <si>
    <t>Game.AddToInventory("Items.PingLvl2Program", 1)</t>
  </si>
  <si>
    <t>Game.AddToInventory("Items.PingLvl3Program", 1)</t>
  </si>
  <si>
    <t>Game.AddToInventory("Items.PingLvl4Program", 1)</t>
  </si>
  <si>
    <t>Game.AddToInventory("Items.PingLvl4PlusPlusProgram", 1)</t>
  </si>
  <si>
    <t>Projectile Launch System</t>
  </si>
  <si>
    <t>Game.AddToInventory("Items.AdvancedProjectileLauncherBase", 1)</t>
  </si>
  <si>
    <t>Game.AddToInventory("Items.AdvancedProjectileLauncherUncommon", 1)</t>
  </si>
  <si>
    <t>Game.AddToInventory("Items.AdvancedProjectileLauncherUncommonPlus", 1)</t>
  </si>
  <si>
    <t>Game.AddToInventory("Items.AdvancedProjectileLauncherRare", 1)</t>
  </si>
  <si>
    <t>Game.AddToInventory("Items.AdvancedProjectileLauncherRarePlus", 1)</t>
  </si>
  <si>
    <t>Game.AddToInventory("Items.AdvancedProjectileLauncherEpic", 1)</t>
  </si>
  <si>
    <t>Game.AddToInventory("Items.AdvancedProjectileLauncherEpicPlus", 1)</t>
  </si>
  <si>
    <t>Game.AddToInventory("Items.AdvancedProjectileLauncherLegendary", 1)</t>
  </si>
  <si>
    <t>Game.AddToInventory("Items.AdvancedProjectileLauncherLegendaryPlus", 1)</t>
  </si>
  <si>
    <t>Game.AddToInventory("Items.AdvancedProjectileLauncherLegendaryPlusPlus", 1)</t>
  </si>
  <si>
    <t>Proxishield</t>
  </si>
  <si>
    <t>Game.AddToInventory("Items.AdvancedProximityReducer_Q001", 1)</t>
  </si>
  <si>
    <t>Game.AddToInventory("Items.AdvancedProximityReducerCommon", 1)</t>
  </si>
  <si>
    <t>Game.AddToInventory("Items.AdvancedProximityReducerCommonPlus", 1)</t>
  </si>
  <si>
    <t>Game.AddToInventory("Items.AdvancedProximityReducerUncommon", 1)</t>
  </si>
  <si>
    <t>Game.AddToInventory("Items.AdvancedProximityReducerUncommonPlus", 1)</t>
  </si>
  <si>
    <t>Game.AddToInventory("Items.AdvancedProximityReducerRare", 1)</t>
  </si>
  <si>
    <t>Game.AddToInventory("Items.AdvancedProximityReducerRarePlus", 1)</t>
  </si>
  <si>
    <t>Game.AddToInventory("Items.AdvancedProximityReducerEpic", 1)</t>
  </si>
  <si>
    <t>Game.AddToInventory("Items.AdvancedProximityReducerEpicPlus", 1)</t>
  </si>
  <si>
    <t>Game.AddToInventory("Items.AdvancedProximityReducerLegendary", 1)</t>
  </si>
  <si>
    <t>Game.AddToInventory("Items.AdvancedProximityReducerLegendaryPlus", 1)</t>
  </si>
  <si>
    <t>Game.AddToInventory("Items.AdvancedProximityReducerLegendaryPlusPlus", 1)</t>
  </si>
  <si>
    <t>Qiant "Warp Dancer" Sandevistan</t>
  </si>
  <si>
    <t>Game.AddToInventory("Items.AdvancedSandevistanC3MK3", 1)</t>
  </si>
  <si>
    <t>Game.AddToInventory("Items.AdvancedSandevistanC3MK3Plus", 1)</t>
  </si>
  <si>
    <t>Game.AddToInventory("Items.AdvancedSandevistanC3MK4", 1)</t>
  </si>
  <si>
    <t>Game.AddToInventory("Items.AdvancedSandevistanC3MK4Plus", 1)</t>
  </si>
  <si>
    <t>Game.AddToInventory("Items.AdvancedSandevistanC3MK5", 1)</t>
  </si>
  <si>
    <t>Game.AddToInventory("Items.AdvancedSandevistanC3MK5Plus", 1)</t>
  </si>
  <si>
    <t>Game.AddToInventory("Items.AdvancedSandevistanC3MK5PlusPlus", 1)</t>
  </si>
  <si>
    <t>Quantum Tuner</t>
  </si>
  <si>
    <t>Game.AddToInventory("Items.AdvancedTimeBankLegendary", 1)</t>
  </si>
  <si>
    <t>Game.AddToInventory("Items.AdvancedTimeBankLegendaryPlus", 1)</t>
  </si>
  <si>
    <t>Game.AddToInventory("Items.AdvancedTimeBankLegendaryPlusPlus", 1)</t>
  </si>
  <si>
    <t>Ram Reallocator</t>
  </si>
  <si>
    <t>Game.AddToInventory("Items.IconicCamilloRamManagerEpic", 1)</t>
  </si>
  <si>
    <t>Game.AddToInventory("Items.IconicCamilloRamManagerEpicPlus", 1)</t>
  </si>
  <si>
    <t>Game.AddToInventory("Items.IconicCamilloRamManagerLegendary", 1)</t>
  </si>
  <si>
    <t>Game.AddToInventory("Items.IconicCamilloRamManagerLegendaryPlus_1", 1)</t>
  </si>
  <si>
    <t>Game.AddToInventory("Items.IconicCamilloRamManagerLegendaryPlusPlus", 1)</t>
  </si>
  <si>
    <t>Ram Recoup</t>
  </si>
  <si>
    <t>Game.AddToInventory("Items.AdvancedCompilingSkeletonCommon2", 1)</t>
  </si>
  <si>
    <t>Game.AddToInventory("Items.AdvancedCompilingSkeletonCommon", 1)</t>
  </si>
  <si>
    <t>Game.AddToInventory("Items.AdvancedCompilingSkeletonCommonPlus", 1)</t>
  </si>
  <si>
    <t>Game.AddToInventory("Items.AdvancedCompilingSkeletonCommon2Plus", 1)</t>
  </si>
  <si>
    <t>Game.AddToInventory("Items.AdvancedCompilingSkeletonUncommon2", 1)</t>
  </si>
  <si>
    <t>Game.AddToInventory("Items.AdvancedCompilingSkeletonUncommon", 1)</t>
  </si>
  <si>
    <t>Game.AddToInventory("Items.AdvancedCompilingSkeletonUncommon2Plus", 1)</t>
  </si>
  <si>
    <t>Game.AddToInventory("Items.AdvancedCompilingSkeletonUncommonPlus", 1)</t>
  </si>
  <si>
    <t>Game.AddToInventory("Items.AdvancedCompilingSkeletonRare2", 1)</t>
  </si>
  <si>
    <t>Game.AddToInventory("Items.AdvancedCompilingSkeletonRare", 1)</t>
  </si>
  <si>
    <t>Game.AddToInventory("Items.AdvancedCompilingSkeletonRare2Plus", 1)</t>
  </si>
  <si>
    <t>Game.AddToInventory("Items.AdvancedCompilingSkeletonRarePlus", 1)</t>
  </si>
  <si>
    <t>Game.AddToInventory("Items.AdvancedCompilingSkeletonEpic2", 1)</t>
  </si>
  <si>
    <t>Game.AddToInventory("Items.AdvancedCompilingSkeletonEpic", 1)</t>
  </si>
  <si>
    <t>Game.AddToInventory("Items.AdvancedCompilingSkeletonEpic2Plus", 1)</t>
  </si>
  <si>
    <t>Game.AddToInventory("Items.AdvancedCompilingSkeletonEpicPlus", 1)</t>
  </si>
  <si>
    <t>Game.AddToInventory("Items.AdvancedCompilingSkeletonLegendary", 1)</t>
  </si>
  <si>
    <t>Game.AddToInventory("Items.AdvancedCompilingSkeletonLegendary2", 1)</t>
  </si>
  <si>
    <t>Game.AddToInventory("Items.AdvancedCompilingSkeletonLegendary2Plus", 1)</t>
  </si>
  <si>
    <t>Game.AddToInventory("Items.AdvancedCompilingSkeletonLegendaryPlus", 1)</t>
  </si>
  <si>
    <t>Game.AddToInventory("Items.AdvancedCompilingSkeletonLegendary2PlusPlus", 1)</t>
  </si>
  <si>
    <t>Game.AddToInventory("Items.AdvancedCompilingSkeletonLegendaryPlusPlus", 1)</t>
  </si>
  <si>
    <t>Ram Upgrade</t>
  </si>
  <si>
    <t>Game.AddToInventory("Items.AdvancedRamUpgradeCommon", 1)</t>
  </si>
  <si>
    <t>Game.AddToInventory("Items.AdvancedRamUpgradeCommonPlus", 1)</t>
  </si>
  <si>
    <t>Game.AddToInventory("Items.AdvancedRamUpgradeUncommon", 1)</t>
  </si>
  <si>
    <t>Game.AddToInventory("Items.AdvancedRamUpgradeUncommonPlus", 1)</t>
  </si>
  <si>
    <t>Game.AddToInventory("Items.AdvancedRamUpgradeRare", 1)</t>
  </si>
  <si>
    <t>Game.AddToInventory("Items.AdvancedRamUpgradeRarePlus", 1)</t>
  </si>
  <si>
    <t>Game.AddToInventory("Items.AdvancedRamUpgradeEpic", 1)</t>
  </si>
  <si>
    <t>Game.AddToInventory("Items.AdvancedRamUpgradeEpicPlus", 1)</t>
  </si>
  <si>
    <t>Game.AddToInventory("Items.AdvancedRamUpgradeLegendary", 1)</t>
  </si>
  <si>
    <t>Game.AddToInventory("Items.AdvancedRamUpgradeLegendaryPlus", 1)</t>
  </si>
  <si>
    <t>Game.AddToInventory("Items.AdvancedRamUpgradeLegendaryPlusPlus", 1)</t>
  </si>
  <si>
    <t>Rangeguard</t>
  </si>
  <si>
    <t>Game.AddToInventory("Items.AdvancedChargeSystemCommon", 1)</t>
  </si>
  <si>
    <t>Game.AddToInventory("Items.AdvancedChargeSystem_Q001", 1)</t>
  </si>
  <si>
    <t>Game.AddToInventory("Items.AdvancedChargeSystemCommonPlus", 1)</t>
  </si>
  <si>
    <t>Game.AddToInventory("Items.AdvancedChargeSystemUncommon", 1)</t>
  </si>
  <si>
    <t>Game.AddToInventory("Items.AdvancedChargeSystemUncommonPlus", 1)</t>
  </si>
  <si>
    <t>Game.AddToInventory("Items.AdvancedChargeSystemRare", 1)</t>
  </si>
  <si>
    <t>Game.AddToInventory("Items.AdvancedChargeSystemRarePlus", 1)</t>
  </si>
  <si>
    <t>Game.AddToInventory("Items.AdvancedChargeSystemEpic", 1)</t>
  </si>
  <si>
    <t>Game.AddToInventory("Items.AdvancedChargeSystemEpicPlus", 1)</t>
  </si>
  <si>
    <t>Game.AddToInventory("Items.AdvancedChargeSystemLegendary", 1)</t>
  </si>
  <si>
    <t>Game.AddToInventory("Items.AdvancedChargeSystemLegendaryPlus", 1)</t>
  </si>
  <si>
    <t>Game.AddToInventory("Items.AdvancedChargeSystemLegendaryPlusPlus", 1)</t>
  </si>
  <si>
    <t>Rara Avis</t>
  </si>
  <si>
    <t>Game.AddToInventory("Items.IconicAdvancedT1000Common", 1)</t>
  </si>
  <si>
    <t>Game.AddToInventory("Items.IconicAdvancedT1000Common2", 1)</t>
  </si>
  <si>
    <t>Game.AddToInventory("Items.IconicAdvancedT1000Uncommon", 1)</t>
  </si>
  <si>
    <t>Game.AddToInventory("Items.IconicAdvancedT1000Uncommon2", 1)</t>
  </si>
  <si>
    <t>Game.AddToInventory("Items.IconicAdvancedT1000Rare", 1)</t>
  </si>
  <si>
    <t>Game.AddToInventory("Items.IconicAdvancedT1000Rare2", 1)</t>
  </si>
  <si>
    <t>Game.AddToInventory("Items.IconicAdvancedT1000RarePlus", 1)</t>
  </si>
  <si>
    <t>Game.AddToInventory("Items.IconicAdvancedT1000Rare2Plus", 1)</t>
  </si>
  <si>
    <t>Game.AddToInventory("Items.IconicAdvancedT1000Epic", 1)</t>
  </si>
  <si>
    <t>Game.AddToInventory("Items.IconicAdvancedT1000Epic2", 1)</t>
  </si>
  <si>
    <t>Game.AddToInventory("Items.IconicAdvancedT1000Epic2Plus", 1)</t>
  </si>
  <si>
    <t>Game.AddToInventory("Items.IconicAdvancedT1000EpicPlus", 1)</t>
  </si>
  <si>
    <t>Game.AddToInventory("Items.IconicAdvancedT1000Legendary", 1)</t>
  </si>
  <si>
    <t>Game.AddToInventory("Items.IconicAdvancedT1000Legendary2", 1)</t>
  </si>
  <si>
    <t>Game.AddToInventory("Items.IconicAdvancedT1000Legendary2Plus", 1)</t>
  </si>
  <si>
    <t>Game.AddToInventory("Items.IconicAdvancedT1000LegendaryPlus", 1)</t>
  </si>
  <si>
    <t>Game.AddToInventory("Items.IconicAdvancedT1000Legendary2PlusPlus", 1)</t>
  </si>
  <si>
    <t>Game.AddToInventory("Items.IconicAdvancedT1000LegendaryPlusPlus", 1)</t>
  </si>
  <si>
    <t>Raven Microcyber Mk.1</t>
  </si>
  <si>
    <t>Game.AddToInventory("Items.AdvancedRavenMicrocyberMKIRare", 1)</t>
  </si>
  <si>
    <t>Game.AddToInventory("Items.AdvancedRavenMicrocyberMKIRarePlus", 1)</t>
  </si>
  <si>
    <t>Raven Microcyber Mk.2</t>
  </si>
  <si>
    <t>Game.AddToInventory("Items.AdvancedRavenMicrocyberMKIIEpic", 1)</t>
  </si>
  <si>
    <t>Game.AddToInventory("Items.AdvancedRavenMicrocyberMKIIEpicPlus", 1)</t>
  </si>
  <si>
    <t>Raven Microcyber Mk.3</t>
  </si>
  <si>
    <t>Game.AddToInventory("Items.AdvancedRavenMicrocyberMKIIILegendary", 1)</t>
  </si>
  <si>
    <t>Game.AddToInventory("Items.AdvancedRavenMicrocyberMKIIILegendaryPlus", 1)</t>
  </si>
  <si>
    <t>Game.AddToInventory("Items.AdvancedRavenMicrocyberMKIIILegendaryPlusPlus", 1)</t>
  </si>
  <si>
    <t>Reboot Optics</t>
  </si>
  <si>
    <t>Game.AddToInventory("Items.BlindProgram", 1)</t>
  </si>
  <si>
    <t>Game.AddToInventory("Items.BlindLvl1Program", 1)</t>
  </si>
  <si>
    <t>Game.AddToInventory("Items.BlindLvl2Program", 1)</t>
  </si>
  <si>
    <t>Game.AddToInventory("Items.BlindLvl3Program", 1)</t>
  </si>
  <si>
    <t>Game.AddToInventory("Items.BlindLvl4Program", 1)</t>
  </si>
  <si>
    <t>Game.AddToInventory("Items.BlindLvl4PlusPlusProgram", 1)</t>
  </si>
  <si>
    <t>Reflex Tuner</t>
  </si>
  <si>
    <t>Game.AddToInventory("Items.AdvancedReflexRecorderCommon", 1)</t>
  </si>
  <si>
    <t>Game.AddToInventory("Items.AdvancedReflexRecorderCommonPlus", 1)</t>
  </si>
  <si>
    <t>Game.AddToInventory("Items.AdvancedReflexRecorderUncommon", 1)</t>
  </si>
  <si>
    <t>Game.AddToInventory("Items.AdvancedReflexRecorderUncommonPlus", 1)</t>
  </si>
  <si>
    <t>Game.AddToInventory("Items.AdvancedReflexRecorderRare", 1)</t>
  </si>
  <si>
    <t>Game.AddToInventory("Items.AdvancedReflexRecorderRarePlus", 1)</t>
  </si>
  <si>
    <t>Game.AddToInventory("Items.AdvancedReflexRecorderEpic", 1)</t>
  </si>
  <si>
    <t>Game.AddToInventory("Items.AdvancedReflexRecorderEpicPlus", 1)</t>
  </si>
  <si>
    <t>Game.AddToInventory("Items.AdvancedReflexRecorderLegendary", 1)</t>
  </si>
  <si>
    <t>Game.AddToInventory("Items.AdvancedReflexRecorderLegendaryPlus", 1)</t>
  </si>
  <si>
    <t>Game.AddToInventory("Items.AdvancedReflexRecorderLegendaryPlusPlus", 1)</t>
  </si>
  <si>
    <t>Reinforced Tendons</t>
  </si>
  <si>
    <t>Game.AddToInventory("Items.AdvancedBoostedTendonsUncommon", 1)</t>
  </si>
  <si>
    <t>Game.AddToInventory("Items.AdvancedBoostedTendonsUncommonPlus", 1)</t>
  </si>
  <si>
    <t>Game.AddToInventory("Items.AdvancedBoostedTendonsRare", 1)</t>
  </si>
  <si>
    <t>Game.AddToInventory("Items.AdvancedBoostedTendonsRarePlus", 1)</t>
  </si>
  <si>
    <t>Game.AddToInventory("Items.AdvancedBoostedTendonsEpic", 1)</t>
  </si>
  <si>
    <t>Game.AddToInventory("Items.AdvancedBoostedTendonsEpicPlus", 1)</t>
  </si>
  <si>
    <t>Game.AddToInventory("Items.AdvancedBoostedTendonsLegendary", 1)</t>
  </si>
  <si>
    <t>Game.AddToInventory("Items.AdvancedBoostedTendonsLegendaryPlus", 1)</t>
  </si>
  <si>
    <t>Game.AddToInventory("Items.AdvancedBoostedTendonsLegendaryPlusPlus", 1)</t>
  </si>
  <si>
    <t>Request Backup</t>
  </si>
  <si>
    <t>Game.AddToInventory("Items.CommsCallInLvl1Program", 1)</t>
  </si>
  <si>
    <t>Game.AddToInventory("Items.CommsCallInLvl2Program", 1)</t>
  </si>
  <si>
    <t>Game.AddToInventory("Items.CommsCallInLvl3Program", 1)</t>
  </si>
  <si>
    <t>Game.AddToInventory("Items.CommsCallInLvl4Program", 1)</t>
  </si>
  <si>
    <t>Game.AddToInventory("Items.CommsCallInLvl4PlusPlusProgram", 1)</t>
  </si>
  <si>
    <t>Revulsor</t>
  </si>
  <si>
    <t>Game.AddToInventory("Items.IconicAdvancedReflexRecorderRare", 1)</t>
  </si>
  <si>
    <t>Game.AddToInventory("Items.IconicAdvancedReflexRecorderRarePlus", 1)</t>
  </si>
  <si>
    <t>Game.AddToInventory("Items.IconicAdvancedReflexRecorderEpic", 1)</t>
  </si>
  <si>
    <t>Game.AddToInventory("Items.IconicAdvancedReflexRecorderEpicPlus", 1)</t>
  </si>
  <si>
    <t>Game.AddToInventory("Items.IconicAdvancedReflexRecorderLegendary", 1)</t>
  </si>
  <si>
    <t>Game.AddToInventory("Items.IconicAdvancedReflexRecorderLegendaryPlus", 1)</t>
  </si>
  <si>
    <t>Game.AddToInventory("Items.IconicAdvancedReflexRecorderLegendaryPlusPlus", 1)</t>
  </si>
  <si>
    <t>Scar Coalescer</t>
  </si>
  <si>
    <t>Game.AddToInventory("Items.AdvancedNoPainNoGainCommon2", 1)</t>
  </si>
  <si>
    <t>Game.AddToInventory("Items.AdvancedNoPainNoGainCommon", 1)</t>
  </si>
  <si>
    <t>Game.AddToInventory("Items.AdvancedNoPainNoGainCommonPlus", 1)</t>
  </si>
  <si>
    <t>Game.AddToInventory("Items.AdvancedNoPainNoGainCommon2Plus", 1)</t>
  </si>
  <si>
    <t>Game.AddToInventory("Items.AdvancedNoPainNoGainUncommon2", 1)</t>
  </si>
  <si>
    <t>Game.AddToInventory("Items.AdvancedNoPainNoGainUncommon", 1)</t>
  </si>
  <si>
    <t>Game.AddToInventory("Items.AdvancedNoPainNoGainUncommon2Plus", 1)</t>
  </si>
  <si>
    <t>Game.AddToInventory("Items.AdvancedNoPainNoGainUncommonPlus", 1)</t>
  </si>
  <si>
    <t>Game.AddToInventory("Items.AdvancedNoPainNoGainRare2", 1)</t>
  </si>
  <si>
    <t>Game.AddToInventory("Items.AdvancedNoPainNoGainRare", 1)</t>
  </si>
  <si>
    <t>Game.AddToInventory("Items.AdvancedNoPainNoGainRare2Plus", 1)</t>
  </si>
  <si>
    <t>Game.AddToInventory("Items.AdvancedNoPainNoGainRarePlus", 1)</t>
  </si>
  <si>
    <t>Game.AddToInventory("Items.AdvancedNoPainNoGainEpic2", 1)</t>
  </si>
  <si>
    <t>Game.AddToInventory("Items.AdvancedNoPainNoGainEpic", 1)</t>
  </si>
  <si>
    <t>Game.AddToInventory("Items.AdvancedNoPainNoGainEpic2Plus", 1)</t>
  </si>
  <si>
    <t>Game.AddToInventory("Items.AdvancedNoPainNoGainEpicPlus", 1)</t>
  </si>
  <si>
    <t>Game.AddToInventory("Items.AdvancedNoPainNoGain_Legendary", 1)</t>
  </si>
  <si>
    <t>Game.AddToInventory("Items.AdvancedNoPainNoGainLegendary2", 1)</t>
  </si>
  <si>
    <t>Game.AddToInventory("Items.AdvancedNoPainNoGainLegendary2Plus", 1)</t>
  </si>
  <si>
    <t>Game.AddToInventory("Items.AdvancedNoPainNoGainLegendaryPlus", 1)</t>
  </si>
  <si>
    <t>Game.AddToInventory("Items.AdvancedNoPainNoGainLegendary2PlusPlus", 1)</t>
  </si>
  <si>
    <t>Game.AddToInventory("Items.AdvancedNoPainNoGainLegendaryPlusPlus", 1)</t>
  </si>
  <si>
    <t>Game.AddToInventory("Items.AdvancedRapidMuscleNurishCommon", 1)</t>
  </si>
  <si>
    <t>Game.AddToInventory("Items.AdvancedRapidMuscleNurishCommon2", 1)</t>
  </si>
  <si>
    <t>Game.AddToInventory("Items.AdvancedRapidMuscleNurishCommonPlus", 1)</t>
  </si>
  <si>
    <t>Game.AddToInventory("Items.AdvancedRapidMuscleNurishCommon2Plus", 1)</t>
  </si>
  <si>
    <t>Game.AddToInventory("Items.AdvancedRapidMuscleNurishUncommon2", 1)</t>
  </si>
  <si>
    <t>Game.AddToInventory("Items.AdvancedRapidMuscleNurishUncommon", 1)</t>
  </si>
  <si>
    <t>Game.AddToInventory("Items.AdvancedRapidMuscleNurishUncommon2Plus", 1)</t>
  </si>
  <si>
    <t>Game.AddToInventory("Items.AdvancedRapidMuscleNurishUncommonPlus", 1)</t>
  </si>
  <si>
    <t>Game.AddToInventory("Items.AdvancedRapidMuscleNurishRare2", 1)</t>
  </si>
  <si>
    <t>Game.AddToInventory("Items.AdvancedRapidMuscleNurishRare", 1)</t>
  </si>
  <si>
    <t>Game.AddToInventory("Items.AdvancedRapidMuscleNurishRare2Plus", 1)</t>
  </si>
  <si>
    <t>Game.AddToInventory("Items.AdvancedRapidMuscleNurishRarePlus", 1)</t>
  </si>
  <si>
    <t>Game.AddToInventory("Items.AdvancedRapidMuscleNurishEpic2", 1)</t>
  </si>
  <si>
    <t>Game.AddToInventory("Items.AdvancedRapidMuscleNurishEpic", 1)</t>
  </si>
  <si>
    <t>Game.AddToInventory("Items.AdvancedRapidMuscleNurishEpic2Plus", 1)</t>
  </si>
  <si>
    <t>Game.AddToInventory("Items.AdvancedRapidMuscleNurishEpicPlus", 1)</t>
  </si>
  <si>
    <t>Game.AddToInventory("Items.AdvancedRapidMuscleNurishLegendary", 1)</t>
  </si>
  <si>
    <t>Game.AddToInventory("Items.AdvancedRapidMuscleNurishLegendary2", 1)</t>
  </si>
  <si>
    <t>Game.AddToInventory("Items.AdvancedRapidMuscleNurishLegendary2Plus", 1)</t>
  </si>
  <si>
    <t>Game.AddToInventory("Items.AdvancedRapidMuscleNurishLegendaryPlus", 1)</t>
  </si>
  <si>
    <t>Game.AddToInventory("Items.AdvancedRapidMuscleNurishLegendary2PlusPlus", 1)</t>
  </si>
  <si>
    <t>Game.AddToInventory("Items.AdvancedRapidMuscleNurishLegendaryPlusPlus", 1)</t>
  </si>
  <si>
    <t>Second Heart</t>
  </si>
  <si>
    <t>Game.AddToInventory("Items.AdvancedSecondHeartEpic", 1)</t>
  </si>
  <si>
    <t>Game.AddToInventory("Items.AdvancedSecondHeartEpicPlus", 1)</t>
  </si>
  <si>
    <t>Game.AddToInventory("Items.AdvancedSecondHeartLegendary", 1)</t>
  </si>
  <si>
    <t>Game.AddToInventory("Items.AdvancedSecondHeartLegendaryPlus", 1)</t>
  </si>
  <si>
    <t>Game.AddToInventory("Items.AdvancedSecondHeartLegendaryPlusPlus", 1)</t>
  </si>
  <si>
    <t>Self-Ice</t>
  </si>
  <si>
    <t>Game.AddToInventory("Items.AdvancedSelfIceRare", 1)</t>
  </si>
  <si>
    <t>Game.AddToInventory("Items.AdvancedSelfIceRarePlus", 1)</t>
  </si>
  <si>
    <t>Game.AddToInventory("Items.AdvancedSelfIceEpic", 1)</t>
  </si>
  <si>
    <t>Game.AddToInventory("Items.AdvancedSelfIceEpicPlus", 1)</t>
  </si>
  <si>
    <t>Game.AddToInventory("Items.AdvancedSelfIceLegendary", 1)</t>
  </si>
  <si>
    <t>Game.AddToInventory("Items.AdvancedSelfIceLegendaryPlus", 1)</t>
  </si>
  <si>
    <t>Game.AddToInventory("Items.AdvancedSelfIceLegendaryPlusPlus", 1)</t>
  </si>
  <si>
    <t>Shock Absorber</t>
  </si>
  <si>
    <t>Game.AddToInventory("Items.AdvancedJointLockCommon", 1)</t>
  </si>
  <si>
    <t>Game.AddToInventory("Items.AdvancedJointLockCommonPlus", 1)</t>
  </si>
  <si>
    <t>Game.AddToInventory("Items.AdvancedJointLockUncommon", 1)</t>
  </si>
  <si>
    <t>Game.AddToInventory("Items.AdvancedJointLockUncommonPlus", 1)</t>
  </si>
  <si>
    <t>Game.AddToInventory("Items.AdvancedJointLockRare", 1)</t>
  </si>
  <si>
    <t>Game.AddToInventory("Items.AdvancedJointLockRarePlus", 1)</t>
  </si>
  <si>
    <t>Game.AddToInventory("Items.AdvancedJointLockEpic", 1)</t>
  </si>
  <si>
    <t>Game.AddToInventory("Items.AdvancedJointLockEpicPlus", 1)</t>
  </si>
  <si>
    <t>Game.AddToInventory("Items.AdvancedJointLockLegendary", 1)</t>
  </si>
  <si>
    <t>Game.AddToInventory("Items.AdvancedJointLockLegendaryPlus", 1)</t>
  </si>
  <si>
    <t>Game.AddToInventory("Items.AdvancedJointLockLegendaryPlusPlus", 1)</t>
  </si>
  <si>
    <t>Shock-N-Awe</t>
  </si>
  <si>
    <t>Game.AddToInventory("Items.AdvancedElectroshockMechanismCommon", 1)</t>
  </si>
  <si>
    <t>Game.AddToInventory("Items.AdvancedElectroshockMechanismCommonPlus", 1)</t>
  </si>
  <si>
    <t>Game.AddToInventory("Items.AdvancedElectroshockMechanismUncommon", 1)</t>
  </si>
  <si>
    <t>Game.AddToInventory("Items.AdvancedElectroshockMechanismUncommonPlus", 1)</t>
  </si>
  <si>
    <t>Game.AddToInventory("Items.AdvancedElectroshockMechanismRare", 1)</t>
  </si>
  <si>
    <t>Game.AddToInventory("Items.AdvancedElectroshockMechanismRarePlus", 1)</t>
  </si>
  <si>
    <t>Game.AddToInventory("Items.AdvancedElectroshockMechanismEpic", 1)</t>
  </si>
  <si>
    <t>Game.AddToInventory("Items.AdvancedElectroshockMechanismEpicPlus", 1)</t>
  </si>
  <si>
    <t>Game.AddToInventory("Items.AdvancedElectroshockMechanismLegendary", 1)</t>
  </si>
  <si>
    <t>Game.AddToInventory("Items.AdvancedElectroshockMechanismLegendaryPlus", 1)</t>
  </si>
  <si>
    <t>Game.AddToInventory("Items.AdvancedElectroshockMechanismLegendaryPlusPlus", 1)</t>
  </si>
  <si>
    <t>Short Circuit</t>
  </si>
  <si>
    <t>Game.AddToInventory("Items.EMPOverloadProgram", 1)</t>
  </si>
  <si>
    <t>Game.AddToInventory("Items.EMPOverloadLvl1Program", 1)</t>
  </si>
  <si>
    <t>Game.AddToInventory("Items.EMPOverloadLvl2Program", 1)</t>
  </si>
  <si>
    <t>Game.AddToInventory("Items.EMPOverloadLvl3Program", 1)</t>
  </si>
  <si>
    <t>Game.AddToInventory("Items.EMPOverloadLvl4Program", 1)</t>
  </si>
  <si>
    <t>Game.AddToInventory("Items.EMPOverloadLvl4PlusPlusProgram", 1)</t>
  </si>
  <si>
    <t>Smart Link</t>
  </si>
  <si>
    <t>Game.AddToInventory("Items.AdvancedSmartLinkCommon", 1)</t>
  </si>
  <si>
    <t>Game.AddToInventory("Items.AdvancedSmartLink_Tutorial_Common", 1)</t>
  </si>
  <si>
    <t>Game.AddToInventory("Items.AdvancedSmartLinkCommonPlus", 1)</t>
  </si>
  <si>
    <t>Game.AddToInventory("Items.AdvancedSmartLink_Tutorial_CommonPlus", 1)</t>
  </si>
  <si>
    <t>Game.AddToInventory("Items.AdvancedSmartLinkUncommon", 1)</t>
  </si>
  <si>
    <t>Game.AddToInventory("Items.AdvancedSmartLink_Tutorial_Uncommon", 1)</t>
  </si>
  <si>
    <t>Game.AddToInventory("Items.AdvancedSmartLinkUncommonPlus", 1)</t>
  </si>
  <si>
    <t>Game.AddToInventory("Items.AdvancedSmartLink_Tutorial_UncommonPlus", 1)</t>
  </si>
  <si>
    <t>Game.AddToInventory("Items.AdvancedSmartLinkRare", 1)</t>
  </si>
  <si>
    <t>Game.AddToInventory("Items.AdvancedSmartLink_Tutorial_Rare", 1)</t>
  </si>
  <si>
    <t>Game.AddToInventory("Items.AdvancedSmartLinkRarePlus", 1)</t>
  </si>
  <si>
    <t>Game.AddToInventory("Items.AdvancedSmartLink_Tutorial_RarePlus", 1)</t>
  </si>
  <si>
    <t>Game.AddToInventory("Items.AdvancedSmartLinkEpic", 1)</t>
  </si>
  <si>
    <t>Game.AddToInventory("Items.AdvancedSmartLink_Tutorial_Epic", 1)</t>
  </si>
  <si>
    <t>Game.AddToInventory("Items.AdvancedSmartLinkEpicPlus", 1)</t>
  </si>
  <si>
    <t>Game.AddToInventory("Items.AdvancedSmartLink_Tutorial_EpicPlus", 1)</t>
  </si>
  <si>
    <t>Game.AddToInventory("Items.AdvancedSmartLinkLegendary", 1)</t>
  </si>
  <si>
    <t>Game.AddToInventory("Items.AdvancedSmartLink_Tutorial_Legendary", 1)</t>
  </si>
  <si>
    <t>Game.AddToInventory("Items.AdvancedSmartLinkLegendaryPlus", 1)</t>
  </si>
  <si>
    <t>Game.AddToInventory("Items.AdvancedSmartLink_Tutorial_LegendaryPlus", 1)</t>
  </si>
  <si>
    <t>Game.AddToInventory("Items.AdvancedSmartLinkLegendaryPlusPlus", 1)</t>
  </si>
  <si>
    <t>Game.AddToInventory("Items.AdvancedSmartLink_Tutorial_LegendaryPlusPlus", 1)</t>
  </si>
  <si>
    <t>Sonic Shock</t>
  </si>
  <si>
    <t>Game.AddToInventory("Items.CommsNoiseProgram", 1)</t>
  </si>
  <si>
    <t>Game.AddToInventory("Items.CommsNoiseLvl2Program", 1)</t>
  </si>
  <si>
    <t>Game.AddToInventory("Items.CommsNoiseLvl3Program", 1)</t>
  </si>
  <si>
    <t>Game.AddToInventory("Items.CommsNoiseLvl4Program", 1)</t>
  </si>
  <si>
    <t>Game.AddToInventory("Items.CommsNoiseLvl4PlusPlusProgram", 1)</t>
  </si>
  <si>
    <t>Spring Joints</t>
  </si>
  <si>
    <t>Game.AddToInventory("Items.AdvancedAgileJointsCommon", 1)</t>
  </si>
  <si>
    <t>Game.AddToInventory("Items.AdvancedAgileJointsCommon2", 1)</t>
  </si>
  <si>
    <t>Game.AddToInventory("Items.AdvancedAgileJointsCommonPlus", 1)</t>
  </si>
  <si>
    <t>Game.AddToInventory("Items.AdvancedAgileJointsCommon2Plus", 1)</t>
  </si>
  <si>
    <t>Game.AddToInventory("Items.AdvancedAgileJointsUncommon2", 1)</t>
  </si>
  <si>
    <t>Game.AddToInventory("Items.AdvancedAgileJointsUncommon", 1)</t>
  </si>
  <si>
    <t>Game.AddToInventory("Items.AdvancedAgileJointsUncommon2Plus", 1)</t>
  </si>
  <si>
    <t>Game.AddToInventory("Items.AdvancedAgileJointsUncommonPlus", 1)</t>
  </si>
  <si>
    <t>Game.AddToInventory("Items.AdvancedAgileJointsRare2", 1)</t>
  </si>
  <si>
    <t>Game.AddToInventory("Items.AdvancedAgileJointsRare", 1)</t>
  </si>
  <si>
    <t>Game.AddToInventory("Items.AdvancedAgileJointsRare2Plus", 1)</t>
  </si>
  <si>
    <t>Game.AddToInventory("Items.AdvancedAgileJointsRarePlus", 1)</t>
  </si>
  <si>
    <t>Game.AddToInventory("Items.AdvancedAgileJointsEpic2", 1)</t>
  </si>
  <si>
    <t>Game.AddToInventory("Items.AdvancedAgileJointsEpic", 1)</t>
  </si>
  <si>
    <t>Game.AddToInventory("Items.AdvancedAgileJointsEpic2Plus", 1)</t>
  </si>
  <si>
    <t>Game.AddToInventory("Items.AdvancedAgileJointsEpicPlus", 1)</t>
  </si>
  <si>
    <t>Game.AddToInventory("Items.AdvancedAgileJointsLegendary", 1)</t>
  </si>
  <si>
    <t>Game.AddToInventory("Items.AdvancedAgileJointsLegendary2", 1)</t>
  </si>
  <si>
    <t>Game.AddToInventory("Items.AdvancedAgileJointsLegendary2Plus", 1)</t>
  </si>
  <si>
    <t>Game.AddToInventory("Items.AdvancedAgileJointsLegendaryPlus", 1)</t>
  </si>
  <si>
    <t>Game.AddToInventory("Items.AdvancedAgileJointsLegendary2PlusPlus", 1)</t>
  </si>
  <si>
    <t>Game.AddToInventory("Items.AdvancedAgileJointsLegendaryPlusPlus", 1)</t>
  </si>
  <si>
    <t>Stabber</t>
  </si>
  <si>
    <t>Game.AddToInventory("Items.AdvancedOilDispenserCommon", 1)</t>
  </si>
  <si>
    <t>Game.AddToInventory("Items.AdvancedOilDispenserCommonPlus", 1)</t>
  </si>
  <si>
    <t>Game.AddToInventory("Items.AdvancedOilDispenserUncommon", 1)</t>
  </si>
  <si>
    <t>Game.AddToInventory("Items.AdvancedOilDispenserUncommonPlus", 1)</t>
  </si>
  <si>
    <t>Game.AddToInventory("Items.AdvancedOilDispenserRare", 1)</t>
  </si>
  <si>
    <t>Game.AddToInventory("Items.AdvancedOilDispenserRarePlus", 1)</t>
  </si>
  <si>
    <t>Game.AddToInventory("Items.AdvancedOilDispenserEpic", 1)</t>
  </si>
  <si>
    <t>Game.AddToInventory("Items.AdvancedOilDispenserEpicPlus", 1)</t>
  </si>
  <si>
    <t>Game.AddToInventory("Items.AdvancedOilDispenserLegendary", 1)</t>
  </si>
  <si>
    <t>Game.AddToInventory("Items.AdvancedOilDispenserLegendaryPlus", 1)</t>
  </si>
  <si>
    <t>Game.AddToInventory("Items.AdvancedOilDispenserLegendaryPlusPlus", 1)</t>
  </si>
  <si>
    <t>Subdermal Armor</t>
  </si>
  <si>
    <t>Game.AddToInventory("Items.AdvancedBoringPlatingCommon", 1)</t>
  </si>
  <si>
    <t>Game.AddToInventory("Items.AdvancedBoringPlating_Q001", 1)</t>
  </si>
  <si>
    <t>Game.AddToInventory("Items.AdvancedBoringPlatingCommonPlus", 1)</t>
  </si>
  <si>
    <t>Game.AddToInventory("Items.AdvancedBoringPlating_Tutorial_CommonPlus", 1)</t>
  </si>
  <si>
    <t>Game.AddToInventory("Items.AdvancedBoringPlating_Tutorial_Uncommon", 1)</t>
  </si>
  <si>
    <t>Game.AddToInventory("Items.AdvancedBoringPlatingUncommon", 1)</t>
  </si>
  <si>
    <t>Game.AddToInventory("Items.AdvancedBoringPlating_Tutorial_UncommonPlus", 1)</t>
  </si>
  <si>
    <t>Game.AddToInventory("Items.AdvancedBoringPlatingUncommonPlus", 1)</t>
  </si>
  <si>
    <t>Game.AddToInventory("Items.AdvancedBoringPlating_Tutorial_Rare", 1)</t>
  </si>
  <si>
    <t>Game.AddToInventory("Items.AdvancedBoringPlatingRare", 1)</t>
  </si>
  <si>
    <t>Game.AddToInventory("Items.AdvancedBoringPlating_Tutorial_RarePlus", 1)</t>
  </si>
  <si>
    <t>Game.AddToInventory("Items.AdvancedBoringPlatingRarePlus", 1)</t>
  </si>
  <si>
    <t>Game.AddToInventory("Items.AdvancedBoringPlating_Tutorial_Epic", 1)</t>
  </si>
  <si>
    <t>Game.AddToInventory("Items.AdvancedBoringPlatingEpic", 1)</t>
  </si>
  <si>
    <t>Game.AddToInventory("Items.AdvancedBoringPlating_Tutorial_EpicPlus", 1)</t>
  </si>
  <si>
    <t>Game.AddToInventory("Items.AdvancedBoringPlatingEpicPlus", 1)</t>
  </si>
  <si>
    <t>Game.AddToInventory("Items.AdvancedBoringPlating_Tutorial_Legendary", 1)</t>
  </si>
  <si>
    <t>Game.AddToInventory("Items.AdvancedBoringPlatingLegendary", 1)</t>
  </si>
  <si>
    <t>Game.AddToInventory("Items.AdvancedBoringPlating_Tutorial_LegendaryPlus", 1)</t>
  </si>
  <si>
    <t>Game.AddToInventory("Items.AdvancedBoringPlatingLegendaryPlus", 1)</t>
  </si>
  <si>
    <t>Game.AddToInventory("Items.AdvancedBoringPlating_Tutorial_LegendaryPlusPlus", 1)</t>
  </si>
  <si>
    <t>Game.AddToInventory("Items.AdvancedBoringPlatingLegendaryPlusPlus", 1)</t>
  </si>
  <si>
    <t>Suicide</t>
  </si>
  <si>
    <t>Game.AddToInventory("Items.SuicideLvl3Program", 1)</t>
  </si>
  <si>
    <t>Game.AddToInventory("Items.SuicideLvl4Program", 1)</t>
  </si>
  <si>
    <t>Game.AddToInventory("Items.SuicideLvl4PlusPlusProgram", 1)</t>
  </si>
  <si>
    <t>Synapse Burnout</t>
  </si>
  <si>
    <t>Game.AddToInventory("Items.BrainMeltLvl2Program", 1)</t>
  </si>
  <si>
    <t>Game.AddToInventory("Items.BrainMeltLvl3Program", 1)</t>
  </si>
  <si>
    <t>Game.AddToInventory("Items.BrainMeltLvl4Program", 1)</t>
  </si>
  <si>
    <t>Game.AddToInventory("Items.BrainMeltLvl4PlusPlusProgram", 1)</t>
  </si>
  <si>
    <t>Synaptic Accelerator</t>
  </si>
  <si>
    <t>Game.AddToInventory("Items.AdvancedSynapticAcceleratorCommon", 1)</t>
  </si>
  <si>
    <t>Game.AddToInventory("Items.AdvancedSynapticAcceleratorCommonPlus", 1)</t>
  </si>
  <si>
    <t>Game.AddToInventory("Items.AdvancedSynapticAcceleratorUncommon", 1)</t>
  </si>
  <si>
    <t>Game.AddToInventory("Items.AdvancedSynapticAcceleratorUncommonPlus", 1)</t>
  </si>
  <si>
    <t>Game.AddToInventory("Items.AdvancedSynapticAcceleratorRare", 1)</t>
  </si>
  <si>
    <t>Game.AddToInventory("Items.AdvancedSynapticAcceleratorRarePlus", 1)</t>
  </si>
  <si>
    <t>Game.AddToInventory("Items.AdvancedSynapticAcceleratorEpic", 1)</t>
  </si>
  <si>
    <t>Game.AddToInventory("Items.AdvancedSynapticAcceleratorEpicPlus", 1)</t>
  </si>
  <si>
    <t>Game.AddToInventory("Items.AdvancedSynapticAcceleratorLegendary", 1)</t>
  </si>
  <si>
    <t>Game.AddToInventory("Items.AdvancedSynapticAcceleratorLegendaryPlus", 1)</t>
  </si>
  <si>
    <t>Game.AddToInventory("Items.AdvancedSynapticAcceleratorLegendaryPlusPlus", 1)</t>
  </si>
  <si>
    <t>System Collapse</t>
  </si>
  <si>
    <t>Game.AddToInventory("Items.SystemCollapseLvl3Program", 1)</t>
  </si>
  <si>
    <t>Game.AddToInventory("Items.SystemCollapseLvl4Program", 1)</t>
  </si>
  <si>
    <t>Game.AddToInventory("Items.SystemCollapseLvl4PlusPlusProgram", 1)</t>
  </si>
  <si>
    <t>Tattoo: Johnny's Special</t>
  </si>
  <si>
    <t>Game.AddToInventory("Items.AdvancedCasiusTattoo", 1)</t>
  </si>
  <si>
    <t>Game.AddToInventory("Items.AdvancedCasiusTattooPlus", 1)</t>
  </si>
  <si>
    <t>Game.AddToInventory("Items.AdvancedCasiusTattooRare", 1)</t>
  </si>
  <si>
    <t>Game.AddToInventory("Items.AdvancedCasiusTattooEpic", 1)</t>
  </si>
  <si>
    <t>Game.AddToInventory("Items.AdvancedCasiusTattooLegendary", 1)</t>
  </si>
  <si>
    <t>Tattoo: Together Forever</t>
  </si>
  <si>
    <t>Game.AddToInventory("Items.AdvancedSilverhandTattoo", 1)</t>
  </si>
  <si>
    <t>Game.AddToInventory("Items.AdvancedSilverhandTattooPlus", 1)</t>
  </si>
  <si>
    <t>Game.AddToInventory("Items.AdvancedSilverhandTattooRare", 1)</t>
  </si>
  <si>
    <t>Game.AddToInventory("Items.AdvancedSilverhandTattooEpic", 1)</t>
  </si>
  <si>
    <t>Game.AddToInventory("Items.AdvancedSilverhandTattooLegendary", 1)</t>
  </si>
  <si>
    <t>Tattoo: Tyger Claws Dermal Imprint</t>
  </si>
  <si>
    <t>Game.AddToInventory("Items.AdvancedYakuzaTattooPlus", 1)</t>
  </si>
  <si>
    <t>Game.AddToInventory("Items.YakuzaTattoo", 1)</t>
  </si>
  <si>
    <t>Game.AddToInventory("Items.AdvancedYakuzaTattoo", 1)</t>
  </si>
  <si>
    <t>Game.AddToInventory("Items.AdvancedYakuzaTattooUncommon", 1)</t>
  </si>
  <si>
    <t>Game.AddToInventory("Items.AdvancedYakuzaTattooUncommonPlus", 1)</t>
  </si>
  <si>
    <t>Game.AddToInventory("Items.AdvancedYakuzaTattooRare", 1)</t>
  </si>
  <si>
    <t>Game.AddToInventory("Items.AdvancedYakuzaTattooRarePlus", 1)</t>
  </si>
  <si>
    <t>Game.AddToInventory("Items.AdvancedYakuzaTattooEpic", 1)</t>
  </si>
  <si>
    <t>Game.AddToInventory("Items.AdvancedYakuzaTattooEpicPlus", 1)</t>
  </si>
  <si>
    <t>Game.AddToInventory("Items.AdvancedYakuzaTattooLegendary", 1)</t>
  </si>
  <si>
    <t>Game.AddToInventory("Items.AdvancedYakuzaTattooLegendaryPlus", 1)</t>
  </si>
  <si>
    <t>Game.AddToInventory("Items.AdvancedYakuzaTattooLegendaryPlusPlus", 1)</t>
  </si>
  <si>
    <t>Tetratronic Rippler Mk.1</t>
  </si>
  <si>
    <t>Game.AddToInventory("Items.AdvancedTetratronicRipplerMKICommon", 1)</t>
  </si>
  <si>
    <t>Game.AddToInventory("Items.AdvancedTetratronicRipplerMKICommonPlus", 1)</t>
  </si>
  <si>
    <t>Tetratronic Rippler Mk.2</t>
  </si>
  <si>
    <t>Game.AddToInventory("Items.AdvancedTetratronicRipplerMKIIUncommon", 1)</t>
  </si>
  <si>
    <t>Game.AddToInventory("Items.AdvancedTetratronicRipplerMKIIUncommonPlus", 1)</t>
  </si>
  <si>
    <t>Tetratronic Rippler Mk.3</t>
  </si>
  <si>
    <t>Game.AddToInventory("Items.AdvancedTetratronicRipplerMKIIIRare", 1)</t>
  </si>
  <si>
    <t>Game.AddToInventory("Items.Hard_20_Intelligence_Cyberdeck", 1)</t>
  </si>
  <si>
    <t>Game.AddToInventory("Items.Weak_30_Cyberdeck", 1)</t>
  </si>
  <si>
    <t>Game.AddToInventory("Items.AdvancedTetratronicRipplerMKIIIRarePlus", 1)</t>
  </si>
  <si>
    <t>Tetratronic Rippler Mk.4</t>
  </si>
  <si>
    <t>Game.AddToInventory("Items.AdvancedTetratronicRipplerMKIVEpic", 1)</t>
  </si>
  <si>
    <t>Game.AddToInventory("Items.AdvancedTetratronicRipplerMKIVEpicPlus", 1)</t>
  </si>
  <si>
    <t>Tetratronic Rippler Mk.5</t>
  </si>
  <si>
    <t>Game.AddToInventory("Items.AdvancedTetratronicRipplerMKVLegendary", 1)</t>
  </si>
  <si>
    <t>Game.AddToInventory("Items.AdvancedTetratronicRipplerMKVLegendaryPlus", 1)</t>
  </si>
  <si>
    <t>Game.AddToInventory("Items.AdvancedTetratronicRipplerMKVLegendaryPlusPlus", 1)</t>
  </si>
  <si>
    <t>Thermal Gorilla Arms</t>
  </si>
  <si>
    <t>Game.AddToInventory("Items.AdvancedStrongArmsThermalUncommon", 1)</t>
  </si>
  <si>
    <t>Game.AddToInventory("Items.AdvancedStrongArmsThermalUncommonPlus", 1)</t>
  </si>
  <si>
    <t>Game.AddToInventory("Items.AdvancedStrongArmsThermalRare", 1)</t>
  </si>
  <si>
    <t>Game.AddToInventory("Items.AdvancedStrongArmsThermalRarePlus", 1)</t>
  </si>
  <si>
    <t>Game.AddToInventory("Items.AdvancedStrongArmsThermalEpic", 1)</t>
  </si>
  <si>
    <t>Game.AddToInventory("Items.AdvancedStrongArmsThermalEpicPlus", 1)</t>
  </si>
  <si>
    <t>Game.AddToInventory("Items.AdvancedStrongArmsThermalLegendary", 1)</t>
  </si>
  <si>
    <t>Game.AddToInventory("Items.AdvancedStrongArmsThermalLegendaryPlus", 1)</t>
  </si>
  <si>
    <t>Game.AddToInventory("Items.AdvancedStrongArmsThermalLegendaryPlusPlus", 1)</t>
  </si>
  <si>
    <t>Thermal Mantis Blades</t>
  </si>
  <si>
    <t>Game.AddToInventory("Items.AdvancedMantisBladesThermalUncommon", 1)</t>
  </si>
  <si>
    <t>Game.AddToInventory("Items.AdvancedMantisBladesThermalUncommonPlus", 1)</t>
  </si>
  <si>
    <t>Game.AddToInventory("Items.AdvancedMantisBladesThermalRare", 1)</t>
  </si>
  <si>
    <t>Game.AddToInventory("Items.AdvancedMantisBladesThermalRarePlus", 1)</t>
  </si>
  <si>
    <t>Game.AddToInventory("Items.AdvancedMantisBladesThermalEpic", 1)</t>
  </si>
  <si>
    <t>Game.AddToInventory("Items.AdvancedMantisBladesThermalEpicPlus", 1)</t>
  </si>
  <si>
    <t>Game.AddToInventory("Items.AdvancedMantisBladesThermalLegendary", 1)</t>
  </si>
  <si>
    <t>Game.AddToInventory("Items.AdvancedMantisBladesThermalLegendaryPlus", 1)</t>
  </si>
  <si>
    <t>Game.AddToInventory("Items.AdvancedMantisBladesThermalLegendaryPlusPlus", 1)</t>
  </si>
  <si>
    <t>Thermal Monowire</t>
  </si>
  <si>
    <t>Game.AddToInventory("Items.AdvancedNanoWiresThermalUncommon", 1)</t>
  </si>
  <si>
    <t>Game.AddToInventory("Items.AdvancedNanoWiresThermalUncommonPlus", 1)</t>
  </si>
  <si>
    <t>Game.AddToInventory("Items.AdvancedNanoWiresThermalRare", 1)</t>
  </si>
  <si>
    <t>Game.AddToInventory("Items.AdvancedNanoWiresThermalRarePlus", 1)</t>
  </si>
  <si>
    <t>Game.AddToInventory("Items.AdvancedNanoWiresThermalEpic", 1)</t>
  </si>
  <si>
    <t>Game.AddToInventory("Items.AdvancedNanoWiresThermalEpicPlus", 1)</t>
  </si>
  <si>
    <t>Game.AddToInventory("Items.AdvancedNanoWiresThermalLegendary", 1)</t>
  </si>
  <si>
    <t>Game.AddToInventory("Items.AdvancedNanoWiresThermalLegendaryPlus", 1)</t>
  </si>
  <si>
    <t>Game.AddToInventory("Items.AdvancedNanoWiresThermalLegendaryPlusPlus", 1)</t>
  </si>
  <si>
    <t>Thermal Projectile Launch System</t>
  </si>
  <si>
    <t>Game.AddToInventory("Items.AdvancedProjectileLauncherThermalUncommon", 1)</t>
  </si>
  <si>
    <t>Game.AddToInventory("Items.AdvancedProjectileLauncherThermalUncommonPlus", 1)</t>
  </si>
  <si>
    <t>Game.AddToInventory("Items.AdvancedProjectileLauncherThermalRare", 1)</t>
  </si>
  <si>
    <t>Game.AddToInventory("Items.AdvancedProjectileLauncherThermalRarePlus", 1)</t>
  </si>
  <si>
    <t>Game.AddToInventory("Items.AdvancedProjectileLauncherThermalEpic", 1)</t>
  </si>
  <si>
    <t>Game.AddToInventory("Items.AdvancedProjectileLauncherThermalEpicPlus", 1)</t>
  </si>
  <si>
    <t>Game.AddToInventory("Items.AdvancedProjectileLauncherThermalLegendary", 1)</t>
  </si>
  <si>
    <t>Game.AddToInventory("Items.AdvancedProjectileLauncherThermalLegendaryPlus", 1)</t>
  </si>
  <si>
    <t>Game.AddToInventory("Items.AdvancedProjectileLauncherThermalLegendaryPlusPlus", 1)</t>
  </si>
  <si>
    <t>Threatevac</t>
  </si>
  <si>
    <t>Game.AddToInventory("Items.AdvancedCatchMeIfYouCanCommon", 1)</t>
  </si>
  <si>
    <t>Game.AddToInventory("Items.AdvancedCatchMeIfYouCanCommonPlus", 1)</t>
  </si>
  <si>
    <t>Game.AddToInventory("Items.AdvancedCatchMeIfYouCanUncommon", 1)</t>
  </si>
  <si>
    <t>Game.AddToInventory("Items.AdvancedCatchMeIfYouCanUncommonPlus", 1)</t>
  </si>
  <si>
    <t>Game.AddToInventory("Items.AdvancedCatchMeIfYouCanRare", 1)</t>
  </si>
  <si>
    <t>Game.AddToInventory("Items.AdvancedCatchMeIfYouCanRarePlus", 1)</t>
  </si>
  <si>
    <t>Game.AddToInventory("Items.AdvancedCatchMeIfYouCanEpic", 1)</t>
  </si>
  <si>
    <t>Game.AddToInventory("Items.AdvancedCatchMeIfYouCanEpicPlus", 1)</t>
  </si>
  <si>
    <t>Game.AddToInventory("Items.AdvancedCatchMeIfYouCanLegendary", 1)</t>
  </si>
  <si>
    <t>Game.AddToInventory("Items.AdvancedCatchMeIfYouCanLegendaryPlus", 1)</t>
  </si>
  <si>
    <t>Game.AddToInventory("Items.AdvancedCatchMeIfYouCanLegendaryPlusPlus", 1)</t>
  </si>
  <si>
    <t>Titanium Bones</t>
  </si>
  <si>
    <t>Game.AddToInventory("Items.AdvancedTitaniumInfusedBonesCommon", 1)</t>
  </si>
  <si>
    <t>Game.AddToInventory("Items.AdvancedTitaniumInfusedBonesCommon2", 1)</t>
  </si>
  <si>
    <t>Game.AddToInventory("Items.AdvancedTitaniumInfusedBonesCommonPlus", 1)</t>
  </si>
  <si>
    <t>Game.AddToInventory("Items.AdvancedTitaniumInfusedBonesCommon2Plus", 1)</t>
  </si>
  <si>
    <t>Game.AddToInventory("Items.AdvancedTitaniumInfusedBonesUncommon2", 1)</t>
  </si>
  <si>
    <t>Game.AddToInventory("Items.AdvancedTitaniumInfusedBonesUncommon", 1)</t>
  </si>
  <si>
    <t>Game.AddToInventory("Items.AdvancedTitaniumInfusedBonesUncommon2Plus", 1)</t>
  </si>
  <si>
    <t>Game.AddToInventory("Items.AdvancedTitaniumInfusedBonesUncommonPlus", 1)</t>
  </si>
  <si>
    <t>Game.AddToInventory("Items.AdvancedTitaniumInfusedBonesRare2", 1)</t>
  </si>
  <si>
    <t>Game.AddToInventory("Items.AdvancedTitaniumInfusedBonesRare", 1)</t>
  </si>
  <si>
    <t>Game.AddToInventory("Items.AdvancedTitaniumInfusedBonesRare2Plus", 1)</t>
  </si>
  <si>
    <t>Game.AddToInventory("Items.AdvancedTitaniumInfusedBonesRarePlus", 1)</t>
  </si>
  <si>
    <t>Game.AddToInventory("Items.AdvancedTitaniumInfusedBonesEpic2", 1)</t>
  </si>
  <si>
    <t>Game.AddToInventory("Items.AdvancedTitaniumInfusedBonesEpic", 1)</t>
  </si>
  <si>
    <t>Game.AddToInventory("Items.AdvancedTitaniumInfusedBonesEpic2Plus", 1)</t>
  </si>
  <si>
    <t>Game.AddToInventory("Items.AdvancedTitaniumInfusedBonesEpicPlus", 1)</t>
  </si>
  <si>
    <t>Game.AddToInventory("Items.AdvancedTitaniumInfusedBonesLegendary", 1)</t>
  </si>
  <si>
    <t>Game.AddToInventory("Items.AdvancedTitaniumInfusedBonesLegendary2", 1)</t>
  </si>
  <si>
    <t>Game.AddToInventory("Items.AdvancedTitaniumInfusedBonesLegendary2Plus", 1)</t>
  </si>
  <si>
    <t>Game.AddToInventory("Items.AdvancedTitaniumInfusedBonesLegendaryPlus", 1)</t>
  </si>
  <si>
    <t>Game.AddToInventory("Items.AdvancedTitaniumInfusedBonesLegendary2PlusPlus", 1)</t>
  </si>
  <si>
    <t>Game.AddToInventory("Items.AdvancedTitaniumInfusedBonesLegendaryPlusPlus", 1)</t>
  </si>
  <si>
    <t>Toxic Gorilla Arms</t>
  </si>
  <si>
    <t>Game.AddToInventory("Items.AdvancedStrongArmsChemicalUncommon", 1)</t>
  </si>
  <si>
    <t>Game.AddToInventory("Items.AdvancedStrongArmsChemicalUncommonPlus", 1)</t>
  </si>
  <si>
    <t>Game.AddToInventory("Items.AdvancedStrongArmsChemicalRare", 1)</t>
  </si>
  <si>
    <t>Game.AddToInventory("Items.AdvancedStrongArmsChemicalRarePlus", 1)</t>
  </si>
  <si>
    <t>Game.AddToInventory("Items.AdvancedStrongArmsChemicalEpic", 1)</t>
  </si>
  <si>
    <t>Game.AddToInventory("Items.AdvancedStrongArmsChemicalEpicPlus", 1)</t>
  </si>
  <si>
    <t>Game.AddToInventory("Items.AdvancedStrongArmsChemicalLegendary", 1)</t>
  </si>
  <si>
    <t>Game.AddToInventory("Items.AdvancedStrongArmsChemicalLegendaryPlus", 1)</t>
  </si>
  <si>
    <t>Game.AddToInventory("Items.AdvancedStrongArmsChemicalLegendaryPlusPlus", 1)</t>
  </si>
  <si>
    <t>Toxic Mantis Blades</t>
  </si>
  <si>
    <t>Game.AddToInventory("Items.AdvancedMantisBladesChemicalUncommon", 1)</t>
  </si>
  <si>
    <t>Game.AddToInventory("Items.AdvancedMantisBladesChemicalUncommonPlus", 1)</t>
  </si>
  <si>
    <t>Game.AddToInventory("Items.AdvancedMantisBladesChemicalRare", 1)</t>
  </si>
  <si>
    <t>Game.AddToInventory("Items.AdvancedMantisBladesChemicalRarePlus", 1)</t>
  </si>
  <si>
    <t>Game.AddToInventory("Items.AdvancedMantisBladesChemicalEpic", 1)</t>
  </si>
  <si>
    <t>Game.AddToInventory("Items.AdvancedMantisBladesChemicalEpicPlus", 1)</t>
  </si>
  <si>
    <t>Game.AddToInventory("Items.AdvancedMantisBladesChemicalLegendary", 1)</t>
  </si>
  <si>
    <t>Game.AddToInventory("Items.AdvancedMantisBladesChemicalLegendaryPlus", 1)</t>
  </si>
  <si>
    <t>Game.AddToInventory("Items.AdvancedMantisBladesChemicalLegendaryPlusPlus", 1)</t>
  </si>
  <si>
    <t>Toxic Monowire</t>
  </si>
  <si>
    <t>Game.AddToInventory("Items.AdvancedNanoWiresChemicalUncommon", 1)</t>
  </si>
  <si>
    <t>Game.AddToInventory("Items.AdvancedNanoWiresChemicalUncommonPlus", 1)</t>
  </si>
  <si>
    <t>Game.AddToInventory("Items.AdvancedNanoWiresChemicalRare", 1)</t>
  </si>
  <si>
    <t>Game.AddToInventory("Items.AdvancedNanoWiresChemicalRarePlus", 1)</t>
  </si>
  <si>
    <t>Game.AddToInventory("Items.AdvancedNanoWiresChemicalEpic", 1)</t>
  </si>
  <si>
    <t>Game.AddToInventory("Items.AdvancedNanoWiresChemicalEpicPlus", 1)</t>
  </si>
  <si>
    <t>Game.AddToInventory("Items.AdvancedNanoWiresChemicalLegendary", 1)</t>
  </si>
  <si>
    <t>Game.AddToInventory("Items.AdvancedNanoWiresChemicalLegendaryPlus", 1)</t>
  </si>
  <si>
    <t>Game.AddToInventory("Items.VHard_50_IntRef_Monowire", 1)</t>
  </si>
  <si>
    <t>Game.AddToInventory("Items.AdvancedNanoWiresChemicalLegendaryPlusPlus", 1)</t>
  </si>
  <si>
    <t>Toxic Projectile Launch System</t>
  </si>
  <si>
    <t>Game.AddToInventory("Items.AdvancedProjectileLauncherChemicalUncommon", 1)</t>
  </si>
  <si>
    <t>Game.AddToInventory("Items.AdvancedProjectileLauncherChemicalUncommonPlus", 1)</t>
  </si>
  <si>
    <t>Game.AddToInventory("Items.AdvancedProjectileLauncherChemicalRare", 1)</t>
  </si>
  <si>
    <t>Game.AddToInventory("Items.AdvancedProjectileLauncherChemicalRarePlus", 1)</t>
  </si>
  <si>
    <t>Game.AddToInventory("Items.AdvancedProjectileLauncherChemicalEpic", 1)</t>
  </si>
  <si>
    <t>Game.AddToInventory("Items.AdvancedProjectileLauncherChemicalEpicPlus", 1)</t>
  </si>
  <si>
    <t>Game.AddToInventory("Items.AdvancedProjectileLauncherChemicalLegendary", 1)</t>
  </si>
  <si>
    <t>Game.AddToInventory("Items.AdvancedProjectileLauncherChemicalLegendaryPlus", 1)</t>
  </si>
  <si>
    <t>Game.AddToInventory("Items.AdvancedProjectileLauncherChemicalLegendaryPlusPlus", 1)</t>
  </si>
  <si>
    <t>Tyrosine Injector</t>
  </si>
  <si>
    <t>Game.AddToInventory("Items.AdvancedTyrosineInjectorCommon", 1)</t>
  </si>
  <si>
    <t>Game.AddToInventory("Items.AdvancedTyrosineInjectorCommonPlus", 1)</t>
  </si>
  <si>
    <t>Game.AddToInventory("Items.AdvancedTyrosineInjectorUncommon", 1)</t>
  </si>
  <si>
    <t>Game.AddToInventory("Items.AdvancedTyrosineInjectorUncommonPlus", 1)</t>
  </si>
  <si>
    <t>Game.AddToInventory("Items.AdvancedTyrosineInjectorRare", 1)</t>
  </si>
  <si>
    <t>Game.AddToInventory("Items.AdvancedTyrosineInjectorRarePlus", 1)</t>
  </si>
  <si>
    <t>Game.AddToInventory("Items.AdvancedTyrosineInjectorEpic", 1)</t>
  </si>
  <si>
    <t>Game.AddToInventory("Items.AdvancedTyrosineInjectorEpicPlus", 1)</t>
  </si>
  <si>
    <t>Game.AddToInventory("Items.AdvancedTyrosineInjectorLegendary", 1)</t>
  </si>
  <si>
    <t>Game.AddToInventory("Items.AdvancedTyrosineInjectorLegendaryPlus", 1)</t>
  </si>
  <si>
    <t>Game.AddToInventory("Items.AdvancedTyrosineInjectorLegendaryPlusPlus", 1)</t>
  </si>
  <si>
    <t>Universal Booster</t>
  </si>
  <si>
    <t>Game.AddToInventory("Items.AdvancedPainDistributorCommon2", 1)</t>
  </si>
  <si>
    <t>Game.AddToInventory("Items.AdvancedPainDistributorCommon", 1)</t>
  </si>
  <si>
    <t>Game.AddToInventory("Items.AdvancedPainDistributorUncommon2", 1)</t>
  </si>
  <si>
    <t>Game.AddToInventory("Items.AdvancedPainDistributorUncommon", 1)</t>
  </si>
  <si>
    <t>Game.AddToInventory("Items.AdvancedPainDistributorRare2", 1)</t>
  </si>
  <si>
    <t>Game.AddToInventory("Items.AdvancedPainDistributorRare", 1)</t>
  </si>
  <si>
    <t>Game.AddToInventory("Items.AdvancedPainDistributorRare2Plus", 1)</t>
  </si>
  <si>
    <t>Game.AddToInventory("Items.AdvancedPainDistributorRarePlus", 1)</t>
  </si>
  <si>
    <t>Game.AddToInventory("Items.AdvancedPainDistributorEpic2", 1)</t>
  </si>
  <si>
    <t>Game.AddToInventory("Items.AdvancedPainDistributorEpic", 1)</t>
  </si>
  <si>
    <t>Game.AddToInventory("Items.AdvancedPainDistributorEpic2Plus", 1)</t>
  </si>
  <si>
    <t>Game.AddToInventory("Items.AdvancedPainDistributorEpicPlus", 1)</t>
  </si>
  <si>
    <t>Game.AddToInventory("Items.AdvancedPainDistributorLegendary", 1)</t>
  </si>
  <si>
    <t>Game.AddToInventory("Items.AdvancedPainDistributorLegendary2", 1)</t>
  </si>
  <si>
    <t>Game.AddToInventory("Items.AdvancedPainDistributorLegendary2Plus", 1)</t>
  </si>
  <si>
    <t>Game.AddToInventory("Items.AdvancedPainDistributorLegendaryPlus", 1)</t>
  </si>
  <si>
    <t>Game.AddToInventory("Items.AdvancedPainDistributorLegendary2PlusPlus", 1)</t>
  </si>
  <si>
    <t>Game.AddToInventory("Items.AdvancedPainDistributorLegendaryPlusPlus", 1)</t>
  </si>
  <si>
    <t>Visual Cortex Support</t>
  </si>
  <si>
    <t>Game.AddToInventory("Items.AdvancedVisualCortexSupportCommon", 1)</t>
  </si>
  <si>
    <t>Game.AddToInventory("Items.AdvancedVisualCortexSupportCommonPlus", 1)</t>
  </si>
  <si>
    <t>Game.AddToInventory("Items.AdvancedVisualCortexSupportUncommon", 1)</t>
  </si>
  <si>
    <t>Game.AddToInventory("Items.AdvancedVisualCortexSupportUncommonPlus", 1)</t>
  </si>
  <si>
    <t>Game.AddToInventory("Items.AdvancedVisualCortexSupportRare", 1)</t>
  </si>
  <si>
    <t>Game.AddToInventory("Items.AdvancedVisualCortexSupportRarePlus", 1)</t>
  </si>
  <si>
    <t>Game.AddToInventory("Items.AdvancedVisualCortexSupportEpic", 1)</t>
  </si>
  <si>
    <t>Game.AddToInventory("Items.AdvancedVisualCortexSupportEpicPlus", 1)</t>
  </si>
  <si>
    <t>Game.AddToInventory("Items.AdvancedVisualCortexSupportLegendary", 1)</t>
  </si>
  <si>
    <t>Game.AddToInventory("Items.AdvancedVisualCortexSupportLegendaryPlus", 1)</t>
  </si>
  <si>
    <t>Game.AddToInventory("Items.AdvancedVisualCortexSupportLegendaryPlusPlus", 1)</t>
  </si>
  <si>
    <t>Weapon Glitch</t>
  </si>
  <si>
    <t>Game.AddToInventory("Items.WeaponMalfunctionProgram", 1)</t>
  </si>
  <si>
    <t>Game.AddToInventory("Items.WeaponMalfunctionLvl2Program", 1)</t>
  </si>
  <si>
    <t>Game.AddToInventory("Items.WeaponMalfunctionLvl3Program", 1)</t>
  </si>
  <si>
    <t>Game.AddToInventory("Items.WeaponMalfunctionLvl4Program", 1)</t>
  </si>
  <si>
    <t>Game.AddToInventory("Items.WeaponMalfunctionLvl4PlusPlusProgram", 1)</t>
  </si>
  <si>
    <t>Whistle</t>
  </si>
  <si>
    <t>Game.AddToInventory("Items.WhistleLvl2Program", 1)</t>
  </si>
  <si>
    <t>Game.AddToInventory("Items.WhistleLvl3Program", 1)</t>
  </si>
  <si>
    <t>Zetatech Berserk</t>
  </si>
  <si>
    <t>Game.AddToInventory("Items.AdvancedBerserkC3MK3", 1)</t>
  </si>
  <si>
    <t>Game.AddToInventory("Items.AdvancedBerserkC3MK3Plus", 1)</t>
  </si>
  <si>
    <t>Game.AddToInventory("Items.AdvancedBerserkC3MK4", 1)</t>
  </si>
  <si>
    <t>Game.AddToInventory("Items.AdvancedBerserkC3MK4Plus", 1)</t>
  </si>
  <si>
    <t>Game.AddToInventory("Items.AdvancedBerserkC3MK5", 1)</t>
  </si>
  <si>
    <t>Game.AddToInventory("Items.AdvancedBerserkC3MK5Plus", 1)</t>
  </si>
  <si>
    <t>Game.AddToInventory("Items.AdvancedBerserkC3MK5PlusPlus", 1)</t>
  </si>
  <si>
    <t>Zetatech Sandevistan</t>
  </si>
  <si>
    <t>Game.AddToInventory("Items.AdvancedSandevistanC1MK1", 1)</t>
  </si>
  <si>
    <t>Game.AddToInventory("Items.AdvancedSandevistanC1MK1Plus", 1)</t>
  </si>
  <si>
    <t>Game.AddToInventory("Items.AdvancedSandevistanC1MK2", 1)</t>
  </si>
  <si>
    <t>Game.AddToInventory("Items.AdvancedSandevistanC1MK2Plus", 1)</t>
  </si>
  <si>
    <t>Game.AddToInventory("Items.AdvancedSandevistanC1MK3", 1)</t>
  </si>
  <si>
    <t>Game.AddToInventory("Items.AdvancedSandevistanC1MK3Plus", 1)</t>
  </si>
  <si>
    <t>Game.AddToInventory("Items.AdvancedSandevistanC1MK4", 1)</t>
  </si>
  <si>
    <t>Game.AddToInventory("Items.AdvancedSandevistanC1MK4Plus", 1)</t>
  </si>
  <si>
    <t>Game.AddToInventory("Items.AdvancedSandevistanC1MK4PlusPlus", 1)</t>
  </si>
  <si>
    <t>Covert</t>
  </si>
  <si>
    <t>Combat</t>
  </si>
  <si>
    <t>Control</t>
  </si>
  <si>
    <t>Ultimate</t>
  </si>
  <si>
    <t>old? replaced by bait?</t>
  </si>
  <si>
    <t>Style</t>
  </si>
  <si>
    <t>Faction</t>
  </si>
  <si>
    <t>10k Resolution Vr Goggles</t>
  </si>
  <si>
    <t>Game.AddToInventory("Items.Tech_03_rich_01", 1)</t>
  </si>
  <si>
    <t>10k/10k Water-Repellent Strapped Cargos</t>
  </si>
  <si>
    <t>Game.AddToInventory("Items.Pants_20_rich_01", 1)</t>
  </si>
  <si>
    <t>2x Electronic Rocker Goggles</t>
  </si>
  <si>
    <t>Game.AddToInventory("Items.Glasses_05_basic_04", 1)</t>
  </si>
  <si>
    <t>Kitsch</t>
  </si>
  <si>
    <t>Outer Torso</t>
  </si>
  <si>
    <t>4rmy L1f3 Aramio Jacket With Buckles</t>
  </si>
  <si>
    <t>Game.AddToInventory("Items.Jacket_19_rich_06", 1)</t>
  </si>
  <si>
    <t>Neomilitarism</t>
  </si>
  <si>
    <t>4th Wall Acting Pants</t>
  </si>
  <si>
    <t>Game.AddToInventory("Items.SQ023_Switchblade_Pants", 1)</t>
  </si>
  <si>
    <t>Entropism</t>
  </si>
  <si>
    <t>Inner Torso</t>
  </si>
  <si>
    <t>4th Wall Acting Shirt</t>
  </si>
  <si>
    <t>Game.AddToInventory("Items.SQ023_Switchblade_Shirt", 1)</t>
  </si>
  <si>
    <t>5hi3ld Superb Combatweave Aramid Breastplate</t>
  </si>
  <si>
    <t>Game.AddToInventory("Items.Vest_13_rich_04", 1)</t>
  </si>
  <si>
    <t>Neokitsch</t>
  </si>
  <si>
    <t>Game.AddToInventory("Items.Vest_13_rich_04_Crafting", 1)</t>
  </si>
  <si>
    <t>6th Street Armor-Plated Combat Jacket</t>
  </si>
  <si>
    <t>Game.AddToInventory("Items.Jacket_17_old_03", 1)</t>
  </si>
  <si>
    <t>6th Street Gang</t>
  </si>
  <si>
    <t>6th Street Cargo Pants</t>
  </si>
  <si>
    <t>Game.AddToInventory("Items.Pants_11_old_03", 1)</t>
  </si>
  <si>
    <t>6th Street Combat-Tailored Biker Coat</t>
  </si>
  <si>
    <t>Game.AddToInventory("Items.Coat_03_old_03", 1)</t>
  </si>
  <si>
    <t>6th Street Makeshift Ballistic Vest</t>
  </si>
  <si>
    <t>Game.AddToInventory("Items.Vest_03_old_02", 1)</t>
  </si>
  <si>
    <t>6th Street Rubber-Weave Shinos</t>
  </si>
  <si>
    <t>Game.AddToInventory("Items.Pants_10_basic_01", 1)</t>
  </si>
  <si>
    <t>6th Street Shoulder Straps</t>
  </si>
  <si>
    <t>Game.AddToInventory("Items.Vest_10_old_02", 1)</t>
  </si>
  <si>
    <t>Head</t>
  </si>
  <si>
    <t>6th Street Side Cap</t>
  </si>
  <si>
    <t>Game.AddToInventory("Items.Cap_05_old_01", 1)</t>
  </si>
  <si>
    <t>6th Street Tactical Harness</t>
  </si>
  <si>
    <t>Game.AddToInventory("Items.Vest_06_old_01", 1)</t>
  </si>
  <si>
    <t>6th Street Ultralight Windbreaker</t>
  </si>
  <si>
    <t>Game.AddToInventory("Items.Jacket_07_basic_02", 1)</t>
  </si>
  <si>
    <t>8l-Oody Tungsten-Steel Military Helmet</t>
  </si>
  <si>
    <t>Game.AddToInventory("Items.Helmet_02_rich_02", 1)</t>
  </si>
  <si>
    <t>N/A [Error]</t>
  </si>
  <si>
    <t>Feet</t>
  </si>
  <si>
    <t>Abendstern Polycarbonate Dress Wedges</t>
  </si>
  <si>
    <t>Game.AddToInventory("Items.FormalShoes_03_rich_01_Crafting", 1)</t>
  </si>
  <si>
    <t>Abrasion-Resistant Trickster Dress Shirt And Vest</t>
  </si>
  <si>
    <t>Game.AddToInventory("Items.FormalShirt_01_rich_02", 1)</t>
  </si>
  <si>
    <t>Acid-Proof Ballistic Mask</t>
  </si>
  <si>
    <t>Game.AddToInventory("Items.Mask_04_basic_02", 1)</t>
  </si>
  <si>
    <t>Acid-Resistant T-Shirt With Nonslip Print</t>
  </si>
  <si>
    <t>Game.AddToInventory("Items.Tshirt_12_basic_10", 1)</t>
  </si>
  <si>
    <t>Acrylic Ushanka</t>
  </si>
  <si>
    <t>Game.AddToInventory("Items.Hat_06_basic_04", 1)</t>
  </si>
  <si>
    <t>Adamant Army Reinforced Tactical Tank Top</t>
  </si>
  <si>
    <t>Game.AddToInventory("Items.TShirt_11_rich_01", 1)</t>
  </si>
  <si>
    <t>Corpo</t>
  </si>
  <si>
    <t>Adamant Road Composite-Reinforced Western Fringe Vest</t>
  </si>
  <si>
    <t>Game.AddToInventory("Items.Vest_18_rich_01", 1)</t>
  </si>
  <si>
    <t>Adaptive 4-Way Stretch Polyester Hoodie</t>
  </si>
  <si>
    <t>Game.AddToInventory("Items.Jacket_22_rich_01", 1)</t>
  </si>
  <si>
    <t>Adaptive Ballistic Mask With Magnetic Seal</t>
  </si>
  <si>
    <t>Game.AddToInventory("Items.Helmet_12_rich_01", 1)</t>
  </si>
  <si>
    <t>Adaptive Strapped Cargos With Anti-Glare Sequins</t>
  </si>
  <si>
    <t>Game.AddToInventory("Items.Pants_20_rich_04", 1)</t>
  </si>
  <si>
    <t>Adjustable Polymer Ballistic Mask</t>
  </si>
  <si>
    <t>Game.AddToInventory("Items.Mask_04_basic_03", 1)</t>
  </si>
  <si>
    <t>Adjustable Utility Chest Holster</t>
  </si>
  <si>
    <t>Game.AddToInventory("Items.Vest_24_basic_04", 1)</t>
  </si>
  <si>
    <t>Advanced Lightweight Polycarbonate Arasaka Helmet</t>
  </si>
  <si>
    <t>Game.AddToInventory("Items.Helmet_07_rich_01", 1)</t>
  </si>
  <si>
    <t>Advanced Remon Boostknit Field Jacket</t>
  </si>
  <si>
    <t>Game.AddToInventory("Items.Jacket_04_rich_01", 1)</t>
  </si>
  <si>
    <t>Aerodynamic Multi-Axis Carbon Fiber Helmet</t>
  </si>
  <si>
    <t>Game.AddToInventory("Items.Helmet_11_rich_01", 1)</t>
  </si>
  <si>
    <t>Aerotech Splicers With Bonded Seams</t>
  </si>
  <si>
    <t>Game.AddToInventory("Items.Pants_18_rich_04", 1)</t>
  </si>
  <si>
    <t>Outfit</t>
  </si>
  <si>
    <t>Afterlife Netrunning Suit</t>
  </si>
  <si>
    <t>Game.AddToInventory("Items.Q115_Afterlife_Netrunner", 1)</t>
  </si>
  <si>
    <t>Aguilar's Suit</t>
  </si>
  <si>
    <t>Game.AddToInventory("Items.MQ304_assassin_outfit", 1)</t>
  </si>
  <si>
    <t>Game.AddToInventory("Items.MQ304_assassin_outfit_ow", 1)</t>
  </si>
  <si>
    <t>Akai Oni Titanium Boostknit Menpo</t>
  </si>
  <si>
    <t>Game.AddToInventory("Items.Mask_03_rich_02", 1)</t>
  </si>
  <si>
    <t>Tyger Claws</t>
  </si>
  <si>
    <t>Alba Estiva Crop Sweater</t>
  </si>
  <si>
    <t>Game.AddToInventory("Items.Jacket_15_rich_01", 1)</t>
  </si>
  <si>
    <t>Aldecaldos Motorcycle Jacket</t>
  </si>
  <si>
    <t>Game.AddToInventory("Items.Jacket_09_old_01", 1)</t>
  </si>
  <si>
    <t>Nomad</t>
  </si>
  <si>
    <t>Aldecaldos Rally Bolero Jacket</t>
  </si>
  <si>
    <t>Game.AddToInventory("Items.Q114_Aldecaldo_Jacket", 1)</t>
  </si>
  <si>
    <t>Aluminum Mask</t>
  </si>
  <si>
    <t>Game.AddToInventory("Items.Mask_04_old_02", 1)</t>
  </si>
  <si>
    <t>Amber-04 Titanium-Plated Ballistic Vest</t>
  </si>
  <si>
    <t>Game.AddToInventory("Items.Vest_03_rich_01", 1)</t>
  </si>
  <si>
    <t>Amethyspeed Nanoplastic Rally Bolero</t>
  </si>
  <si>
    <t>Game.AddToInventory("Items.Jacket_10_basic_01", 1)</t>
  </si>
  <si>
    <t>Game.AddToInventory("Items.Weak_20_Cool_OuterTorso", 1)</t>
  </si>
  <si>
    <t>Amethyspeed Polycarbonate Utility Pants</t>
  </si>
  <si>
    <t>Game.AddToInventory("Items.Pants_09_basic_01", 1)</t>
  </si>
  <si>
    <t>Amethyst Punk Eazy-Breathe Knotted Tank</t>
  </si>
  <si>
    <t>Game.AddToInventory("Items.TShirt_08_rich_01", 1)</t>
  </si>
  <si>
    <t>Amikiri Sound Cutter</t>
  </si>
  <si>
    <t>Game.AddToInventory("Items.Q303_mask_h1", 1)</t>
  </si>
  <si>
    <t>Anhelo Blanco Puncture-Resistant Western Fringe Vest</t>
  </si>
  <si>
    <t>Game.AddToInventory("Items.Vest_18_rich_02", 1)</t>
  </si>
  <si>
    <t>Animals Heavy Composite-Plated Tactical Harness</t>
  </si>
  <si>
    <t>Game.AddToInventory("Items.Vest_06_rich_01", 1)</t>
  </si>
  <si>
    <t>Animals</t>
  </si>
  <si>
    <t>Animals Power-Absorbent Jumpsuit</t>
  </si>
  <si>
    <t>Game.AddToInventory("Items.Jumpsuit_01_basic_01", 1)</t>
  </si>
  <si>
    <t>Animals Reinforced Carbon-Fiber Shoulder Straps</t>
  </si>
  <si>
    <t>Game.AddToInventory("Items.Vest_10_rich_01", 1)</t>
  </si>
  <si>
    <t>Anti-Chem Synfabric Tank Top</t>
  </si>
  <si>
    <t>Game.AddToInventory("Items.TShirt_01_old_01", 1)</t>
  </si>
  <si>
    <t>Anti-Chem Winter Work Boots</t>
  </si>
  <si>
    <t>Game.AddToInventory("Items.Boots_11_old_01", 1)</t>
  </si>
  <si>
    <t>Anti-Corrosive Mask With Apochromatic Visor</t>
  </si>
  <si>
    <t>Game.AddToInventory("Items.Helmet_12_rich_02", 1)</t>
  </si>
  <si>
    <t>Anti-Frag Ballistic Mask Plated With Hardened Gold</t>
  </si>
  <si>
    <t>Game.AddToInventory("Items.Mask_04_rich_02", 1)</t>
  </si>
  <si>
    <t>Anti-Frag Ballistic Vest With 48-Layer Inlay</t>
  </si>
  <si>
    <t>Game.AddToInventory("Items.Vest_22_rich_03", 1)</t>
  </si>
  <si>
    <t>Anti-Frag Helmet With Fireproof Composite Layer</t>
  </si>
  <si>
    <t>Game.AddToInventory("Items.Helmet_11_basic_02", 1)</t>
  </si>
  <si>
    <t>Anti-Frag Modified Abs Helmet</t>
  </si>
  <si>
    <t>Game.AddToInventory("Items.Helmet_09_rich_02", 1)</t>
  </si>
  <si>
    <t>Game.AddToInventory("Items.VHard_50_TechCool_Head", 1)</t>
  </si>
  <si>
    <t>Anti-Glare Helmet With Spoiler</t>
  </si>
  <si>
    <t>Game.AddToInventory("Items.Helmet_09_rich_05", 1)</t>
  </si>
  <si>
    <t>Anti-Glare Technopolymer Arasaka Helmet</t>
  </si>
  <si>
    <t>Game.AddToInventory("Items.Helmet_07_rich_02", 1)</t>
  </si>
  <si>
    <t>Anti-Pierce Quilted Dermatoid Silkie</t>
  </si>
  <si>
    <t>Game.AddToInventory("Items.Coat_06_basic_02", 1)</t>
  </si>
  <si>
    <t>Anti-Piercing Tactical Chest Holster With Cooling Layer</t>
  </si>
  <si>
    <t>Game.AddToInventory("Items.Vest_24_rich_01", 1)</t>
  </si>
  <si>
    <t>Anti-Piercing Tactical Media Cargo Pants</t>
  </si>
  <si>
    <t>Game.AddToInventory("Items.Media_01_Set_Pants", 1)</t>
  </si>
  <si>
    <t>Media</t>
  </si>
  <si>
    <t>Anti-Piercing Trilayer Ballistic Hoodie</t>
  </si>
  <si>
    <t>Game.AddToInventory("Items.Jacket_22_rich_02", 1)</t>
  </si>
  <si>
    <t>Anti-Pilling Combat Hoodie With Heat-Resistant Panels</t>
  </si>
  <si>
    <t>Game.AddToInventory("Items.Jacket_22_basic_05", 1)</t>
  </si>
  <si>
    <t>Anti-Pilling Crawlers With Micropore Membrane</t>
  </si>
  <si>
    <t>Game.AddToInventory("Items.Pants_19_rich_04", 1)</t>
  </si>
  <si>
    <t>Anti-Pollutant Jacket With Silver Accents</t>
  </si>
  <si>
    <t>Game.AddToInventory("Items.Jacket_24_rich_03", 1)</t>
  </si>
  <si>
    <t>Anti-Puncture Cut-Off Shorts</t>
  </si>
  <si>
    <t>Game.AddToInventory("Items.Shorts_01_old_02", 1)</t>
  </si>
  <si>
    <t>The Mox</t>
  </si>
  <si>
    <t>Anti-Puncture Nanoweave Tongues</t>
  </si>
  <si>
    <t>Game.AddToInventory("Items.Hard_30_IntBody_Feet", 1)</t>
  </si>
  <si>
    <t>Game.AddToInventory("Items.Hard_30_Reflex_Feet", 1)</t>
  </si>
  <si>
    <t>Anti-Puncture Neotac Badge Pants With Composite Lining</t>
  </si>
  <si>
    <t>Game.AddToInventory("Items.Cop_01_Set_Pants", 1)</t>
  </si>
  <si>
    <t>Police</t>
  </si>
  <si>
    <t>Ncpd</t>
  </si>
  <si>
    <t>Anti-Shrapnel Hooded Bomber</t>
  </si>
  <si>
    <t>Game.AddToInventory("Items.Jacket_13_old_02", 1)</t>
  </si>
  <si>
    <t>Anti-Surge Technician's Half-Zip</t>
  </si>
  <si>
    <t>Game.AddToInventory("Items.Coat_05_basic_02", 1)</t>
  </si>
  <si>
    <t>Anti-Tear Graffiti Bandana</t>
  </si>
  <si>
    <t>Game.AddToInventory("Items.Scarf_01_old_01", 1)</t>
  </si>
  <si>
    <t>Antistatic Chem-Resistant Unitard</t>
  </si>
  <si>
    <t>Game.AddToInventory("Items.TightJumpsuit_02_basic_03", 1)</t>
  </si>
  <si>
    <t>Antisurge Ice-Protected Netrunner Infovisor</t>
  </si>
  <si>
    <t>Game.AddToInventory("Items.Netrunner_01_Set_Visor", 1)</t>
  </si>
  <si>
    <t>Netrunner</t>
  </si>
  <si>
    <t>Voodoo Boys</t>
  </si>
  <si>
    <t>Aoi Tora Enhanced Bd Wreath</t>
  </si>
  <si>
    <t>Game.AddToInventory("Items.Tech_02_basic_01", 1)</t>
  </si>
  <si>
    <t>Game.AddToInventory("Items.Tech_02_basic_01_Crafting", 1)</t>
  </si>
  <si>
    <t>Aqua Universe Luxe Aramid-Weave Shirt</t>
  </si>
  <si>
    <t>Game.AddToInventory("Items.LooseShirt_02_rich_01", 1)</t>
  </si>
  <si>
    <t>Game.AddToInventory("Items.Proficiency_LooseShirt_02_rich_01_Crafting", 1)</t>
  </si>
  <si>
    <t>Aramid Composite Ballistic Vest</t>
  </si>
  <si>
    <t>Game.AddToInventory("Items.Vest_22_basic_04", 1)</t>
  </si>
  <si>
    <t>Aramid Helmet With Antibacterial Lining</t>
  </si>
  <si>
    <t>Game.AddToInventory("Items.Helmet_08_rich_01", 1)</t>
  </si>
  <si>
    <t>Aramid Kuro Kabuto With Hardened Carbon-Fiber Exterior</t>
  </si>
  <si>
    <t>Game.AddToInventory("Items.Helmet_04_rich_01", 1)</t>
  </si>
  <si>
    <t>Game.AddToInventory("Items.VHard_50_RefTech_Head", 1)</t>
  </si>
  <si>
    <t>Aramid-Coated Deltajock Jacket</t>
  </si>
  <si>
    <t>Game.AddToInventory("Items.Jacket_20_basic_05", 1)</t>
  </si>
  <si>
    <t>Aramid-Enhanced High-Collar Military Vest</t>
  </si>
  <si>
    <t>Game.AddToInventory("Items.Vest_07_basic_01", 1)</t>
  </si>
  <si>
    <t>Aramid-Lined Street Shoes</t>
  </si>
  <si>
    <t>Game.AddToInventory("Items.CasualShoes_06_old_01", 1)</t>
  </si>
  <si>
    <t>Aramid-Weave Suit Jacket</t>
  </si>
  <si>
    <t>Game.AddToInventory("Items.FormalJacket_01_old_02", 1)</t>
  </si>
  <si>
    <t>Aramid-Weave Tactical Turtleneck</t>
  </si>
  <si>
    <t>Game.AddToInventory("Items.Shirt_02_old_01", 1)</t>
  </si>
  <si>
    <t>Game.AddToInventory("Items.VHard_50_RefBody_InnerToso", 1)</t>
  </si>
  <si>
    <t>Aramid-Weave Ten70 Sunset Jumpsuit</t>
  </si>
  <si>
    <t>Game.AddToInventory("Items.Jumpsuit_01_old_02", 1)</t>
  </si>
  <si>
    <t>Arasaka Cap With Camera</t>
  </si>
  <si>
    <t>Game.AddToInventory("Items.Cap_04_old_02", 1)</t>
  </si>
  <si>
    <t>Arasaka</t>
  </si>
  <si>
    <t>Game.AddToInventory("Items.VHard_50_IntTech_Head", 1)</t>
  </si>
  <si>
    <t>Arasaka Engineer Hardhat With Headset</t>
  </si>
  <si>
    <t>Game.AddToInventory("Items.Helmet_03_basic_02", 1)</t>
  </si>
  <si>
    <t>Arasaka Formal Jacket With Light Armorplating</t>
  </si>
  <si>
    <t>Game.AddToInventory("Items.FormalJacket_05_basic_02", 1)</t>
  </si>
  <si>
    <t>Arasaka Hazmat Suit</t>
  </si>
  <si>
    <t>Game.AddToInventory("Items.Jumpsuit_03_old_01", 1)</t>
  </si>
  <si>
    <t>Arasaka Kabuto With Composite Plating</t>
  </si>
  <si>
    <t>Game.AddToInventory("Items.Helmet_04_basic_01", 1)</t>
  </si>
  <si>
    <t>Arasaka Polyamide Corporate Dress</t>
  </si>
  <si>
    <t>Game.AddToInventory("Items.Dress_02_basic_02", 1)</t>
  </si>
  <si>
    <t>Arasaka Polycarbonate Corporate Blazer</t>
  </si>
  <si>
    <t>Game.AddToInventory("Items.FormalJacket_02_basic_01", 1)</t>
  </si>
  <si>
    <t>Arasaka Polycarbonate-Laced Bulletproof Aramid Vest</t>
  </si>
  <si>
    <t>Game.AddToInventory("Items.Vest_01_basic_02", 1)</t>
  </si>
  <si>
    <t>Arasaka Reactive-Layer Office Skirt</t>
  </si>
  <si>
    <t>Game.AddToInventory("Items.FormalSkirt_01_rich_03", 1)</t>
  </si>
  <si>
    <t>Arasaka Tactical Techgogs</t>
  </si>
  <si>
    <t>Game.AddToInventory("Items.Visor_02_basic_02", 1)</t>
  </si>
  <si>
    <t>Game.AddToInventory("Items.Visor_02_basic_02_Crafting", 1)</t>
  </si>
  <si>
    <t>Arasaka Thermoset Aramid Collar</t>
  </si>
  <si>
    <t>Game.AddToInventory("Items.Vest_12_basic_01", 1)</t>
  </si>
  <si>
    <t>Arasaka Ultralight Hybrid Tactical Harness</t>
  </si>
  <si>
    <t>Game.AddToInventory("Items.Vest_06_rich_03", 1)</t>
  </si>
  <si>
    <t>Game.AddToInventory("Items.VHard_50_IntRef_OuterTorso", 1)</t>
  </si>
  <si>
    <t>Arasaka Waterproof Combat Turtleneck</t>
  </si>
  <si>
    <t>Game.AddToInventory("Items.Shirt_02_basic_03", 1)</t>
  </si>
  <si>
    <t>Game.AddToInventory("Items.VHard_50_RefTech_InnerToso", 1)</t>
  </si>
  <si>
    <t>Arctic Breath Hybrid-Polymer Tactical Gas Mask</t>
  </si>
  <si>
    <t>Game.AddToInventory("Items.Mask_02_rich_01", 1)</t>
  </si>
  <si>
    <t>Arctic Lychee Bolero Tungsten Miroplated Bomber</t>
  </si>
  <si>
    <t>Game.AddToInventory("Items.Jacket_14_rich_02", 1)</t>
  </si>
  <si>
    <t>Arctic Quick-Release Tac Vest</t>
  </si>
  <si>
    <t>Game.AddToInventory("Items.Vest_21_basic_02", 1)</t>
  </si>
  <si>
    <t>Game.AddToInventory("Items.VHard_50_TechCool_OuterTorso", 1)</t>
  </si>
  <si>
    <t>Arcticombat Semi-Formal Button-Up</t>
  </si>
  <si>
    <t>Game.AddToInventory("Items.FormalShirt_02_basic_02", 1)</t>
  </si>
  <si>
    <t>Armor-Plated Synleather Solo Pants</t>
  </si>
  <si>
    <t>Game.AddToInventory("Items.Solo_01_Set_Pants", 1)</t>
  </si>
  <si>
    <t>Solo</t>
  </si>
  <si>
    <t>Armor-Quilted Jacket</t>
  </si>
  <si>
    <t>Game.AddToInventory("Items.Jacket_05_basic_01", 1)</t>
  </si>
  <si>
    <t>Armor-Weave Long Vest</t>
  </si>
  <si>
    <t>Game.AddToInventory("Items.Coat_02_old_01", 1)</t>
  </si>
  <si>
    <t>Armored Media Ocuset With Camera</t>
  </si>
  <si>
    <t>Game.AddToInventory("Items.Media_01_Set_Tech", 1)</t>
  </si>
  <si>
    <t>Armored Tac Vest With Camo Lining</t>
  </si>
  <si>
    <t>Game.AddToInventory("Items.Vest_21_basic_04", 1)</t>
  </si>
  <si>
    <t>Army Star Anti-Chafing Cargo Pants</t>
  </si>
  <si>
    <t>Game.AddToInventory("Items.Pants_11_basic_01", 1)</t>
  </si>
  <si>
    <t>Army-J3w3l Polycarbonate Tactical Flight Jacket</t>
  </si>
  <si>
    <t>Game.AddToInventory("Items.Jacket_02_rich_02", 1)</t>
  </si>
  <si>
    <t>Arte Urbano Elegantly Nanostitched Shirt</t>
  </si>
  <si>
    <t>Game.AddToInventory("Items.LooseShirt_01_rich_01", 1)</t>
  </si>
  <si>
    <t>Arumajiro Dual-Armor Aramid Breastplate</t>
  </si>
  <si>
    <t>Game.AddToInventory("Items.Vest_13_rich_02", 1)</t>
  </si>
  <si>
    <t>Asa No Heiwa Enhanced Yukata</t>
  </si>
  <si>
    <t>Game.AddToInventory("Items.Vest_19_basic_01", 1)</t>
  </si>
  <si>
    <t>Astronaute Reinforced-Stitch Composite Jacket</t>
  </si>
  <si>
    <t>Game.AddToInventory("Items.Jacket_19_rich_02", 1)</t>
  </si>
  <si>
    <t>At-Ak Composite-Lined Edgerunner</t>
  </si>
  <si>
    <t>Game.AddToInventory("Items.Jacket_03_basic_01", 1)</t>
  </si>
  <si>
    <t>Game.AddToInventory("Items.Hard_30_IntBody_OuterTorso", 1)</t>
  </si>
  <si>
    <t>Game.AddToInventory("Items.Weak_30_OuterTorso", 1)</t>
  </si>
  <si>
    <t>At-Ak Greener Polycarbonate Windbreaker Pants</t>
  </si>
  <si>
    <t>Game.AddToInventory("Items.Pants_12_basic_03", 1)</t>
  </si>
  <si>
    <t>At-Ak Insulated Aramid-Padded Rally Bolero</t>
  </si>
  <si>
    <t>Game.AddToInventory("Items.Jacket_10_rich_01", 1)</t>
  </si>
  <si>
    <t>At-Ak Reinforced Biker Coat</t>
  </si>
  <si>
    <t>Game.AddToInventory("Items.Coat_01_basic_02", 1)</t>
  </si>
  <si>
    <t>At-Ak Strong-Quilted 8u88legum Puffed Fleets</t>
  </si>
  <si>
    <t>Game.AddToInventory("Items.Boots_05_rich_01", 1)</t>
  </si>
  <si>
    <t>At-Ak Utility Wear-Resistant Pants</t>
  </si>
  <si>
    <t>Game.AddToInventory("Items.Pants_09_rich_01", 1)</t>
  </si>
  <si>
    <t>Wraiths</t>
  </si>
  <si>
    <t>Athletic Aramid-Weave Shorts</t>
  </si>
  <si>
    <t>Game.AddToInventory("Items.Shorts_03_basic_02", 1)</t>
  </si>
  <si>
    <t>Athletic Hybrid-Weave Hotpants</t>
  </si>
  <si>
    <t>Game.AddToInventory("Items.Shorts_02_basic_01", 1)</t>
  </si>
  <si>
    <t>Atomic Blast Composite Armor-Weave Combat Shirt</t>
  </si>
  <si>
    <t>Game.AddToInventory("Items.Shirt_03_rich_02", 1)</t>
  </si>
  <si>
    <t>Atomic Blast Tactical Armor-Weave Pants</t>
  </si>
  <si>
    <t>Game.AddToInventory("Items.Pants_07_rich_02", 1)</t>
  </si>
  <si>
    <t>Auto-Extinguishing Fireproof Basllistic Mask</t>
  </si>
  <si>
    <t>Game.AddToInventory("Items.Mask_04_rich_03", 1)</t>
  </si>
  <si>
    <t>Avant-Garde Sweatshirt With Anti-Piercing Membrane</t>
  </si>
  <si>
    <t>Game.AddToInventory("Items.Jacket_23_rich_04", 1)</t>
  </si>
  <si>
    <t>Aztec Winter Beanie</t>
  </si>
  <si>
    <t>Game.AddToInventory("Items.Cap_03_basic_02", 1)</t>
  </si>
  <si>
    <t>Baby Blue Biodegradable Novawear Pants</t>
  </si>
  <si>
    <t>Game.AddToInventory("Items.Pants_17_rich_01", 1)</t>
  </si>
  <si>
    <t>Bacteriostatic Elastane Balaclava</t>
  </si>
  <si>
    <t>Game.AddToInventory("Items.Balaclava_02_basic_04", 1)</t>
  </si>
  <si>
    <t>Bad Motherfucker Vest</t>
  </si>
  <si>
    <t>Game.AddToInventory("Items.SQ021_Wraiths_Vest", 1)</t>
  </si>
  <si>
    <t>Bai Long Formal Pants With Reinforced Neo-Silk</t>
  </si>
  <si>
    <t>Game.AddToInventory("Items.FormalPants_02_rich_01", 1)</t>
  </si>
  <si>
    <t>Bái Lóng Formal Pants With Reinforced Neo-Silk</t>
  </si>
  <si>
    <t>Game.AddToInventory("Items.FormalPants_02_rich_01_Crafting", 1)</t>
  </si>
  <si>
    <t>Bai Long High-Alloy Steel-Sequined Jacket</t>
  </si>
  <si>
    <t>Game.AddToInventory("Items.FormalJacket_05_rich_01", 1)</t>
  </si>
  <si>
    <t>Balaclava With Schock-Absorbent Composite Layering</t>
  </si>
  <si>
    <t>Game.AddToInventory("Items.Balaclava_01_old_01", 1)</t>
  </si>
  <si>
    <t>Ballistic Mask With Nylon Band</t>
  </si>
  <si>
    <t>Game.AddToInventory("Items.Helmet_12_basic_03", 1)</t>
  </si>
  <si>
    <t>Ballistic Vest With High-Alloy Steel Armor</t>
  </si>
  <si>
    <t>Game.AddToInventory("Items.Vest_22_basic_02", 1)</t>
  </si>
  <si>
    <t>Ballistic Vest With Modified Silicon Carbide Plating</t>
  </si>
  <si>
    <t>Game.AddToInventory("Items.Vest_22_rich_02", 1)</t>
  </si>
  <si>
    <t>Bandage Wrapping</t>
  </si>
  <si>
    <t>Game.AddToInventory("Items.Q101_Recovery_Bandage_Outfit", 1)</t>
  </si>
  <si>
    <t>Bara Kaika Syn-Leather Bustier</t>
  </si>
  <si>
    <t>Game.AddToInventory("Items.Undershirt_03_basic_02", 1)</t>
  </si>
  <si>
    <t>Valentinos</t>
  </si>
  <si>
    <t>Barghest Helmet</t>
  </si>
  <si>
    <t>Game.AddToInventory("Items.Q301_kurt_militia_h1", 1)</t>
  </si>
  <si>
    <t>Game.AddToInventory("Items.q301_kurts_militia_helmet", 1)</t>
  </si>
  <si>
    <t>Basic Ballistic Vest</t>
  </si>
  <si>
    <t>Game.AddToInventory("Items.Vest_04_basic_01", 1)</t>
  </si>
  <si>
    <t>Basic Chest Holster</t>
  </si>
  <si>
    <t>Game.AddToInventory("Items.Vest_24_old_01", 1)</t>
  </si>
  <si>
    <t>Basic Detachable Reactive-Fiber Collar</t>
  </si>
  <si>
    <t>Game.AddToInventory("Items.Vest_07_basic_03", 1)</t>
  </si>
  <si>
    <t>Basic Tank Top</t>
  </si>
  <si>
    <t>Game.AddToInventory("Items.TShirt_01_basic_01", 1)</t>
  </si>
  <si>
    <t>Battered Arasaka Steel Helmet</t>
  </si>
  <si>
    <t>Game.AddToInventory("Items.Helmet_07_old_05", 1)</t>
  </si>
  <si>
    <t>Battered Ballistic Mask</t>
  </si>
  <si>
    <t>Game.AddToInventory("Items.Helmet_12_old_01", 1)</t>
  </si>
  <si>
    <t>Battered Denim Bucket Hat</t>
  </si>
  <si>
    <t>Game.AddToInventory("Items.Hat_05_old_01", 1)</t>
  </si>
  <si>
    <t>Battered Full-Face Helmet</t>
  </si>
  <si>
    <t>Game.AddToInventory("Items.Helmet_08_old_02", 1)</t>
  </si>
  <si>
    <t>Battery-Powered Vr Goggles</t>
  </si>
  <si>
    <t>Game.AddToInventory("Items.Tech_03_basic_03", 1)</t>
  </si>
  <si>
    <t>Beach Please Square Glasses With Tempered Lenses</t>
  </si>
  <si>
    <t>Game.AddToInventory("Items.Glasses_02_basic_04", 1)</t>
  </si>
  <si>
    <t>Beat-Up Heavy Arasaka Helmet</t>
  </si>
  <si>
    <t>Game.AddToInventory("Items.Helmet_07_old_03", 1)</t>
  </si>
  <si>
    <t>Bermuda Triangle Cutout Bodysuit</t>
  </si>
  <si>
    <t>Game.AddToInventory("Items.Jacket_16_rich_01", 1)</t>
  </si>
  <si>
    <t>Bermuda Triangle Kicks With Reinforced Lining</t>
  </si>
  <si>
    <t>Game.AddToInventory("Items.CasualShoes_07_basic_03", 1)</t>
  </si>
  <si>
    <t>Bermuda Triangle Protective-Mesh Muscle Tank</t>
  </si>
  <si>
    <t>Game.AddToInventory("Items.TShirt_06_basic_02", 1)</t>
  </si>
  <si>
    <t>Game.AddToInventory("Items.Q301_Street_WA_InnerTorso", 1)</t>
  </si>
  <si>
    <t>Biker Strapped Cargos With Anti-Crotchsweat Lining</t>
  </si>
  <si>
    <t>Game.AddToInventory("Items.Pants_20_basic_01", 1)</t>
  </si>
  <si>
    <t>Biker Vibe Composite-Lined Crystaljock Bomber</t>
  </si>
  <si>
    <t>Game.AddToInventory("Items.Jacket_01_basic_02", 1)</t>
  </si>
  <si>
    <t>Biosynth Rip-Stop Hat</t>
  </si>
  <si>
    <t>Game.AddToInventory("Items.Hat_05_rich_03", 1)</t>
  </si>
  <si>
    <t>Biosynthetic Spider Silk Dress</t>
  </si>
  <si>
    <t>Game.AddToInventory("Items.Dress_03_rich_04", 1)</t>
  </si>
  <si>
    <t>Bipolar Rainbow Hybrid-Weave Crop Sweater</t>
  </si>
  <si>
    <t>Game.AddToInventory("Items.Jacket_15_basic_02", 1)</t>
  </si>
  <si>
    <t>Bitch Armored Ice-Protected Techgogs</t>
  </si>
  <si>
    <t>Game.AddToInventory("Items.Visor_02_rich_02", 1)</t>
  </si>
  <si>
    <t>Bitch V.13 Cap With Titanium Microplate Mesh</t>
  </si>
  <si>
    <t>Game.AddToInventory("Items.Cap_01_rich_03", 1)</t>
  </si>
  <si>
    <t>Bitch V.13 Composite-Enhanced Vest</t>
  </si>
  <si>
    <t>Game.AddToInventory("Items.Vest_14_rich_01", 1)</t>
  </si>
  <si>
    <t>Bitch V.13 Dual-Reinforced Tactical Vest</t>
  </si>
  <si>
    <t>Game.AddToInventory("Items.Vest_08_rich_01", 1)</t>
  </si>
  <si>
    <t>Bitch V.13 Enhanced Nanocarbon Flight Jacket</t>
  </si>
  <si>
    <t>Game.AddToInventory("Items.Jacket_02_rich_01", 1)</t>
  </si>
  <si>
    <t>Bitch V.13 Kicks With Tungsten-Steel Sequins</t>
  </si>
  <si>
    <t>Game.AddToInventory("Items.CasualShoes_07_rich_02", 1)</t>
  </si>
  <si>
    <t>Bitch V.13 Syn-Resistant Pants</t>
  </si>
  <si>
    <t>Game.AddToInventory("Items.Pants_03_basic_03", 1)</t>
  </si>
  <si>
    <t>Black Anodized Protective Magazine Chest Holster</t>
  </si>
  <si>
    <t>Game.AddToInventory("Items.Vest_24_rich_02", 1)</t>
  </si>
  <si>
    <t>Blackwall Synthetic Punk High-Tops</t>
  </si>
  <si>
    <t>Game.AddToInventory("Items.CasualShoes_01_basic_02", 1)</t>
  </si>
  <si>
    <t>Game.AddToInventory("Items.Normal_20_Melee_Feet", 1)</t>
  </si>
  <si>
    <t>Blauer Nebel Eazy-Breathe High-Alloy Sequined Foldtop</t>
  </si>
  <si>
    <t>Game.AddToInventory("Items.Jacket_11_rich_02", 1)</t>
  </si>
  <si>
    <t>Bloody Piggy Cut-Off</t>
  </si>
  <si>
    <t>Game.AddToInventory("Items.Vest_15_old_01", 1)</t>
  </si>
  <si>
    <t>Bloody Piggy Duoweave Cutout Tank</t>
  </si>
  <si>
    <t>Game.AddToInventory("Items.TShirt_04_old_03", 1)</t>
  </si>
  <si>
    <t>Bloody Piggy Triweave Muscle Tank</t>
  </si>
  <si>
    <t>Game.AddToInventory("Items.TShirt_06_old_01", 1)</t>
  </si>
  <si>
    <t>Blooming Amber Bandana</t>
  </si>
  <si>
    <t>Game.AddToInventory("Items.Scarf_01_old_02", 1)</t>
  </si>
  <si>
    <t>Blouie Blue Aramid-Coated Infovisor</t>
  </si>
  <si>
    <t>Game.AddToInventory("Items.Visor_01_basic_03", 1)</t>
  </si>
  <si>
    <t>Blue Brick Reinforced Hotpants</t>
  </si>
  <si>
    <t>Game.AddToInventory("Items.Shorts_02_basic_02", 1)</t>
  </si>
  <si>
    <t>Game.AddToInventory("Items.Shorts_02_basic_02_Crafting", 1)</t>
  </si>
  <si>
    <t>Blue Jaguar Special-Occasion Reinforced Rockerjack</t>
  </si>
  <si>
    <t>Game.AddToInventory("Items.Jacket_06_rich_02", 1)</t>
  </si>
  <si>
    <t>Blue Mirror Dual-Shield Crystaljock Bomber</t>
  </si>
  <si>
    <t>Game.AddToInventory("Items.Jacket_01_rich_02", 1)</t>
  </si>
  <si>
    <t>Blurry Road Thermoset-Fiber Biker Jacket</t>
  </si>
  <si>
    <t>Game.AddToInventory("Items.Jacket_12_basic_02", 1)</t>
  </si>
  <si>
    <t>Blutpanther Elastic Deltajock Jacket With Polyamid Weave</t>
  </si>
  <si>
    <t>Game.AddToInventory("Items.Jacket_20_rich_04", 1)</t>
  </si>
  <si>
    <t>Bolero Blazer With Factory Defect</t>
  </si>
  <si>
    <t>Game.AddToInventory("Items.Jacket_25_old_03", 1)</t>
  </si>
  <si>
    <t>Boosted Military Strappers</t>
  </si>
  <si>
    <t>Game.AddToInventory("Items.Boots_08_old_02", 1)</t>
  </si>
  <si>
    <t>Boostknit Neotac Pants</t>
  </si>
  <si>
    <t>Game.AddToInventory("Items.Pants_08_basic_02", 1)</t>
  </si>
  <si>
    <t>Boostknit-Polymer Military Techgogs</t>
  </si>
  <si>
    <t>Game.AddToInventory("Items.Visor_02_basic_01", 1)</t>
  </si>
  <si>
    <t>Game.AddToInventory("Items.Hard_30_Reflex_Face", 1)</t>
  </si>
  <si>
    <t>Game.AddToInventory("Items.VHard_50_RefBody_Face", 1)</t>
  </si>
  <si>
    <t>Border Guard Ballistic Vest</t>
  </si>
  <si>
    <t>Game.AddToInventory("Items.Vest_03_basic_02", 1)</t>
  </si>
  <si>
    <t>Border Guard Multilayer Aramid Vest</t>
  </si>
  <si>
    <t>Game.AddToInventory("Items.Vest_01_basic_01", 1)</t>
  </si>
  <si>
    <t>Border Guard Tactical Vest</t>
  </si>
  <si>
    <t>Game.AddToInventory("Items.Vest_08_old_01", 1)</t>
  </si>
  <si>
    <t>Boss Mafioso Trilby With Armored Lining</t>
  </si>
  <si>
    <t>Game.AddToInventory("Items.Hat_01_rich_01", 1)</t>
  </si>
  <si>
    <t>Game.AddToInventory("Items.Proficiency_Hat_01_rich_01_Crafting", 1)</t>
  </si>
  <si>
    <t>Boulet Turquoise Combat Shirt With Protective Lining</t>
  </si>
  <si>
    <t>Game.AddToInventory("Items.Shirt_03_rich_01", 1)</t>
  </si>
  <si>
    <t>Boulet Turquoise Heat-Resistant Tactical Pants</t>
  </si>
  <si>
    <t>Game.AddToInventory("Items.Pants_07_rich_01", 1)</t>
  </si>
  <si>
    <t>Braindance Blue Trilayer Long-Sleeve</t>
  </si>
  <si>
    <t>Game.AddToInventory("Items.Shirt_01_basic_01", 1)</t>
  </si>
  <si>
    <t>Game.AddToInventory("Items.Avg_10_Int_Netrunner_InnerToso", 1)</t>
  </si>
  <si>
    <t>Game.AddToInventory("Items.Hard_20_Reflex_InnerToso", 1)</t>
  </si>
  <si>
    <t>Game.AddToInventory("Items.Normal_20_Netrunner_InnerToso", 1)</t>
  </si>
  <si>
    <t>Game.AddToInventory("Items.Story_5_InnerToso", 1)</t>
  </si>
  <si>
    <t>Game.AddToInventory("Items.Weak_10_InnerToso", 1)</t>
  </si>
  <si>
    <t>Game.AddToInventory("Items.Weak_30_InnerToso", 1)</t>
  </si>
  <si>
    <t>Game.AddToInventory("TEST.ItemPass_InnerChestArmor", 1)</t>
  </si>
  <si>
    <t>Braindance Cap</t>
  </si>
  <si>
    <t>Game.AddToInventory("Items.Cap_01_old_02", 1)</t>
  </si>
  <si>
    <t>Braindance Windbreaker</t>
  </si>
  <si>
    <t>Game.AddToInventory("Items.Jacket_07_old_01", 1)</t>
  </si>
  <si>
    <t>Brass Harmony Composite-Reinforced Formal Dress</t>
  </si>
  <si>
    <t>Game.AddToInventory("Items.Dress_02_rich_02", 1)</t>
  </si>
  <si>
    <t>Brass Harmony Skirt With Double Nanofiber Weave</t>
  </si>
  <si>
    <t>Game.AddToInventory("Items.FormalSkirt_02_rich_02", 1)</t>
  </si>
  <si>
    <t>Breathable Bpa-Free Dress</t>
  </si>
  <si>
    <t>Game.AddToInventory("Items.Dress_04_basic_06", 1)</t>
  </si>
  <si>
    <t>Breathable Fleece Cap</t>
  </si>
  <si>
    <t>local id = "Items.Hat_06_basic_05"; if Game.GetPlayer():GetResolvedGenderName().value == 'Male' then print(' \n\t This item is BROKEN for the MALE character. \n\t If you still want to add it to the inventory, use this command: \n \n\t Game.AddToInventory("'..id..'", 1) \n ') else Game.AddToInventory(id, 1) end;</t>
  </si>
  <si>
    <t>Breathable Half-Zip With Bipolar Insulation</t>
  </si>
  <si>
    <t>Game.AddToInventory("Items.Coat_05_basic_05", 1)</t>
  </si>
  <si>
    <t>Breathable Icon America Fleets</t>
  </si>
  <si>
    <t>Game.AddToInventory("Items.Boots_05_basic_01", 1)</t>
  </si>
  <si>
    <t>Breathable Reinforced Bio-Cotton Corporate Slacks</t>
  </si>
  <si>
    <t>Game.AddToInventory("Items.Corporate_01_Set_Pants", 1)</t>
  </si>
  <si>
    <t>Breathable Tac Vest With Elastic Synth-Silk</t>
  </si>
  <si>
    <t>Game.AddToInventory("Items.Vest_21_rich_03", 1)</t>
  </si>
  <si>
    <t>Breathable Unitard With Micopore Foil</t>
  </si>
  <si>
    <t>Game.AddToInventory("Items.TightJumpsuit_02_basic_04", 1)</t>
  </si>
  <si>
    <t>Bright Yellow Silicone-Coated Novawear Pants</t>
  </si>
  <si>
    <t>Game.AddToInventory("Items.Pants_17_basic_08", 1)</t>
  </si>
  <si>
    <t>Broken Techgogs</t>
  </si>
  <si>
    <t>Game.AddToInventory("Items.Visor_02_old_01", 1)</t>
  </si>
  <si>
    <t>Brushed Cotton Flower-Print Jacket</t>
  </si>
  <si>
    <t>Game.AddToInventory("Items.Jacket_24_basic_03", 1)</t>
  </si>
  <si>
    <t>Bucket Hat With Anti-Uv Coating</t>
  </si>
  <si>
    <t>Game.AddToInventory("Items.Hat_05_basic_03", 1)</t>
  </si>
  <si>
    <t>Bulky Mask</t>
  </si>
  <si>
    <t>Game.AddToInventory("Items.Mask_04_old_06", 1)</t>
  </si>
  <si>
    <t>Bulletproof Sheriff Western Shorties</t>
  </si>
  <si>
    <t>Game.AddToInventory("Items.Boots_02_rich_001", 1)</t>
  </si>
  <si>
    <t>Burgundy Formal Skirt With Reinforced Synfiber</t>
  </si>
  <si>
    <t>Game.AddToInventory("Items.FormalSkirt_02_basic_02", 1)</t>
  </si>
  <si>
    <t>Burn Corpo Shit Duolayer Coat</t>
  </si>
  <si>
    <t>Game.AddToInventory("Items.Coat_01_old_03", 1)</t>
  </si>
  <si>
    <t>Burnt Fireproof Hoodie</t>
  </si>
  <si>
    <t>Game.AddToInventory("Items.Jacket_22_old_01", 1)</t>
  </si>
  <si>
    <t>Camo Aramid-Weave Steel-Toes</t>
  </si>
  <si>
    <t>Game.AddToInventory("Items.Boots_07_basic_02", 1)</t>
  </si>
  <si>
    <t>Camo Combat Cut-Off</t>
  </si>
  <si>
    <t>Game.AddToInventory("Items.Vest_15_basic_02", 1)</t>
  </si>
  <si>
    <t>Camo Combat Hoodie With Polymer Insulation</t>
  </si>
  <si>
    <t>Game.AddToInventory("Items.Jacket_22_basic_06", 1)</t>
  </si>
  <si>
    <t>Camo T-Shirt With Copper Microfiber</t>
  </si>
  <si>
    <t>Game.AddToInventory("Items.Tshirt_12_old_06", 1)</t>
  </si>
  <si>
    <t>Camo Tactical Vest</t>
  </si>
  <si>
    <t>Game.AddToInventory("Items.Vest_08_old_02", 1)</t>
  </si>
  <si>
    <t>Camo Western Fringe Vest</t>
  </si>
  <si>
    <t>Game.AddToInventory("Items.Vest_18_old_01", 1)</t>
  </si>
  <si>
    <t>Canary Fleets With Antistatic Quilting</t>
  </si>
  <si>
    <t>Game.AddToInventory("Items.Boots_12_old_03", 1)</t>
  </si>
  <si>
    <t>Candy Pill Ultra-Durable Cut-Off</t>
  </si>
  <si>
    <t>Game.AddToInventory("Items.Vest_15_basic_03", 1)</t>
  </si>
  <si>
    <t>Canine Power Anti-Tear Pants</t>
  </si>
  <si>
    <t>Game.AddToInventory("Items.Pants_03_basic_02", 1)</t>
  </si>
  <si>
    <t>Canine Power Duolayer Tank Top</t>
  </si>
  <si>
    <t>Game.AddToInventory("Items.TShirt_03_basic_03", 1)</t>
  </si>
  <si>
    <t>Game.AddToInventory("Items.Normal_20_Melee_InnerToso", 1)</t>
  </si>
  <si>
    <t>Canine Power Hybrid-Stitch Pozer-Jacket</t>
  </si>
  <si>
    <t>Game.AddToInventory("Items.Jacket_17_basic_01", 1)</t>
  </si>
  <si>
    <t>Canine Power Polyamide Trilayer Coat</t>
  </si>
  <si>
    <t>Game.AddToInventory("Items.Coat_01_rich_02", 1)</t>
  </si>
  <si>
    <t>Cap With Makeshift Camera</t>
  </si>
  <si>
    <t>Game.AddToInventory("Items.Cap_04_old_01", 1)</t>
  </si>
  <si>
    <t>Carbon Gas Mask With Filter</t>
  </si>
  <si>
    <t>Game.AddToInventory("Items.Mask_02_old_03", 1)</t>
  </si>
  <si>
    <t>Carbon Triangle Graphene-Weave Pozer-Jacket</t>
  </si>
  <si>
    <t>Game.AddToInventory("Items.Jacket_17_basic_02", 1)</t>
  </si>
  <si>
    <t>Carbon-Composite Neko-Ka Strappers</t>
  </si>
  <si>
    <t>Game.AddToInventory("Items.Boots_08_rich_01", 1)</t>
  </si>
  <si>
    <t>Carbon-Fiber Arasaka Side Cap</t>
  </si>
  <si>
    <t>Game.AddToInventory("Items.Cap_05_basic_01", 1)</t>
  </si>
  <si>
    <t>Carbon-Fiber Conical Hat</t>
  </si>
  <si>
    <t>Game.AddToInventory("Items.Hat_04_basic_02", 1)</t>
  </si>
  <si>
    <t>Carbon-Lined Pozer-Jacket</t>
  </si>
  <si>
    <t>Game.AddToInventory("Items.Jacket_17_old_01", 1)</t>
  </si>
  <si>
    <t>Carbon-Plated Edgerunner</t>
  </si>
  <si>
    <t>Game.AddToInventory("Items.Jacket_03_old_02", 1)</t>
  </si>
  <si>
    <t>Carbonweave Silk Corporate Shirt</t>
  </si>
  <si>
    <t>Game.AddToInventory("Items.Corporate_01_Set_FormalShirt", 1)</t>
  </si>
  <si>
    <t>Cashmere Dress With Welded Hems</t>
  </si>
  <si>
    <t>Game.AddToInventory("Items.Dress_03_rich_05", 1)</t>
  </si>
  <si>
    <t>Casual Quilted Bolero Blazer</t>
  </si>
  <si>
    <t>Game.AddToInventory("Items.Jacket_25_old_01", 1)</t>
  </si>
  <si>
    <t>Casual Spacer-Mesh Bolero Blazer</t>
  </si>
  <si>
    <t>Game.AddToInventory("Items.Jacket_25_basic_01", 1)</t>
  </si>
  <si>
    <t>Caution Extra-Plastic Cargo Pants</t>
  </si>
  <si>
    <t>Game.AddToInventory("Items.Pants_11_basic_02", 1)</t>
  </si>
  <si>
    <t>Cellulose-Lined Ushanka</t>
  </si>
  <si>
    <t>Game.AddToInventory("Items.Hat_06_old_02", 1)</t>
  </si>
  <si>
    <t>Certified Cap With Camera</t>
  </si>
  <si>
    <t>Game.AddToInventory("Items.Cap_04_basic_02", 1)</t>
  </si>
  <si>
    <t>Certified Helmet With Breathable Liner</t>
  </si>
  <si>
    <t>Game.AddToInventory("Items.Helmet_09_rich_01", 1)</t>
  </si>
  <si>
    <t>Certified Hip-Protection Strapped Cargos</t>
  </si>
  <si>
    <t>Game.AddToInventory("Items.Pants_20_rich_03", 1)</t>
  </si>
  <si>
    <t>Certified Netrunner Helmet With Biofeedback System</t>
  </si>
  <si>
    <t>Game.AddToInventory("Items.Helmet_10_rich_01", 1)</t>
  </si>
  <si>
    <t>Chaman Metallique Street Shoes With Thermoactive Alloys</t>
  </si>
  <si>
    <t>Game.AddToInventory("Items.CasualShoes_06_rich_01", 1)</t>
  </si>
  <si>
    <t>Chaman Métallique Street Shoes With Thermoactive Alloys</t>
  </si>
  <si>
    <t>Game.AddToInventory("Items.Q301_Street_MA_Boots", 1)</t>
  </si>
  <si>
    <t>Cheap Ill-Fitted Splicers</t>
  </si>
  <si>
    <t>Game.AddToInventory("Items.Pants_18_old_02", 1)</t>
  </si>
  <si>
    <t>Cheap Knockoff Arasaka Helmet</t>
  </si>
  <si>
    <t>Game.AddToInventory("Items.Helmet_07_old_02", 1)</t>
  </si>
  <si>
    <t>Cheap Synthetic Balaclava</t>
  </si>
  <si>
    <t>Game.AddToInventory("Items.Balaclava_02_old_05", 1)</t>
  </si>
  <si>
    <t>Chemically Hardened Tactical Goggles</t>
  </si>
  <si>
    <t>Game.AddToInventory("Items.Glasses_05_old_01", 1)</t>
  </si>
  <si>
    <t>Chengse Ultralight Carbon-Fiber Helmet</t>
  </si>
  <si>
    <t>Game.AddToInventory("Items.Helmet_02_rich_01", 1)</t>
  </si>
  <si>
    <t>Kang Tao</t>
  </si>
  <si>
    <t>Cherry Trilaminate Compressible Half-Zip</t>
  </si>
  <si>
    <t>Game.AddToInventory("Items.Coat_05_basic_04", 1)</t>
  </si>
  <si>
    <t>Chest Rig Vest With Moisture Prevention</t>
  </si>
  <si>
    <t>Game.AddToInventory("Items.Vest_23_rich_02", 1)</t>
  </si>
  <si>
    <t>Chic Pink Dragon Skirt With Fiberglass Sequins</t>
  </si>
  <si>
    <t>Game.AddToInventory("Items.FormalSkirt_02_rich_03", 1)</t>
  </si>
  <si>
    <t>Game.AddToInventory("Items.FormalSkirt_02_rich_03_Crafting", 1)</t>
  </si>
  <si>
    <t>Chikurin Reinforced Nanoweave Loose-Fits</t>
  </si>
  <si>
    <t>Game.AddToInventory("Items.Pants_02_rich_02", 1)</t>
  </si>
  <si>
    <t>Chlorine-Resistant Pbt Strapped Cargos</t>
  </si>
  <si>
    <t>Game.AddToInventory("Items.Pants_20_basic_03", 1)</t>
  </si>
  <si>
    <t>Game.AddToInventory("Items.VHard_50_TechCool_Legs", 1)</t>
  </si>
  <si>
    <t>Claret Shine Armored Laceless Steel-Toes</t>
  </si>
  <si>
    <t>Game.AddToInventory("Items.Boots_07_rich_01", 1)</t>
  </si>
  <si>
    <t>Classic Anti-Puncture Shirt</t>
  </si>
  <si>
    <t>Game.AddToInventory("Items.LooseShirt_01_old_02", 1)</t>
  </si>
  <si>
    <t>Classic Aramid-Weave Denim Shorts</t>
  </si>
  <si>
    <t>Game.AddToInventory("Items.Shorts_01_basic_01", 1)</t>
  </si>
  <si>
    <t>Game.AddToInventory("Items.Shorts_01_basic_01_Crafting", 1)</t>
  </si>
  <si>
    <t>Classic Armor-Coated Aviators</t>
  </si>
  <si>
    <t>Game.AddToInventory("Items.Glasses_01_basic_05", 1)</t>
  </si>
  <si>
    <t>Classic Athletic Nanoweave Shorts</t>
  </si>
  <si>
    <t>Game.AddToInventory("Items.Shorts_03_basic_01", 1)</t>
  </si>
  <si>
    <t>Classic Chem-Hardened Button-Up</t>
  </si>
  <si>
    <t>Game.AddToInventory("Items.FormalShirt_02_basic_04", 1)</t>
  </si>
  <si>
    <t>Classic Composite-Lined Pleated Pants</t>
  </si>
  <si>
    <t>Game.AddToInventory("Items.FormalPants_01_basic_02", 1)</t>
  </si>
  <si>
    <t>Game.AddToInventory("Items.Q301_Corpo_MA_Pants", 1)</t>
  </si>
  <si>
    <t>Classic Evening Pumps With Polycarbonate Support</t>
  </si>
  <si>
    <t>Game.AddToInventory("Items.FormalShoes_02_basic_02", 1)</t>
  </si>
  <si>
    <t>Game.AddToInventory("Items.Proficiency_FormalShoes_02_basic_02_Crafting", 1)</t>
  </si>
  <si>
    <t>Classic Hardened-Leather Flat Cap</t>
  </si>
  <si>
    <t>Game.AddToInventory("Items.Cap_02_basic_02", 1)</t>
  </si>
  <si>
    <t>Game.AddToInventory("Items.Normal_20_Ranged_Head", 1)</t>
  </si>
  <si>
    <t>Classic Immuno-Cotton Corporate Pants</t>
  </si>
  <si>
    <t>Game.AddToInventory("Items.FormalPants_02_basic_01", 1)</t>
  </si>
  <si>
    <t>Game.AddToInventory("Items.Q301_Corpo_WA_Pants", 1)</t>
  </si>
  <si>
    <t>Classic Militech Combat Helmet</t>
  </si>
  <si>
    <t>Game.AddToInventory("Items.Helmet_09_basic_01", 1)</t>
  </si>
  <si>
    <t>Classic Molybdenum Steel-Toe Combat Boots</t>
  </si>
  <si>
    <t>Game.AddToInventory("Items.Boots_04_basic_02", 1)</t>
  </si>
  <si>
    <t>Classic Side Cap With Strengthened Polyamide</t>
  </si>
  <si>
    <t>Game.AddToInventory("Items.Cap_05_basic_02", 1)</t>
  </si>
  <si>
    <t>Classic Slim-Fit 2-Piece With Brushed Lining</t>
  </si>
  <si>
    <t>Game.AddToInventory("Items.FormalJacket_06_basic_01", 1)</t>
  </si>
  <si>
    <t>Classic Square Glasses With Uv Filter</t>
  </si>
  <si>
    <t>Game.AddToInventory("Items.Glasses_02_basic_05", 1)</t>
  </si>
  <si>
    <t>Classic Trilby With Composite Band</t>
  </si>
  <si>
    <t>Game.AddToInventory("Items.Hat_01_basic_01", 1)</t>
  </si>
  <si>
    <t>Classy Aramid-Weave Skirt</t>
  </si>
  <si>
    <t>Game.AddToInventory("Items.FormalSkirt_01_basic_02", 1)</t>
  </si>
  <si>
    <t>Classy Bordeaux Pants With Fortified Seams</t>
  </si>
  <si>
    <t>Game.AddToInventory("Items.FormalPants_02_basic_02", 1)</t>
  </si>
  <si>
    <t>Classy Brass Flame-Resistant Laminated Vest</t>
  </si>
  <si>
    <t>Game.AddToInventory("Items.Vest_14_rich_02", 1)</t>
  </si>
  <si>
    <t>Classy Pastel Shirt And Vest</t>
  </si>
  <si>
    <t>Game.AddToInventory("Items.FormalShirt_01_old_02", 1)</t>
  </si>
  <si>
    <t>Claw Taste Ultradurable Short Puffer</t>
  </si>
  <si>
    <t>Game.AddToInventory("Items.Vest_16_rich_01", 1)</t>
  </si>
  <si>
    <t>Cocktail Dress With Bioplastic Fur Sleeves</t>
  </si>
  <si>
    <t>Game.AddToInventory("Items.Dress_03_basic_02", 1)</t>
  </si>
  <si>
    <t>Colorado Beetle Aramid-Reinforced Helmet</t>
  </si>
  <si>
    <t>Game.AddToInventory("Items.Helmet_02_basic_04", 1)</t>
  </si>
  <si>
    <t>Comfortable Midori Biofabric Cocktail Jacket</t>
  </si>
  <si>
    <t>Game.AddToInventory("Items.FormalJacket_03_basic_01", 1)</t>
  </si>
  <si>
    <t>Comfy Hardened-Leather Western Shorties</t>
  </si>
  <si>
    <t>Game.AddToInventory("Items.Boots_02_basic_01", 1)</t>
  </si>
  <si>
    <t>Comfy Nomad Shorts</t>
  </si>
  <si>
    <t>Game.AddToInventory("Items.Shorts_05_old_05", 1)</t>
  </si>
  <si>
    <t>Comfy Rocker Aramid-Weave Slim-Fits</t>
  </si>
  <si>
    <t>Game.AddToInventory("Items.Pants_01_basic_01", 1)</t>
  </si>
  <si>
    <t>Game.AddToInventory("TEST.ItemPass_LegArmor", 1)</t>
  </si>
  <si>
    <t>Comfy Tactical Thermoset-Padded Pants</t>
  </si>
  <si>
    <t>Game.AddToInventory("Items.Pants_07_basic_03", 1)</t>
  </si>
  <si>
    <t>Comfy Trickster Composite Riding Pants</t>
  </si>
  <si>
    <t>Game.AddToInventory("Items.Pants_13_rich_01", 1)</t>
  </si>
  <si>
    <t>Compact Technosight With Phosphor Insert</t>
  </si>
  <si>
    <t>Game.AddToInventory("Items.Tech_04_rich_02", 1)</t>
  </si>
  <si>
    <t>Composite Arasaka Netrunning Nanoweave Suit</t>
  </si>
  <si>
    <t>Game.AddToInventory("Items.TightJumpsuit_01_rich_01", 1)</t>
  </si>
  <si>
    <t>Game.AddToInventory("Items.VHard_50_IntRef_InnerToso", 1)</t>
  </si>
  <si>
    <t>Composite Ballistic Mask With Infrared Sensor</t>
  </si>
  <si>
    <t>Game.AddToInventory("Items.Helmet_12_rich_03", 1)</t>
  </si>
  <si>
    <t>Composite Biker Jacket With Buckles</t>
  </si>
  <si>
    <t>Game.AddToInventory("Items.Jacket_19_basic_02", 1)</t>
  </si>
  <si>
    <t>Composite Camo Bandana</t>
  </si>
  <si>
    <t>Game.AddToInventory("Items.Scarf_01_old_03", 1)</t>
  </si>
  <si>
    <t>Composite Geisha Combat Shirt</t>
  </si>
  <si>
    <t>Game.AddToInventory("Items.Shirt_03_basic_02", 1)</t>
  </si>
  <si>
    <t>Game.AddToInventory("Items.Shirt_03_basic_02_Crafting", 1)</t>
  </si>
  <si>
    <t>Composite Ko Jaga Silk-Threaded Hotpants</t>
  </si>
  <si>
    <t>Game.AddToInventory("Items.Proficiency_Shorts_02_rich_02_Crafting", 1)</t>
  </si>
  <si>
    <t>Composite Ko Jagā Silk-Threaded Hotpants</t>
  </si>
  <si>
    <t>Game.AddToInventory("Items.Shorts_02_rich_02", 1)</t>
  </si>
  <si>
    <t>Game.AddToInventory("Items.Hard_30_Reflex_Legs", 1)</t>
  </si>
  <si>
    <t>Game.AddToInventory("Items.Normal_20_Melee_Legs", 1)</t>
  </si>
  <si>
    <t>Composite Military Bandana</t>
  </si>
  <si>
    <t>Game.AddToInventory("Items.Scarf_01_basic_01", 1)</t>
  </si>
  <si>
    <t>Composite Ocuset</t>
  </si>
  <si>
    <t>Game.AddToInventory("Items.Tech_01_basic_02", 1)</t>
  </si>
  <si>
    <t>Composite Punk Exo-Jacks</t>
  </si>
  <si>
    <t>Game.AddToInventory("Items.Boots_09_old_01", 1)</t>
  </si>
  <si>
    <t>Composite Shockproof Helmet</t>
  </si>
  <si>
    <t>Game.AddToInventory("Items.Helmet_09_rich_04", 1)</t>
  </si>
  <si>
    <t>Composite-Coated Bitch V.13 T-Shirt</t>
  </si>
  <si>
    <t>Game.AddToInventory("Items.TShirt_02_rich_03", 1)</t>
  </si>
  <si>
    <t>Composite-Coated Camo Slim-Fits</t>
  </si>
  <si>
    <t>Game.AddToInventory("Items.Pants_01_old_02", 1)</t>
  </si>
  <si>
    <t>Composite-Coated Cut-Off Shorts</t>
  </si>
  <si>
    <t>Game.AddToInventory("Items.Shorts_01_old_01", 1)</t>
  </si>
  <si>
    <t>Composite-Lined Jean Shorts</t>
  </si>
  <si>
    <t>Game.AddToInventory("Items.Shorts_04_old_01", 1)</t>
  </si>
  <si>
    <t>Composite-Lined Long Vest With Pattern</t>
  </si>
  <si>
    <t>Game.AddToInventory("Items.Coat_02_basic_02", 1)</t>
  </si>
  <si>
    <t>Composite-Lined Rally Bolero Jacket</t>
  </si>
  <si>
    <t>Game.AddToInventory("Items.Jacket_10_old_02", 1)</t>
  </si>
  <si>
    <t>Composite-Lined Utility Pants</t>
  </si>
  <si>
    <t>Game.AddToInventory("Items.Pants_09_old_03", 1)</t>
  </si>
  <si>
    <t>Composite-Weave Western Shirt</t>
  </si>
  <si>
    <t>Game.AddToInventory("Items.LooseShirt_02_old_01", 1)</t>
  </si>
  <si>
    <t>Compression 2-Piece With High-Performance Fabric</t>
  </si>
  <si>
    <t>Game.AddToInventory("Items.FormalJacket_06_rich_07", 1)</t>
  </si>
  <si>
    <t>Compression Dress With Stretch Fabric</t>
  </si>
  <si>
    <t>Game.AddToInventory("Items.Dress_03_rich_01", 1)</t>
  </si>
  <si>
    <t>Contoured Technosight With Infrared</t>
  </si>
  <si>
    <t>Game.AddToInventory("Items.Tech_04_rich_01", 1)</t>
  </si>
  <si>
    <t>Copper Gleam Fiberglass Helmet</t>
  </si>
  <si>
    <t>Game.AddToInventory("Items.Helmet_01_rich_02", 1)</t>
  </si>
  <si>
    <t>Coral Cutout Bodysuit</t>
  </si>
  <si>
    <t>Game.AddToInventory("Items.Jacket_16_basic_01", 1)</t>
  </si>
  <si>
    <t>Corp-Bud Uniform</t>
  </si>
  <si>
    <t>Game.AddToInventory("Items.Q306_corpbud_outfit", 1)</t>
  </si>
  <si>
    <t>Corporate Armor-Plated Aramid Breastplate</t>
  </si>
  <si>
    <t>Game.AddToInventory("Items.Vest_13_basic_02", 1)</t>
  </si>
  <si>
    <t>Corporate Blazer With Bulletproof Lining</t>
  </si>
  <si>
    <t>Game.AddToInventory("Items.Corporate_01_Set_FormalJacket", 1)</t>
  </si>
  <si>
    <t>Corporate Netrunner Helmet With Thermoregulation</t>
  </si>
  <si>
    <t>Game.AddToInventory("Items.Helmet_10_rich_04", 1)</t>
  </si>
  <si>
    <t>Corroded Ballistic Mask</t>
  </si>
  <si>
    <t>Game.AddToInventory("Items.Mask_04_old_09", 1)</t>
  </si>
  <si>
    <t>Corundum-Coated Anti-Artillery Ballistic Vest</t>
  </si>
  <si>
    <t>Game.AddToInventory("Items.Vest_22_rich_01", 1)</t>
  </si>
  <si>
    <t>Cotton Long-Sleeve</t>
  </si>
  <si>
    <t>Game.AddToInventory("Items.Shirt_01_old_01", 1)</t>
  </si>
  <si>
    <t>Game.AddToInventory("Items.VHard_50_TechCool_InnerToso", 1)</t>
  </si>
  <si>
    <t>Cotton Motorcycle Cap With Protective Inset</t>
  </si>
  <si>
    <t>Game.AddToInventory("Items.Cap_06_basic_01", 1)</t>
  </si>
  <si>
    <t>Game.AddToInventory("Items.Proficiency_Cap_06_basic_01_Crafting", 1)</t>
  </si>
  <si>
    <t>Cowboy Hat With Hardened-Leather Band</t>
  </si>
  <si>
    <t>Game.AddToInventory("Items.Hat_02_basic_01", 1)</t>
  </si>
  <si>
    <t>Cowboy Shinos With Microplate Mesh</t>
  </si>
  <si>
    <t>Game.AddToInventory("Items.Pants_10_old_02", 1)</t>
  </si>
  <si>
    <t>Cowboy Shirt And Vest</t>
  </si>
  <si>
    <t>Game.AddToInventory("Items.FormalShirt_01_old_01", 1)</t>
  </si>
  <si>
    <t>Craneo Brillante Polyamide Extra-Membrane Straightcuts</t>
  </si>
  <si>
    <t>Game.AddToInventory("Items.Pants_06_rich_01", 1)</t>
  </si>
  <si>
    <t>Cráneo Brillante Polyamide Extra-Membrane Straightcuts</t>
  </si>
  <si>
    <t>Game.AddToInventory("Items.Avg_10_Int_Netrunner_Legs", 1)</t>
  </si>
  <si>
    <t>Game.AddToInventory("Items.Hard_20_Reflex_Legs", 1)</t>
  </si>
  <si>
    <t>Game.AddToInventory("Items.Normal_20_Netrunner_Legs", 1)</t>
  </si>
  <si>
    <t>Game.AddToInventory("Items.Weak_10_Legs", 1)</t>
  </si>
  <si>
    <t>Crawlers Coated With Polyvinyl Chloride</t>
  </si>
  <si>
    <t>Game.AddToInventory("Items.Pants_19_basic_04", 1)</t>
  </si>
  <si>
    <t>Crude Technosight</t>
  </si>
  <si>
    <t>Game.AddToInventory("Items.Tech_04_old_04", 1)</t>
  </si>
  <si>
    <t>Crystal Lily Evening Pumps With Extra-Durable Soles</t>
  </si>
  <si>
    <t>Game.AddToInventory("Items.FormalShoes_02_rich_03", 1)</t>
  </si>
  <si>
    <t>Game.AddToInventory("Items.Proficiency_FormalShoes_02_rich_03_Crafting", 1)</t>
  </si>
  <si>
    <t>Cushioned Aramid-Sole Techie Shoes</t>
  </si>
  <si>
    <t>Game.AddToInventory("Items.Techie_01_Set_Shoes", 1)</t>
  </si>
  <si>
    <t>Techie</t>
  </si>
  <si>
    <t>Cushioned Polymer-Foam T-Shirt</t>
  </si>
  <si>
    <t>Game.AddToInventory("Items.Tshirt_12_basic_02", 1)</t>
  </si>
  <si>
    <t>Cushioned Techie Baseball Cap</t>
  </si>
  <si>
    <t>Game.AddToInventory("Items.Techie_01_Set_Cap", 1)</t>
  </si>
  <si>
    <t>Custom Ballistic Mask</t>
  </si>
  <si>
    <t>Game.AddToInventory("Items.Helmet_12_basic_04", 1)</t>
  </si>
  <si>
    <t>Custom Vest With Composite Buckles</t>
  </si>
  <si>
    <t>Game.AddToInventory("Items.Vest_23_rich_03", 1)</t>
  </si>
  <si>
    <t>Cut-Off With Protective Underlayer</t>
  </si>
  <si>
    <t>Game.AddToInventory("Items.Vest_15_old_03", 1)</t>
  </si>
  <si>
    <t>Cut3 Brainzz Tear-Proof Sneakers</t>
  </si>
  <si>
    <t>Game.AddToInventory("Items.CasualShoes_04_basic_01", 1)</t>
  </si>
  <si>
    <t>Cy-4n Hybrid-Knit Aramid Tactical Vest</t>
  </si>
  <si>
    <t>Game.AddToInventory("Items.Vest_01_rich_01", 1)</t>
  </si>
  <si>
    <t>Cyan 2-Piece With Manganese-Steel Reinforcements</t>
  </si>
  <si>
    <t>Game.AddToInventory("Items.FormalJacket_06_basic_02", 1)</t>
  </si>
  <si>
    <t>Cyan Camo Composite-Threaded Cargo Pants</t>
  </si>
  <si>
    <t>Game.AddToInventory("Items.Pants_04_rich_03", 1)</t>
  </si>
  <si>
    <t>Cyan Multiresist Evening Jacket</t>
  </si>
  <si>
    <t>Game.AddToInventory("Items.FormalJacket_04_basic_02", 1)</t>
  </si>
  <si>
    <t>Game.AddToInventory("Items.FormalJacket_04_basic_02_Crafting", 1)</t>
  </si>
  <si>
    <t>Cyan Plastic Shinos</t>
  </si>
  <si>
    <t>Game.AddToInventory("Items.Pants_10_basic_02", 1)</t>
  </si>
  <si>
    <t>Cyan Thermoset Combat Camo Vest</t>
  </si>
  <si>
    <t>Game.AddToInventory("Items.Vest_11_rich_01", 1)</t>
  </si>
  <si>
    <t>Cyberpsycho Mask</t>
  </si>
  <si>
    <t>Game.AddToInventory("Items.Mask_04_old_04", 1)</t>
  </si>
  <si>
    <t>D43-M0n Assault Helmet With Polycarbonate Visor</t>
  </si>
  <si>
    <t>Game.AddToInventory("Items.Helmet_02_rich_04", 1)</t>
  </si>
  <si>
    <t>Daemon Hunter Resistance-Coated Tank Top</t>
  </si>
  <si>
    <t>Game.AddToInventory("Items.TShirt_01_rich_02", 1)</t>
  </si>
  <si>
    <t>Game.AddToInventory("Items.TShirt_01_rich_02_Crafting", 1)</t>
  </si>
  <si>
    <t>Daemon Hunter Tactical Bandana</t>
  </si>
  <si>
    <t>Game.AddToInventory("Items.Scarf_01_rich_02", 1)</t>
  </si>
  <si>
    <t>Daemon Hunter Titanium-Weave Ballistic Vest</t>
  </si>
  <si>
    <t>Game.AddToInventory("Items.Vest_04_rich_02", 1)</t>
  </si>
  <si>
    <t>Damaged Ballistic Mask</t>
  </si>
  <si>
    <t>Game.AddToInventory("Items.Helmet_12_old_02", 1)</t>
  </si>
  <si>
    <t>Dandy Classico Shirt With Fibrotube Weave</t>
  </si>
  <si>
    <t>Game.AddToInventory("Items.FormalShirt_01_rich_01", 1)</t>
  </si>
  <si>
    <t>Danse Macabre Crop Sweater</t>
  </si>
  <si>
    <t>Game.AddToInventory("Items.Jacket_15_old_01", 1)</t>
  </si>
  <si>
    <t>Dark Sapphire Thermo-Fabric Rocker Pants</t>
  </si>
  <si>
    <t>Game.AddToInventory("Items.Pants_03_rich_02", 1)</t>
  </si>
  <si>
    <t>Darker Speed Square Glasses</t>
  </si>
  <si>
    <t>Game.AddToInventory("Items.Glasses_03_basic_01", 1)</t>
  </si>
  <si>
    <t>Game.AddToInventory("Items.Hard_30_IntBody_Face", 1)</t>
  </si>
  <si>
    <t>Darra Polytechnic Cap</t>
  </si>
  <si>
    <t>Game.AddToInventory("Items.Cap_01_basic_01", 1)</t>
  </si>
  <si>
    <t>Game.AddToInventory("Items.Hard_20_Reflex_Head", 1)</t>
  </si>
  <si>
    <t>Game.AddToInventory("Items.Normal_20_Netrunner_Head", 1)</t>
  </si>
  <si>
    <t>Game.AddToInventory("Items.Story_5_Head", 1)</t>
  </si>
  <si>
    <t>Game.AddToInventory("Items.Weak_10_Head", 1)</t>
  </si>
  <si>
    <t>Game.AddToInventory("Items.Weak_30_Head", 1)</t>
  </si>
  <si>
    <t>Game.AddToInventory("TEST.ItemPass_HeadArmor", 1)</t>
  </si>
  <si>
    <t>Darra Polytechnic Suede Sneakers</t>
  </si>
  <si>
    <t>Game.AddToInventory("Items.CasualShoes_04_basic_02", 1)</t>
  </si>
  <si>
    <t>Darra Polytechnic Tactical Balaclava</t>
  </si>
  <si>
    <t>Game.AddToInventory("Items.Balaclava_01_basic_02", 1)</t>
  </si>
  <si>
    <t>Darra Polytehcnic Tactical Balaclava</t>
  </si>
  <si>
    <t>Game.AddToInventory("Items.Balaclava_01_basic_02_Crafting", 1)</t>
  </si>
  <si>
    <t>Game.AddToInventory("Items.Normal_20_Melee_Head", 1)</t>
  </si>
  <si>
    <t>Dated Bd Wreath</t>
  </si>
  <si>
    <t>Game.AddToInventory("Items.Tech_02_old_01", 1)</t>
  </si>
  <si>
    <t>Dated Long Vest</t>
  </si>
  <si>
    <t>Game.AddToInventory("Items.Coat_02_old_02", 1)</t>
  </si>
  <si>
    <t>David's Jacket</t>
  </si>
  <si>
    <t>Game.AddToInventory("Items.MQ049_martinez_jacket", 1)</t>
  </si>
  <si>
    <t>Dazzling Fluoropolymer-Composite Crawlers</t>
  </si>
  <si>
    <t>Game.AddToInventory("Items.Pants_19_rich_02", 1)</t>
  </si>
  <si>
    <t>Deadly Lagoon Armored Syn-Silk Pozer-Jacket</t>
  </si>
  <si>
    <t>Game.AddToInventory("Items.Jacket_17_rich_06", 1)</t>
  </si>
  <si>
    <t>Game.AddToInventory("Items.Jacket_17_rich_06_Crafting", 1)</t>
  </si>
  <si>
    <t>Decadencia Verde Bulletproof Tactical Harness</t>
  </si>
  <si>
    <t>Game.AddToInventory("Items.Vest_06_rich_02", 1)</t>
  </si>
  <si>
    <t>Decadencia Verde Heavy Plate-Weave Combat Shirt</t>
  </si>
  <si>
    <t>Game.AddToInventory("Items.Shirt_03_rich_03", 1)</t>
  </si>
  <si>
    <t>Game.AddToInventory("Items.Hard_20_Body_InnerToso", 1)</t>
  </si>
  <si>
    <t>Game.AddToInventory("Items.Hard_30_BodyTech_InnerToso", 1)</t>
  </si>
  <si>
    <t>Game.AddToInventory("Items.Str_10_Tank_InnerToso", 1)</t>
  </si>
  <si>
    <t>Game.AddToInventory("Items.Str_5_Tank_InnerToso", 1)</t>
  </si>
  <si>
    <t>Decadencia Verde Tactical Armor-Weave Pants</t>
  </si>
  <si>
    <t>Game.AddToInventory("Items.Pants_07_rich_03", 1)</t>
  </si>
  <si>
    <t>Game.AddToInventory("Items.Hard_20_Body_Legs", 1)</t>
  </si>
  <si>
    <t>Game.AddToInventory("Items.Hard_30_BodyTech_Legs", 1)</t>
  </si>
  <si>
    <t>Game.AddToInventory("Items.Str_10_Tank_Legs", 1)</t>
  </si>
  <si>
    <t>Game.AddToInventory("Items.Str_5_Tank_Legs", 1)</t>
  </si>
  <si>
    <t>Ded-Zed Hybridweave T-Shirt</t>
  </si>
  <si>
    <t>Game.AddToInventory("Items.TShirt_02_basic_03", 1)</t>
  </si>
  <si>
    <t>Demon Rhapsody Reactive-Layer Pencil Dress</t>
  </si>
  <si>
    <t>Game.AddToInventory("Items.Dress_01_rich_02", 1)</t>
  </si>
  <si>
    <t>Denim Biker Jacket With Thermoactive Collar</t>
  </si>
  <si>
    <t>Game.AddToInventory("Items.Jacket_12_basic_01", 1)</t>
  </si>
  <si>
    <t>Denim Crawlers With Polyurethane Interweave</t>
  </si>
  <si>
    <t>Game.AddToInventory("Items.Pants_19_basic_02", 1)</t>
  </si>
  <si>
    <t>Denim Mesh Western Shirt</t>
  </si>
  <si>
    <t>Game.AddToInventory("Items.LooseShirt_02_basic_02", 1)</t>
  </si>
  <si>
    <t>Game.AddToInventory("Items.Normal_20_Melee_OuterTorso", 1)</t>
  </si>
  <si>
    <t>Denim Silkie Finished With Water-Glass Fiber</t>
  </si>
  <si>
    <t>Game.AddToInventory("Items.Coat_06_basic_03", 1)</t>
  </si>
  <si>
    <t>Denim Work Vest</t>
  </si>
  <si>
    <t>Game.AddToInventory("Items.Vest_23_old_04", 1)</t>
  </si>
  <si>
    <t>Denki-Shin Thermoset Hybrid Crystaljock Bomber</t>
  </si>
  <si>
    <t>Game.AddToInventory("Items.Jacket_01_rich_01", 1)</t>
  </si>
  <si>
    <t>Game.AddToInventory("Items.Jacket_01_rich_01_Crafting", 1)</t>
  </si>
  <si>
    <t>Denkyoku Rocker Strongweave Duolayer Slim-Fits</t>
  </si>
  <si>
    <t>Game.AddToInventory("Items.Pants_01_rich_03", 1)</t>
  </si>
  <si>
    <t>Desert Cross Strong-Weave Button-Up</t>
  </si>
  <si>
    <t>Game.AddToInventory("Items.FormalShirt_02_rich_01", 1)</t>
  </si>
  <si>
    <t>Desert Tac Vest With Anti-Sand Scarf</t>
  </si>
  <si>
    <t>Game.AddToInventory("Items.Vest_21_old_02", 1)</t>
  </si>
  <si>
    <t>Designer Fleets With Acid-Resistant Uppers</t>
  </si>
  <si>
    <t>Game.AddToInventory("Items.Boots_12_rich_01", 1)</t>
  </si>
  <si>
    <t>Game.AddToInventory("Items.VHard_50_BodyCool_Feet", 1)</t>
  </si>
  <si>
    <t>Designer Jacket With Anti-Ballistic Padding</t>
  </si>
  <si>
    <t>Game.AddToInventory("Items.Jacket_23_rich_02", 1)</t>
  </si>
  <si>
    <t>Diamant Noir Carbon-Reinforced Corporate Blazer</t>
  </si>
  <si>
    <t>Game.AddToInventory("Items.FormalJacket_02_rich_02", 1)</t>
  </si>
  <si>
    <t>Dirty Long-Sleeve Sweatshirt</t>
  </si>
  <si>
    <t>Game.AddToInventory("Items.Jacket_23_old_01", 1)</t>
  </si>
  <si>
    <t>Dirty Militech Suit</t>
  </si>
  <si>
    <t>Game.AddToInventory("Items.Q005_Militech_Suit_Dirty", 1)</t>
  </si>
  <si>
    <t>Militech</t>
  </si>
  <si>
    <t>Dirty Nusa Tactical Harness</t>
  </si>
  <si>
    <t>Game.AddToInventory("Items.Vest_06_old_02", 1)</t>
  </si>
  <si>
    <t>Dirty Padded Ushanka</t>
  </si>
  <si>
    <t>Game.AddToInventory("Items.Hat_06_old_01", 1)</t>
  </si>
  <si>
    <t>Dirty Unbuttoned Vest</t>
  </si>
  <si>
    <t>Game.AddToInventory("Items.Vest_23_old_03", 1)</t>
  </si>
  <si>
    <t>Discolored Plasticized Vest</t>
  </si>
  <si>
    <t>Game.AddToInventory("Items.Vest_23_old_02", 1)</t>
  </si>
  <si>
    <t>Discowboy Durable Synthfiber Western Shirt</t>
  </si>
  <si>
    <t>Game.AddToInventory("Items.LooseShirt_02_basic_01", 1)</t>
  </si>
  <si>
    <t>Diy Tactical Chest Holster</t>
  </si>
  <si>
    <t>Game.AddToInventory("Items.Vest_24_old_02", 1)</t>
  </si>
  <si>
    <t>Double-Shelled At-Ak Modular Helmet</t>
  </si>
  <si>
    <t>Game.AddToInventory("Items.Helmet_01_basic_01", 1)</t>
  </si>
  <si>
    <t>Game.AddToInventory("Items.Hard_30_Reflex_Head", 1)</t>
  </si>
  <si>
    <t>Dress With Crystalline Protective Sleeves</t>
  </si>
  <si>
    <t>Game.AddToInventory("Items.Dress_04_basic_01", 1)</t>
  </si>
  <si>
    <t>Dried Blood Metal-Reinforced Tactical Techgogs</t>
  </si>
  <si>
    <t>Game.AddToInventory("Items.Visor_02_rich_03", 1)</t>
  </si>
  <si>
    <t>Duolayer Microplate-Mesh Nomad Jacket</t>
  </si>
  <si>
    <t>Game.AddToInventory("Items.Nomad_01_Set_Jacket", 1)</t>
  </si>
  <si>
    <t>Duolayer Military Camo Shorts</t>
  </si>
  <si>
    <t>Game.AddToInventory("Items.Shorts_04_old_03", 1)</t>
  </si>
  <si>
    <t>Duolayer Military Cap With Gauge</t>
  </si>
  <si>
    <t>Game.AddToInventory("Items.Hat_03_rich_01", 1)</t>
  </si>
  <si>
    <t>Duolayer Nylon Vest</t>
  </si>
  <si>
    <t>Game.AddToInventory("Items.Coat_02_basic_01", 1)</t>
  </si>
  <si>
    <t>Duolayer Syndown-Insulated Cap</t>
  </si>
  <si>
    <t>Game.AddToInventory("Items.Hat_06_basic_06", 1)</t>
  </si>
  <si>
    <t>Duolayer Tacticloth Straightcuts</t>
  </si>
  <si>
    <t>Game.AddToInventory("Items.Pants_06_old_02", 1)</t>
  </si>
  <si>
    <t>Duoweave Composite Loose-Fits</t>
  </si>
  <si>
    <t>Game.AddToInventory("Items.Pants_02_old_01", 1)</t>
  </si>
  <si>
    <t>Duoweave Composite Skinny Jeans</t>
  </si>
  <si>
    <t>Game.AddToInventory("Items.Pants_01_old_03", 1)</t>
  </si>
  <si>
    <t>Duoweave Psycho Cutout Bodysuit</t>
  </si>
  <si>
    <t>Game.AddToInventory("Items.Jacket_16_old_01", 1)</t>
  </si>
  <si>
    <t>Maelstrom</t>
  </si>
  <si>
    <t>Durable Basilisk Aramid-Weave Slim-Fits</t>
  </si>
  <si>
    <t>Game.AddToInventory("Items.Pants_01_rich_02", 1)</t>
  </si>
  <si>
    <t>Durable Bioleather Nomad Western Boots</t>
  </si>
  <si>
    <t>Game.AddToInventory("Items.Nomad_01_Set_Boots", 1)</t>
  </si>
  <si>
    <t>Durable Bioweave Pleated Pants</t>
  </si>
  <si>
    <t>Game.AddToInventory("Items.FormalPants_01_basic_03", 1)</t>
  </si>
  <si>
    <t>Durable Custom-Printed Jeans</t>
  </si>
  <si>
    <t>Game.AddToInventory("Items.Pants_03_old_03", 1)</t>
  </si>
  <si>
    <t>Durable Duralumin Full-Face Helmet</t>
  </si>
  <si>
    <t>Game.AddToInventory("Items.Helmet_11_basic_01", 1)</t>
  </si>
  <si>
    <t>Durable Emerald Speed Polyamide Beanie</t>
  </si>
  <si>
    <t>Game.AddToInventory("Items.Cap_03_rich_02", 1)</t>
  </si>
  <si>
    <t>Game.AddToInventory("Items.Cap_03_rich_02_Crafting", 1)</t>
  </si>
  <si>
    <t>Durable Felt-Blend Trilby</t>
  </si>
  <si>
    <t>Game.AddToInventory("Items.Hat_01_old_01", 1)</t>
  </si>
  <si>
    <t>Durable Hardened Syn-Cotton T-Shirt</t>
  </si>
  <si>
    <t>Game.AddToInventory("Items.TShirt_02_old_03", 1)</t>
  </si>
  <si>
    <t>Durable High-Collar Vest</t>
  </si>
  <si>
    <t>Game.AddToInventory("Items.Vest_07_old_02", 1)</t>
  </si>
  <si>
    <t>Durable Laser-Cut Laminate T-Shirt</t>
  </si>
  <si>
    <t>Game.AddToInventory("Items.Tshirt_12_basic_06", 1)</t>
  </si>
  <si>
    <t>Durable Lime Speed Modular Helmet</t>
  </si>
  <si>
    <t>Game.AddToInventory("Items.Helmet_01_basic_03", 1)</t>
  </si>
  <si>
    <t>Game.AddToInventory("Items.Helmet_01_basic_03_Crafting", 1)</t>
  </si>
  <si>
    <t>Durable Meta-Aramid Fleece Silkie</t>
  </si>
  <si>
    <t>Game.AddToInventory("Items.Coat_06_basic_05", 1)</t>
  </si>
  <si>
    <t>Durable Militech Training Jumpsuit</t>
  </si>
  <si>
    <t>Game.AddToInventory("Items.Jumpsuit_01_old_01", 1)</t>
  </si>
  <si>
    <t>Durable Nanofiber Plaid Headband</t>
  </si>
  <si>
    <t>Game.AddToInventory("Items.Scarf_02_old_01", 1)</t>
  </si>
  <si>
    <t>Durable Parachute-Fabric Strapped Cargos</t>
  </si>
  <si>
    <t>Game.AddToInventory("Items.Pants_20_basic_06", 1)</t>
  </si>
  <si>
    <t>Durable Plaid Skirt</t>
  </si>
  <si>
    <t>Game.AddToInventory("Items.FormalSkirt_01_basic_01", 1)</t>
  </si>
  <si>
    <t>Durable Plastic-Weave Long Vest</t>
  </si>
  <si>
    <t>Game.AddToInventory("Items.Coat_02_old_04", 1)</t>
  </si>
  <si>
    <t>Durable Smiley Hard Loose-Fits</t>
  </si>
  <si>
    <t>Game.AddToInventory("Items.Pants_02_basic_01", 1)</t>
  </si>
  <si>
    <t>Game.AddToInventory("Items.Pants_02_basic_01_Crafting", 1)</t>
  </si>
  <si>
    <t>Durable Sweatshirt With Breathable Panels</t>
  </si>
  <si>
    <t>Game.AddToInventory("Items.Jacket_23_basic_01", 1)</t>
  </si>
  <si>
    <t>Durable Synsilk Blazer</t>
  </si>
  <si>
    <t>Game.AddToInventory("Items.FormalJacket_02_basic_02", 1)</t>
  </si>
  <si>
    <t>Game.AddToInventory("Items.FormalJacket_02_basic_02_Crafting", 1)</t>
  </si>
  <si>
    <t>Durable Synthetic Biker Coat</t>
  </si>
  <si>
    <t>Game.AddToInventory("Items.Coat_03_basic_01", 1)</t>
  </si>
  <si>
    <t>Durable Synweave Corporate Dress</t>
  </si>
  <si>
    <t>Game.AddToInventory("Items.Dress_02_basic_01", 1)</t>
  </si>
  <si>
    <t>Durable Unitard With Anti-Shrapnel Weave</t>
  </si>
  <si>
    <t>Game.AddToInventory("Items.TightJumpsuit_02_rich_04", 1)</t>
  </si>
  <si>
    <t>Durable Urban Soul Cap With Rubber Insets</t>
  </si>
  <si>
    <t>Game.AddToInventory("Items.Cap_01_rich_02", 1)</t>
  </si>
  <si>
    <t>Durable Windbreaker Pants</t>
  </si>
  <si>
    <t>Game.AddToInventory("Items.Pants_12_basic_01", 1)</t>
  </si>
  <si>
    <t>Durable Zebra Sport Glasses With Uv Filter</t>
  </si>
  <si>
    <t>Game.AddToInventory("Items.Glasses_03_basic_09", 1)</t>
  </si>
  <si>
    <t>Durable Zebriger Led-Lined Jacket</t>
  </si>
  <si>
    <t>Game.AddToInventory("Items.Jacket_19_rich_04", 1)</t>
  </si>
  <si>
    <t>Dusty Rocker Jacket With Buckles</t>
  </si>
  <si>
    <t>Game.AddToInventory("Items.Jacket_19_old_02", 1)</t>
  </si>
  <si>
    <t>Eclectic Utility Chest Holster With Carbon Inlays</t>
  </si>
  <si>
    <t>Game.AddToInventory("Items.Vest_24_rich_03", 1)</t>
  </si>
  <si>
    <t>Eco-Friendly 2-Piece From Recycled Pet Bottles</t>
  </si>
  <si>
    <t>Game.AddToInventory("Items.FormalJacket_06_rich_06", 1)</t>
  </si>
  <si>
    <t>Edge Warrior Crystaljock Bomber</t>
  </si>
  <si>
    <t>Game.AddToInventory("Items.Jacket_01_old_02", 1)</t>
  </si>
  <si>
    <t>El Dorado Aramid-Weave Dress Shirt And Vest</t>
  </si>
  <si>
    <t>Game.AddToInventory("Items.FormalShirt_01_rich_04", 1)</t>
  </si>
  <si>
    <t>Elastic Balaclava With Flatlock Seams</t>
  </si>
  <si>
    <t>Game.AddToInventory("Items.Balaclava_02_basic_02", 1)</t>
  </si>
  <si>
    <t>Elastic Flame-Resistant Rocker Pants</t>
  </si>
  <si>
    <t>Game.AddToInventory("Items.Rockerboy_01_Set_Pants", 1)</t>
  </si>
  <si>
    <t>Rocker</t>
  </si>
  <si>
    <t>Elastic Microplated Sporty Turtleneck</t>
  </si>
  <si>
    <t>Game.AddToInventory("Items.Shirt_02_old_03", 1)</t>
  </si>
  <si>
    <t>Elastic Para-Aramid Dress</t>
  </si>
  <si>
    <t>Game.AddToInventory("Items.Dress_04_rich_03", 1)</t>
  </si>
  <si>
    <t>Elastic Sturdy-Stitched Harem Pants</t>
  </si>
  <si>
    <t>Game.AddToInventory("Items.Pants_15_old_01", 1)</t>
  </si>
  <si>
    <t>Elastic Unitard With Breathable Mesh</t>
  </si>
  <si>
    <t>Game.AddToInventory("Items.TightJumpsuit_02_basic_01", 1)</t>
  </si>
  <si>
    <t>Elastiflex Utilitarian Glasses</t>
  </si>
  <si>
    <t>Game.AddToInventory("Items.Glasses_02_basic_02", 1)</t>
  </si>
  <si>
    <t>Electric Marble Ultralight Athletic Shoes</t>
  </si>
  <si>
    <t>Game.AddToInventory("Items.CasualShoes_05_basic_01", 1)</t>
  </si>
  <si>
    <t>Elegant 2-Piece With Antiseptic Membrane</t>
  </si>
  <si>
    <t>Game.AddToInventory("Items.FormalJacket_06_basic_04", 1)</t>
  </si>
  <si>
    <t>Elegant Caret Cassico Blazer With Nanotube Stripes</t>
  </si>
  <si>
    <t>Game.AddToInventory("Items.FormalJacket_02_rich_03", 1)</t>
  </si>
  <si>
    <t>Elegant Hybrid-Lining Pencil Dress</t>
  </si>
  <si>
    <t>Game.AddToInventory("Items.Dress_01_basic_03", 1)</t>
  </si>
  <si>
    <t>Elegant Nanoweave Yukata</t>
  </si>
  <si>
    <t>Game.AddToInventory("Items.Vest_19_basic_02", 1)</t>
  </si>
  <si>
    <t>Elegant Sepia Vision Aviators With Reinforced Lenses</t>
  </si>
  <si>
    <t>Game.AddToInventory("Items.Glasses_01_basic_02", 1)</t>
  </si>
  <si>
    <t>Game.AddToInventory("Items.Q301_Nomad_WA_Face", 1)</t>
  </si>
  <si>
    <t>Elegant Unitard With Ballistic Lining</t>
  </si>
  <si>
    <t>Game.AddToInventory("Items.TightJumpsuit_02_rich_05", 1)</t>
  </si>
  <si>
    <t>Emerald Pheromone-Infused 2-Piece</t>
  </si>
  <si>
    <t>Game.AddToInventory("Items.FormalJacket_06_basic_06", 1)</t>
  </si>
  <si>
    <t>Enhanced Aramid Vest</t>
  </si>
  <si>
    <t>Game.AddToInventory("Items.Vest_02_basic_01", 1)</t>
  </si>
  <si>
    <t>Enhanced Cebra Excentrica Carbon-Reinforced Trilby</t>
  </si>
  <si>
    <t>Game.AddToInventory("Items.Hat_01_rich_02", 1)</t>
  </si>
  <si>
    <t>Enhanced Daemon Hunter Tongues</t>
  </si>
  <si>
    <t>Game.AddToInventory("Items.CasualShoes_02_basic_01_Crafting", 1)</t>
  </si>
  <si>
    <t>Enhanced High-Collar Vest</t>
  </si>
  <si>
    <t>Game.AddToInventory("Items.Vest_07_basic_02", 1)</t>
  </si>
  <si>
    <t>Epoxy Ballistic Mask With Titanium-Reinforced Visor</t>
  </si>
  <si>
    <t>Game.AddToInventory("Items.Helmet_12_rich_04", 1)</t>
  </si>
  <si>
    <t>Game.AddToInventory("Items.VHard_50_IntRef_Head", 1)</t>
  </si>
  <si>
    <t>Epoxy Camouflage Helmet</t>
  </si>
  <si>
    <t>Game.AddToInventory("Items.Helmet_08_basic_04", 1)</t>
  </si>
  <si>
    <t>Ergonomic Ballistic Gas Mask</t>
  </si>
  <si>
    <t>Game.AddToInventory("Items.Mask_04_rich_05", 1)</t>
  </si>
  <si>
    <t>Ergonomic Ballistic Vest</t>
  </si>
  <si>
    <t>Game.AddToInventory("Items.Vest_22_old_01", 1)</t>
  </si>
  <si>
    <t>Ergonomic Half-Zip In Responsive Lightweight Fabric</t>
  </si>
  <si>
    <t>Game.AddToInventory("Items.Coat_05_rich_02", 1)</t>
  </si>
  <si>
    <t>Ergonomic Safety 3201 Military Shades</t>
  </si>
  <si>
    <t>Game.AddToInventory("Items.Glasses_03_basic_03", 1)</t>
  </si>
  <si>
    <t>Exclusive 2-Piece With Anti-Frag Slats</t>
  </si>
  <si>
    <t>Game.AddToInventory("Items.FormalJacket_06_rich_04", 1)</t>
  </si>
  <si>
    <t>Extra-Durable Striped Tank Top</t>
  </si>
  <si>
    <t>Game.AddToInventory("Items.TShirt_03_basic_02", 1)</t>
  </si>
  <si>
    <t>Extra-Reinforced Knotted Tank</t>
  </si>
  <si>
    <t>Game.AddToInventory("Items.TShirt_08_basic_01", 1)</t>
  </si>
  <si>
    <t>Extra-Rubber Neotac Pants</t>
  </si>
  <si>
    <t>Game.AddToInventory("Items.Pants_08_basic_03", 1)</t>
  </si>
  <si>
    <t>Extra-Sturdy Deadly Lagoon Tank Top</t>
  </si>
  <si>
    <t>Game.AddToInventory("Items.TShirt_03_basic_01", 1)</t>
  </si>
  <si>
    <t>Faded Bucket Hat</t>
  </si>
  <si>
    <t>Game.AddToInventory("Items.Hat_05_old_03", 1)</t>
  </si>
  <si>
    <t>Faded Cirqt Laceless Steel-Toes</t>
  </si>
  <si>
    <t>Game.AddToInventory("Items.Boots_07_old_02", 1)</t>
  </si>
  <si>
    <t>Faded Corduroy Ushanka</t>
  </si>
  <si>
    <t>Game.AddToInventory("Items.Hat_06_old_03", 1)</t>
  </si>
  <si>
    <t>Faded Nusa Flat Cap</t>
  </si>
  <si>
    <t>Game.AddToInventory("Items.Cap_02_old_02", 1)</t>
  </si>
  <si>
    <t>Faded Shorts</t>
  </si>
  <si>
    <t>Game.AddToInventory("Items.Shorts_04_old_04", 1)</t>
  </si>
  <si>
    <t>Faded Synwool Silkie</t>
  </si>
  <si>
    <t>Game.AddToInventory("Items.Coat_06_old_02", 1)</t>
  </si>
  <si>
    <t>Faded T-Shirt With Upf 50+ Fabric</t>
  </si>
  <si>
    <t>Game.AddToInventory("Items.Tshirt_12_old_02", 1)</t>
  </si>
  <si>
    <t>Faded Uniware Knotted Tank</t>
  </si>
  <si>
    <t>Game.AddToInventory("Items.TShirt_08_old_01", 1)</t>
  </si>
  <si>
    <t>Fairy Frost Trench Coat With Protective Mesh</t>
  </si>
  <si>
    <t>Game.AddToInventory("Items.Coat_04_rich_01", 1)</t>
  </si>
  <si>
    <t>Fake Samerei Jacket</t>
  </si>
  <si>
    <t>Game.AddToInventory("Items.mq017_SameraiJacket", 1)</t>
  </si>
  <si>
    <t>Fan Boots With Samurai Logo</t>
  </si>
  <si>
    <t>Game.AddToInventory("Items.Boots_12_basic_02", 1)</t>
  </si>
  <si>
    <t>Fancy 2-Piece With Merino Wool Accents</t>
  </si>
  <si>
    <t>Game.AddToInventory("Items.FormalJacket_06_rich_08", 1)</t>
  </si>
  <si>
    <t>Fancy Dragon Aramid-Lined Short Puffer</t>
  </si>
  <si>
    <t>Game.AddToInventory("Items.Vest_16_rich_02", 1)</t>
  </si>
  <si>
    <t>Feline Fury Flame-Resistant Cocktail Jacket</t>
  </si>
  <si>
    <t>Game.AddToInventory("Items.FormalJacket_03_rich_01", 1)</t>
  </si>
  <si>
    <t>Fem V's Abendstern Polycarbonate Dress Wedges | Masc V's Abendstern Polycarbonate Dress Shoes</t>
  </si>
  <si>
    <t>Game.AddToInventory("Items.FormalShoes_03_rich_01", 1)</t>
  </si>
  <si>
    <t>Fem V's Anti-Puncture Nanoweave Tongues | Masc V's Anti-Puncture Nanoweave Slip-On Sneakers</t>
  </si>
  <si>
    <t>Game.AddToInventory("Items.CasualShoes_02_old_02", 1)</t>
  </si>
  <si>
    <t>Fem V's Armorweave Rocker Bra | Masc V's Reinforced-Seem Cotton Rocker Tank</t>
  </si>
  <si>
    <t>Game.AddToInventory("Items.Rockerboy_01_Set_TShirt", 1)</t>
  </si>
  <si>
    <t>Fem V's Basic Polycarbonate Foldtop | Masc V's Basic Loose Polycarbonate Highneck</t>
  </si>
  <si>
    <t>Game.AddToInventory("Items.Jacket_11_basic_02", 1)</t>
  </si>
  <si>
    <t>Fem V's Camo Foldtop | Masc V's Camo Loose Highneck</t>
  </si>
  <si>
    <t>Game.AddToInventory("Items.Jacket_11_old_01", 1)</t>
  </si>
  <si>
    <t>Fem V's Carbon Reinforced Tongues | Masc V's Carbon-Reinforced Slip-On Sneakers</t>
  </si>
  <si>
    <t>Game.AddToInventory("Items.CasualShoes_02_old_01", 1)</t>
  </si>
  <si>
    <t>Fem V's Comfy Formal Pumps With Metal Inserts | Masc V's Comfy Dress Shoes With Metal Inserts</t>
  </si>
  <si>
    <t>Game.AddToInventory("Items.FormalShoes_01_basic_02", 1)</t>
  </si>
  <si>
    <t>Fem V's Creamy Rhubarb Dress Wedges With Sole Support | Masc V's Creamy Rhubarb Dress Shoes With Sole Support</t>
  </si>
  <si>
    <t>Game.AddToInventory("Items.FormalShoes_03_rich_02", 1)</t>
  </si>
  <si>
    <t>Fem V's Double-Varnished Formal Pump | Masc V's Double-Varnished Formal Shoes</t>
  </si>
  <si>
    <t>Game.AddToInventory("Items.FormalShoes_02_basic_03", 1)</t>
  </si>
  <si>
    <t>Fem V's Duolayer Floral Hijab | Masc V's Duolayer Floral Keffiyeh</t>
  </si>
  <si>
    <t>Game.AddToInventory("Items.Scarf_03_basic_02", 1)</t>
  </si>
  <si>
    <t>Fem V's Duolayer Quilted Hijab | Masc V's Duolayer Quilted Keffiyeh</t>
  </si>
  <si>
    <t>Game.AddToInventory("Items.Scarf_03_old_02", 1)</t>
  </si>
  <si>
    <t>Fem V's Dura-Membrane Netrunner Pants | Masc V's Dura-Membrane Netrunner Neotac Pants</t>
  </si>
  <si>
    <t>Game.AddToInventory("Items.Netrunner_01_Set_Pants", 1)</t>
  </si>
  <si>
    <t>Fem V's Durable Modified Linen Hijab | Masc V's Durable Modified Linen Keffiyeh</t>
  </si>
  <si>
    <t>Game.AddToInventory("Items.Scarf_03_old_03", 1)</t>
  </si>
  <si>
    <t>Fem V's Elastiweave Fixer Pumps With Reinforced Seams | Masc V's Elastiweave Fixer Shoes With Reinforced Seams</t>
  </si>
  <si>
    <t>Game.AddToInventory("Items.Fixer_01_Set_FormalShoes", 1)</t>
  </si>
  <si>
    <t>Fixer</t>
  </si>
  <si>
    <t>Fem V's Emperatriz Tigresa Duoweave Jumpsuit | Masc V's Emperador Tigre Dual-Weave Jumpsuit</t>
  </si>
  <si>
    <t>Game.AddToInventory("Items.Jumpsuit_01_rich_02", 1)</t>
  </si>
  <si>
    <t>Fem V's Enhanced Daemon Hunter Tongues | Masc V's Enhanced Daemon Hunter Slip-On Sneakers</t>
  </si>
  <si>
    <t>Game.AddToInventory("Items.CasualShoes_02_basic_01", 1)</t>
  </si>
  <si>
    <t>Fem V's Ergonomic Reinforced Corporate Pumps | Masc V's Ergonomic Reinforced Corporate Evening Shoes</t>
  </si>
  <si>
    <t>Game.AddToInventory("Items.Corporate_01_Set_FormalShoes", 1)</t>
  </si>
  <si>
    <t>Fem V's Favorite Top | Masc V's Favorite T-Shirt</t>
  </si>
  <si>
    <t>Game.AddToInventory("Items.Q001_TShirt", 1)</t>
  </si>
  <si>
    <t>V's Outfit</t>
  </si>
  <si>
    <t>Fem V's Formal Pumps With Cushioned Composite Insoles | Masc V's Beige Dress Shoes With Cushioned Composite Insoles</t>
  </si>
  <si>
    <t>Game.AddToInventory("Items.FormalShoes_01_basic_03", 1)</t>
  </si>
  <si>
    <t>Fem V's Graffiti Thermoset Synweave Hijab | Masc V's Graffiti Thermoset Syn-Weave Keffiyeh</t>
  </si>
  <si>
    <t>Game.AddToInventory("Items.Scarf_03_basic_03", 1)</t>
  </si>
  <si>
    <t>Fem V's Gray Area Anti-Tear Hijab | Masc V's Gray Area Anti-Tear Keffiyeh</t>
  </si>
  <si>
    <t>Game.AddToInventory("Items.Scarf_03_rich_01", 1)</t>
  </si>
  <si>
    <t>Fem V's Gray Decay Synfabric Racerback Tank | Masc V's Gray Decay Tank Top</t>
  </si>
  <si>
    <t>Game.AddToInventory("Items.TShirt_07_basic_01", 1)</t>
  </si>
  <si>
    <t>Fem V's Hardened Leather Foldtop | Masc V's Hardened Leather Loose Highneck</t>
  </si>
  <si>
    <t>Game.AddToInventory("Items.Jacket_11_old_02", 1)</t>
  </si>
  <si>
    <t>Fem V's Heat-Resistant Aramid-Weave Fixer Bustier | Masc V's Heat-Resistant Aramid-Weave Fixer Shirt</t>
  </si>
  <si>
    <t>Game.AddToInventory("Items.Fixer_01_Set_TShirt", 1)</t>
  </si>
  <si>
    <t>Fem V's Kinryu Deluxe Hijab With Protective Mesh | Masc V's Kinryu Deluxe Keffiyeh With Protective Mesh</t>
  </si>
  <si>
    <t>Game.AddToInventory("Items.Scarf_03_rich_03", 1)</t>
  </si>
  <si>
    <t>Fem V's Lezard Beige Leather-Composite Formal Pump | Masc V's Lezard Beige Leather-Composite Dress Shoes</t>
  </si>
  <si>
    <t>Game.AddToInventory("Items.FormalShoes_02_rich_02", 1)</t>
  </si>
  <si>
    <t>Fem V's Light Hijab With Microplate Mesh | Masc V's Light Keffiyeh With Microplate Mesh</t>
  </si>
  <si>
    <t>Game.AddToInventory("Items.Scarf_03_basic_01", 1)</t>
  </si>
  <si>
    <t>Fem V's Midday Glow Polycarbonate Formal Pumps | Masc V's Midday Glow Polycarbonate Dress Shoes</t>
  </si>
  <si>
    <t>Game.AddToInventory("Items.FormalShoes_01_rich_02", 1)</t>
  </si>
  <si>
    <t>Fem V's Milky Trail Ceramic Alloy Canvas Tongues  | Masc V's Milky Trail Slip-On Ceramic Alloy Sneakers</t>
  </si>
  <si>
    <t>Game.AddToInventory("Items.CasualShoes_02_basic_02", 1)</t>
  </si>
  <si>
    <t>Fem V's Mini Coolquilt Foldtop | Masc V's Loose Coolquilt Highneck</t>
  </si>
  <si>
    <t>Game.AddToInventory("Items.Jacket_11_basic_01", 1)</t>
  </si>
  <si>
    <t>Fem V's Night City Sturdimesh Racerback Tank | Masc V's Night City Tank Top</t>
  </si>
  <si>
    <t>Game.AddToInventory("Items.TShirt_07_basic_02", 1)</t>
  </si>
  <si>
    <t>Fem V's Nomad Shoe | Masc V's Nomad Boots</t>
  </si>
  <si>
    <t>Game.AddToInventory("Items.Q000_Nomad_Boots", 1)</t>
  </si>
  <si>
    <t>V's Nomad</t>
  </si>
  <si>
    <t>Fem V's Office Pumps  | Masc V's Office Shoes</t>
  </si>
  <si>
    <t>Game.AddToInventory("Items.Q000_Corpo_FormalShoes", 1)</t>
  </si>
  <si>
    <t>V's Corpo</t>
  </si>
  <si>
    <t>Fem V's Protective-Layer Fixer Skirt | Masc V's Protective-Layer Fixer Pants</t>
  </si>
  <si>
    <t>Game.AddToInventory("Items.Fixer_01_Set_Pants", 1)</t>
  </si>
  <si>
    <t>Fem V's Psycho Puncture-Resistant Racerback Tank | Masc V's Psycho Tank Top</t>
  </si>
  <si>
    <t>Game.AddToInventory("Items.TShirt_07_rich_01", 1)</t>
  </si>
  <si>
    <t>Fem V's Puncture-Resistant Rocker Platform Boots | Masc V's Puncture-Resistant Rocker Ankle Boots</t>
  </si>
  <si>
    <t>Game.AddToInventory("Items.Rockerboy_01_Set_Boots", 1)</t>
  </si>
  <si>
    <t>Fem V's Reinforced Composite-Lined Rocker Foldtop | Masc V's Duolayer Polyamide Rocker Vest</t>
  </si>
  <si>
    <t>Game.AddToInventory("Items.Rockerboy_01_Set_Jacket", 1)</t>
  </si>
  <si>
    <t>Fem V's Reinforced Office Wedges | Masc V's Reinforced Office Shoes</t>
  </si>
  <si>
    <t>Game.AddToInventory("Items.FormalShoes_03_basic_01", 1)</t>
  </si>
  <si>
    <t>Fem V's Reinforced Uniware Platform Boots | Masc V's Reinforced Uniware Ankle Boots</t>
  </si>
  <si>
    <t>Game.AddToInventory("Items.Boots_01_basic_01", 1)</t>
  </si>
  <si>
    <t>Fem V's Reinforced-Leather Office Pumps | Masc V's Reinforced-Leather Office Shoes</t>
  </si>
  <si>
    <t>Game.AddToInventory("Items.FormalShoes_02_basic_01", 1)</t>
  </si>
  <si>
    <t>Game.AddToInventory("Items.VHard_50_CoolRef_Feet", 1)</t>
  </si>
  <si>
    <t>Fem V's Ripped Tactical Camo Crop Top | Masc V's Torn Tacti-Fiber Camo Tank</t>
  </si>
  <si>
    <t>Game.AddToInventory("Items.TShirt_09_basic_01", 1)</t>
  </si>
  <si>
    <t>Fem V's Ripped Tamashi Polyamide Tank Top | Masc V's Torn Yoru No Samurai Polyamide T-Shirt</t>
  </si>
  <si>
    <t>Game.AddToInventory("Items.TShirt_09_old_01", 1)</t>
  </si>
  <si>
    <t>Fem V's Santa Muerte Neokitsch Aramid-Weave Racerback Tank | Masc V's Calavera Tank Top</t>
  </si>
  <si>
    <t>Game.AddToInventory("Items.TShirt_07_rich_02", 1)</t>
  </si>
  <si>
    <t>Fem V's Silbermond Tough-Lined Office Pumps | Masc V's Silbermond Tough-Lined Dress Shoes</t>
  </si>
  <si>
    <t>Game.AddToInventory("Items.FormalShoes_01_rich_01", 1)</t>
  </si>
  <si>
    <t>Fem V's Silver Blood Evening Pumps With Protective Insoles | Masc V's Silver Blood Dress Shoes With Protective Insoles</t>
  </si>
  <si>
    <t>Game.AddToInventory("Items.FormalShoes_02_rich_01", 1)</t>
  </si>
  <si>
    <t>Fem V's Simple Polycarbonate Office Pumps | Masc V's Simple Polycarbonate Dress Shoes</t>
  </si>
  <si>
    <t>Game.AddToInventory("Items.FormalShoes_01_basic_01", 1)</t>
  </si>
  <si>
    <t>Fem V's Smiley Hard Anti-Puncture Windbreaker | Masc V's Deadly Lagoon Anti-Puncture Windbreaker</t>
  </si>
  <si>
    <t>Game.AddToInventory("Items.Jacket_07_rich_02", 1)</t>
  </si>
  <si>
    <t>Fem V's Spotted Tank Top | Masc V's Spotted Sleeveless T-Shirt</t>
  </si>
  <si>
    <t>Game.AddToInventory("Items.TShirt_03_old_01", 1)</t>
  </si>
  <si>
    <t>Fem V's Street Queen Platform Boots Reinforced Stitching | Masc V's Street King Ankle Boots With Reinforced Stitching</t>
  </si>
  <si>
    <t>Game.AddToInventory("Items.Boots_01_rich_01", 1)</t>
  </si>
  <si>
    <t>Fem V's Street Tongues | Masc V's Street Kicks</t>
  </si>
  <si>
    <t>Game.AddToInventory("Items.Q000_StreetKid_Shoes", 1)</t>
  </si>
  <si>
    <t>V's Street</t>
  </si>
  <si>
    <t>Fem V's Sturdy Synfabric Suit Jacket | Masc V's Sturdy Synfabric Suit Jacket With Pocket Square</t>
  </si>
  <si>
    <t>Game.AddToInventory("Items.FormalJacket_01_old_01", 1)</t>
  </si>
  <si>
    <t>Fem V's Tacti-Fiber Camo Hijab | Masc V's Tacti-Fiber Camo Keffiyeh</t>
  </si>
  <si>
    <t>Game.AddToInventory("Items.Scarf_03_old_01", 1)</t>
  </si>
  <si>
    <t>Fem V's Tattered Crop Top | Masc V's Old Tank Top</t>
  </si>
  <si>
    <t>Game.AddToInventory("Items.Q000_Nomad_TShirt", 1)</t>
  </si>
  <si>
    <t>Game.AddToInventory("Items.Q000_StreetKid_TShirt", 1)</t>
  </si>
  <si>
    <t>Fem V's Tattered Plaid Crop Top | Masc V's Tattered Plaid Tank</t>
  </si>
  <si>
    <t>Game.AddToInventory("Items.TShirt_09_basic_02", 1)</t>
  </si>
  <si>
    <t>Fem V's Titanium-Layer Platform Boots | Masc V's Leather Ankle Boots With Composite Inserts</t>
  </si>
  <si>
    <t>Game.AddToInventory("Items.Boots_01_old_01", 1)</t>
  </si>
  <si>
    <t>Fem V's Torn Reinforced Tank Top | Masc V's Torn Reinforced T-Shirt</t>
  </si>
  <si>
    <t>Game.AddToInventory("Items.TShirt_09_old_02", 1)</t>
  </si>
  <si>
    <t>Fem V's Wardat Zihira Aramid-Weave Hijab | Masc V's Wardat Zihria Aramid-Weave Keffiyeh</t>
  </si>
  <si>
    <t>Game.AddToInventory("Items.Scarf_03_rich_02", 1)</t>
  </si>
  <si>
    <t>Fem V's Wooden Breeze Dress Wedges | Masc V's Wooden Breeze Dress Shoes</t>
  </si>
  <si>
    <t>Game.AddToInventory("Items.FormalShoes_03_basic_02", 1)</t>
  </si>
  <si>
    <t>Fem V's Yoru No Samurai Composite Racerback Tank | Masc V's Tamashi Composite Tank Top</t>
  </si>
  <si>
    <t>Game.AddToInventory("Items.TShirt_07_old_02", 1)</t>
  </si>
  <si>
    <t>Fia Agent Helmet</t>
  </si>
  <si>
    <t>Game.AddToInventory("Items.q301_fia_helmet", 1)</t>
  </si>
  <si>
    <t>Fia Agent Pants</t>
  </si>
  <si>
    <t>Game.AddToInventory("Items.q301_fia_pants", 1)</t>
  </si>
  <si>
    <t>Fia Agent Vest</t>
  </si>
  <si>
    <t>Game.AddToInventory("Items.q301_fia_chest", 1)</t>
  </si>
  <si>
    <t>Fiberglass Helmet With Dustproof Goggles</t>
  </si>
  <si>
    <t>Game.AddToInventory("Items.Helmet_08_rich_03", 1)</t>
  </si>
  <si>
    <t>Final Impulse Duolayer Puffer Vest</t>
  </si>
  <si>
    <t>Game.AddToInventory("Items.Vest_17_basic_02", 1)</t>
  </si>
  <si>
    <t>Fire-Resistant Bolero Blazer With Pbi Lining</t>
  </si>
  <si>
    <t>Game.AddToInventory("Items.Jacket_25_basic_02", 1)</t>
  </si>
  <si>
    <t>Fireproof Balaclava With Breathable Lining</t>
  </si>
  <si>
    <t>Game.AddToInventory("Items.Balaclava_02_basic_03", 1)</t>
  </si>
  <si>
    <t>Fireproof Bolero Blazer With Chloroprene Rubber Coating</t>
  </si>
  <si>
    <t>Game.AddToInventory("Items.Jacket_25_rich_01", 1)</t>
  </si>
  <si>
    <t>Fisherman's Hat</t>
  </si>
  <si>
    <t>Game.AddToInventory("Items.Hat_05_old_02", 1)</t>
  </si>
  <si>
    <t>Fitted 14-Carat Gold Lamé Dress</t>
  </si>
  <si>
    <t>Game.AddToInventory("Items.Dress_04_rich_01", 1)</t>
  </si>
  <si>
    <t>Fitted Bolero Blazer With Built-In Ac</t>
  </si>
  <si>
    <t>Game.AddToInventory("Items.Jacket_25_basic_03", 1)</t>
  </si>
  <si>
    <t>Fitted Bolero Blazer With Nanotube Membrane</t>
  </si>
  <si>
    <t>Game.AddToInventory("Items.Jacket_25_rich_03", 1)</t>
  </si>
  <si>
    <t>Fitted Sharkskin Dress</t>
  </si>
  <si>
    <t>Game.AddToInventory("Items.Dress_04_rich_02", 1)</t>
  </si>
  <si>
    <t>Flame-Resistant Polyester Novawear Pants</t>
  </si>
  <si>
    <t>Game.AddToInventory("Items.Pants_17_basic_03", 1)</t>
  </si>
  <si>
    <t>Flame-Retardant Spacer-Fabric Dress</t>
  </si>
  <si>
    <t>Game.AddToInventory("Items.Dress_03_basic_01", 1)</t>
  </si>
  <si>
    <t>Flash Formal Pants With Additional Lining</t>
  </si>
  <si>
    <t>Game.AddToInventory("Items.FormalPants_02_basic_03", 1)</t>
  </si>
  <si>
    <t>Flashy Jacket</t>
  </si>
  <si>
    <t>Game.AddToInventory("Items.Jacket_24_old_03", 1)</t>
  </si>
  <si>
    <t>Flat Cap With Reinforced Seams</t>
  </si>
  <si>
    <t>Game.AddToInventory("Items.Cap_02_basic_03", 1)</t>
  </si>
  <si>
    <t>Flazh Armored Thermoset Tactical Harness</t>
  </si>
  <si>
    <t>Game.AddToInventory("Items.Vest_06_rich_04", 1)</t>
  </si>
  <si>
    <t>Flexi-Duolayer Harem Pants</t>
  </si>
  <si>
    <t>Game.AddToInventory("Items.Pants_15_basic_01", 1)</t>
  </si>
  <si>
    <t>Flexi-Membrane Leather Bra</t>
  </si>
  <si>
    <t>Game.AddToInventory("Items.Undershirt_02_basic_02", 1)</t>
  </si>
  <si>
    <t>Flight Jacket With Rubber-Plate Insets</t>
  </si>
  <si>
    <t>Game.AddToInventory("Items.Jacket_02_old_01", 1)</t>
  </si>
  <si>
    <t>Foam-Padded Racers</t>
  </si>
  <si>
    <t>Game.AddToInventory("Items.Pants_05_basic_02", 1)</t>
  </si>
  <si>
    <t>Form-Fitting Fireproof Splicers</t>
  </si>
  <si>
    <t>Game.AddToInventory("Items.Pants_18_rich_03", 1)</t>
  </si>
  <si>
    <t>Form-Fitting Microfiber Dress</t>
  </si>
  <si>
    <t>Game.AddToInventory("Items.Dress_03_basic_03", 1)</t>
  </si>
  <si>
    <t>Formal Jacket With Composite Insets</t>
  </si>
  <si>
    <t>Game.AddToInventory("Items.FormalJacket_05_basic_03", 1)</t>
  </si>
  <si>
    <t>Frayed Athletic Shoes</t>
  </si>
  <si>
    <t>Game.AddToInventory("Items.CasualShoes_05_old_03", 1)</t>
  </si>
  <si>
    <t>Frayed Balaclava</t>
  </si>
  <si>
    <t>Game.AddToInventory("Items.Balaclava_02_old_03", 1)</t>
  </si>
  <si>
    <t>Frayed Jean Shorts</t>
  </si>
  <si>
    <t>Game.AddToInventory("Items.Shorts_04_old_02", 1)</t>
  </si>
  <si>
    <t>Frayed Maelstrom Tactical Pants</t>
  </si>
  <si>
    <t>Game.AddToInventory("Items.Pants_07_old_03", 1)</t>
  </si>
  <si>
    <t>Frayed Nanoweave Cutout Tank</t>
  </si>
  <si>
    <t>Game.AddToInventory("Items.TShirt_04_old_02", 1)</t>
  </si>
  <si>
    <t>Frayed Polyurethane Dress</t>
  </si>
  <si>
    <t>Game.AddToInventory("Items.Dress_04_old_03", 1)</t>
  </si>
  <si>
    <t>Frayed Recycled Jeans</t>
  </si>
  <si>
    <t>Game.AddToInventory("Items.Pants_03_old_01", 1)</t>
  </si>
  <si>
    <t>Frayed Scav Combat Shirt</t>
  </si>
  <si>
    <t>Game.AddToInventory("Items.Shirt_03_old_02", 1)</t>
  </si>
  <si>
    <t>Scavengers</t>
  </si>
  <si>
    <t>Frayed Stiff Sweatshirt</t>
  </si>
  <si>
    <t>Game.AddToInventory("Items.Jacket_23_old_04", 1)</t>
  </si>
  <si>
    <t>Frayed Tactical Flight Jacket</t>
  </si>
  <si>
    <t>Game.AddToInventory("Items.Jacket_20_old_03", 1)</t>
  </si>
  <si>
    <t>Frayed Underwater Work Boots</t>
  </si>
  <si>
    <t>Game.AddToInventory("Items.Boots_06_old_02", 1)</t>
  </si>
  <si>
    <t>Game.AddToInventory("Items.Normal_20_Ranged_Feet", 1)</t>
  </si>
  <si>
    <t>Game.AddToInventory("Items.Weak_20_Cool_Feet", 1)</t>
  </si>
  <si>
    <t>Frayed Yellow Crawlers</t>
  </si>
  <si>
    <t>Game.AddToInventory("Items.Pants_19_old_01", 1)</t>
  </si>
  <si>
    <t>Fuck You Durable-Weave Tank Top</t>
  </si>
  <si>
    <t>Game.AddToInventory("Items.TShirt_10_basic_01", 1)</t>
  </si>
  <si>
    <t>Full-Face Anticorrosive Ballistic Mask</t>
  </si>
  <si>
    <t>Game.AddToInventory("Items.Mask_04_rich_04", 1)</t>
  </si>
  <si>
    <t>Game.AddToInventory("Items.VHard_50_CoolRef_Face", 1)</t>
  </si>
  <si>
    <t>Full-Face Ballistic Mask</t>
  </si>
  <si>
    <t>Game.AddToInventory("Items.Helmet_12_basic_01", 1)</t>
  </si>
  <si>
    <t>Gadyuka Composite Flight Jacket</t>
  </si>
  <si>
    <t>Game.AddToInventory("Items.Jacket_20_basic_06", 1)</t>
  </si>
  <si>
    <t>Gala 2-Piece With Sewn-In Sos Beacon</t>
  </si>
  <si>
    <t>Game.AddToInventory("Items.FormalJacket_06_rich_01", 1)</t>
  </si>
  <si>
    <t>Galaxy T-Shirt</t>
  </si>
  <si>
    <t>Game.AddToInventory("Items.GOG_Galaxy_TShirt_Crafted", 1)</t>
  </si>
  <si>
    <t>Game.AddToInventory("Items.GOG_Galaxy_TShirt", 1)</t>
  </si>
  <si>
    <t>Gog</t>
  </si>
  <si>
    <t>Game.AddToInventory("Items.GOG_Galaxy_TShirt_Epic", 1)</t>
  </si>
  <si>
    <t>Game.AddToInventory("Items.GOG_Galaxy_TShirt_Legendary", 1)</t>
  </si>
  <si>
    <t>Gatto Nero Evening Jacket With Tungsten-Steel Microplates</t>
  </si>
  <si>
    <t>Game.AddToInventory("Items.FormalJacket_04_rich_01", 1)</t>
  </si>
  <si>
    <t>Geisha Flexi-Weave Cargo Pants</t>
  </si>
  <si>
    <t>Game.AddToInventory("Items.Pants_04_basic_01", 1)</t>
  </si>
  <si>
    <t>Game.AddToInventory("Items.Pants_04_basic_01_Crafting", 1)</t>
  </si>
  <si>
    <t>Geisha Samurai Nanoweave Long-Sleeve</t>
  </si>
  <si>
    <t>Game.AddToInventory("Items.Shirt_01_rich_02", 1)</t>
  </si>
  <si>
    <t>Geisha Tactical Extra-Guard Pants</t>
  </si>
  <si>
    <t>Game.AddToInventory("Items.Pants_07_basic_02", 1)</t>
  </si>
  <si>
    <t>Ghost Town Cowboy Boots With Heat-Resistant Heels</t>
  </si>
  <si>
    <t>Game.AddToInventory("Items.Boots_10_rich_01", 1)</t>
  </si>
  <si>
    <t>Gilded Anti-Electromag Silkie</t>
  </si>
  <si>
    <t>Game.AddToInventory("Items.Coat_06_rich_05", 1)</t>
  </si>
  <si>
    <t>Gin No Hoshi Neo-Silk Shirt And Vest</t>
  </si>
  <si>
    <t>Game.AddToInventory("Items.FormalShirt_01_rich_05", 1)</t>
  </si>
  <si>
    <t>Glamor Spirit Street Shoes With Reinforced Insoles</t>
  </si>
  <si>
    <t>Game.AddToInventory("Items.CasualShoes_06_rich_02", 1)</t>
  </si>
  <si>
    <t>Glitter Laceless Sturdy-Stitched Steel-Toes</t>
  </si>
  <si>
    <t>Game.AddToInventory("Items.Boots_07_basic_01", 1)</t>
  </si>
  <si>
    <t>Game.AddToInventory("Items.Boots_07_basic_01_Crafting", 1)</t>
  </si>
  <si>
    <t>Glitzy Llama-Wool Bucket Hat</t>
  </si>
  <si>
    <t>local id = "Items.Hat_05_old_04"; if Game.GetPlayer():GetResolvedGenderName().value == 'Male' then print(' \n\t This item is BROKEN for the MALE character. \n\t If you still want to add it to the inventory, use this command: \n \n\t Game.AddToInventory("'..id..'", 1) \n ') else Game.AddToInventory(id, 1) end;</t>
  </si>
  <si>
    <t>Glossy 2-Piece With Waterproof Seams</t>
  </si>
  <si>
    <t>Game.AddToInventory("Items.FormalJacket_06_basic_05", 1)</t>
  </si>
  <si>
    <t>Game.AddToInventory("Items.VHard_50_CoolRef_OuterTorso", 1)</t>
  </si>
  <si>
    <t>Gold Fury Neotac Bulletproof Pants</t>
  </si>
  <si>
    <t>Game.AddToInventory("Items.Pants_08_rich_01", 1)</t>
  </si>
  <si>
    <t>Game.AddToInventory("Items.Pants_08_rich_01_Crafting", 1)</t>
  </si>
  <si>
    <t>Gold Punk Aviators With Coated Glass</t>
  </si>
  <si>
    <t>Game.AddToInventory("Items.Glasses_01_basic_03", 1)</t>
  </si>
  <si>
    <t>Game.AddToInventory("Items.Glasses_01_basic_03_Crafting", 1)</t>
  </si>
  <si>
    <t>Game.AddToInventory("Items.Hard_20_Body_Face", 1)</t>
  </si>
  <si>
    <t>Game.AddToInventory("Items.Hard_30_BodyTech_Face", 1)</t>
  </si>
  <si>
    <t>Game.AddToInventory("Items.Normal_20_Ranged_Face", 1)</t>
  </si>
  <si>
    <t>Game.AddToInventory("Items.Q301_Nomad_MA_Face", 1)</t>
  </si>
  <si>
    <t>Game.AddToInventory("Items.Str_10_Tank_Face", 1)</t>
  </si>
  <si>
    <t>Game.AddToInventory("Items.Str_5_Tank_Face", 1)</t>
  </si>
  <si>
    <t>Gold-Infused Viscose Splicers</t>
  </si>
  <si>
    <t>Game.AddToInventory("Items.Pants_18_rich_06", 1)</t>
  </si>
  <si>
    <t>Gold-Tipped Manganese Steel Solo Boots</t>
  </si>
  <si>
    <t>Game.AddToInventory("Items.Solo_01_Set_Boots", 1)</t>
  </si>
  <si>
    <t>Golden Age Trilayer Composite Motorcycle Jacket</t>
  </si>
  <si>
    <t>Game.AddToInventory("Items.Jacket_09_rich_01", 1)</t>
  </si>
  <si>
    <t>Golden Bough Pilot Cap With Composite Exterior</t>
  </si>
  <si>
    <t>Game.AddToInventory("Items.Cap_06_rich_02", 1)</t>
  </si>
  <si>
    <t>Golden Hive Formal Antichem Membrane Jacket</t>
  </si>
  <si>
    <t>Game.AddToInventory("Items.FormalJacket_05_rich_03", 1)</t>
  </si>
  <si>
    <t>Golden Hive Polyamide Designer Pants</t>
  </si>
  <si>
    <t>Game.AddToInventory("Items.FormalPants_02_rich_03", 1)</t>
  </si>
  <si>
    <t>Golden Mean Aramid-Stitch Formal Skirt</t>
  </si>
  <si>
    <t>Game.AddToInventory("Items.FormalSkirt_01_rich_01", 1)</t>
  </si>
  <si>
    <t>Game.AddToInventory("Items.FormalSkirt_01_rich_01_Crafting", 1)</t>
  </si>
  <si>
    <t>Golden Mean Elegant Chem-Resistant Biker Jacket</t>
  </si>
  <si>
    <t>Game.AddToInventory("Items.Jacket_05_rich_02", 1)</t>
  </si>
  <si>
    <t>Golden Mean Hybrid-Weave Flame-Resistant Coat</t>
  </si>
  <si>
    <t>Game.AddToInventory("Items.Coat_01_rich_01", 1)</t>
  </si>
  <si>
    <t>Golden Pocket Hybrid-Weave Hotpants</t>
  </si>
  <si>
    <t>Game.AddToInventory("Items.Shorts_02_rich_01", 1)</t>
  </si>
  <si>
    <t>Golden Scale Trilayer Windbreaker Pants</t>
  </si>
  <si>
    <t>Game.AddToInventory("Items.Pants_12_rich_03", 1)</t>
  </si>
  <si>
    <t>Golpe Punk Anti-Shrapnel Straightcuts</t>
  </si>
  <si>
    <t>Game.AddToInventory("Items.Pants_06_rich_02", 1)</t>
  </si>
  <si>
    <t>Game.AddToInventory("Items.Weak_30_Legs", 1)</t>
  </si>
  <si>
    <t>Graffiti Carbon-Composite Edgerunner</t>
  </si>
  <si>
    <t>Game.AddToInventory("Items.Jacket_03_basic_02", 1)</t>
  </si>
  <si>
    <t>Game.AddToInventory("Items.Hard_20_Intelligence_OuterTorso", 1)</t>
  </si>
  <si>
    <t>Game.AddToInventory("Items.Str_30_Cool_Assassin_OuterTorso", 1)</t>
  </si>
  <si>
    <t>Graffiti Detachable Collar</t>
  </si>
  <si>
    <t>Game.AddToInventory("Items.Vest_07_old_03", 1)</t>
  </si>
  <si>
    <t>Graffiti Glasses With Coated Glass</t>
  </si>
  <si>
    <t>Game.AddToInventory("Items.Glasses_03_basic_02", 1)</t>
  </si>
  <si>
    <t>Graffiti Thermoset Synweave Hijab</t>
  </si>
  <si>
    <t>Game.AddToInventory("Items.Scarf_03_basic_03_Crafting", 1)</t>
  </si>
  <si>
    <t>Graffiti Ultraresistant Duolayer Vest</t>
  </si>
  <si>
    <t>Game.AddToInventory("Items.Vest_11_rich_02", 1)</t>
  </si>
  <si>
    <t>Graphite Gem Insulated Western Shirt</t>
  </si>
  <si>
    <t>Game.AddToInventory("Items.LooseShirt_02_old_02", 1)</t>
  </si>
  <si>
    <t>Grauer Recycled Shorts</t>
  </si>
  <si>
    <t>Game.AddToInventory("Items.Shorts_05_old_04", 1)</t>
  </si>
  <si>
    <t>Gray Softshell Novawear Pants</t>
  </si>
  <si>
    <t>Game.AddToInventory("Items.Pants_17_basic_01", 1)</t>
  </si>
  <si>
    <t>Green Death Deltajock Biker Jacket</t>
  </si>
  <si>
    <t>Game.AddToInventory("Items.Jacket_20_basic_04", 1)</t>
  </si>
  <si>
    <t>Green Graffiti Armor-Coated Athletic Shoes</t>
  </si>
  <si>
    <t>Game.AddToInventory("Items.CasualShoes_05_basic_03", 1)</t>
  </si>
  <si>
    <t>Game.AddToInventory("Items.CasualShoes_05_basic_03_Crafting", 1)</t>
  </si>
  <si>
    <t>Green Power Polyamide-Padded Athletic Shorts</t>
  </si>
  <si>
    <t>Game.AddToInventory("Items.Shorts_03_rich_01", 1)</t>
  </si>
  <si>
    <t>Green Viper Double-Nanoweave Pencil Dress</t>
  </si>
  <si>
    <t>Game.AddToInventory("Items.Dress_01_rich_03", 1)</t>
  </si>
  <si>
    <t>Game.AddToInventory("Items.Dress_01_rich_03_Crafting", 1)</t>
  </si>
  <si>
    <t>Grisly Mask</t>
  </si>
  <si>
    <t>Game.AddToInventory("Items.Mask_04_old_03", 1)</t>
  </si>
  <si>
    <t>Gunslinger Cowboy Hat With Reinforced Lining</t>
  </si>
  <si>
    <t>Game.AddToInventory("Items.Hat_02_rich_01", 1)</t>
  </si>
  <si>
    <t>Gunslinger Western Shorties With Titanium Inserts</t>
  </si>
  <si>
    <t>Game.AddToInventory("Items.Boots_02_rich_02", 1)</t>
  </si>
  <si>
    <t>Gwent T-Shirt</t>
  </si>
  <si>
    <t>Game.AddToInventory("Items.Red_Play_TShirt", 1)</t>
  </si>
  <si>
    <t>Hand-Reinforced Hooded Denim Cut-Off</t>
  </si>
  <si>
    <t>Game.AddToInventory("Items.Vest_15_basic_01", 1)</t>
  </si>
  <si>
    <t>Hand-Sewn 2-Piece With Copper Microfiber</t>
  </si>
  <si>
    <t>Game.AddToInventory("Items.FormalJacket_06_rich_05", 1)</t>
  </si>
  <si>
    <t>Handmade Half-Zip With Vicuna Wool Lining</t>
  </si>
  <si>
    <t>Game.AddToInventory("Items.Coat_05_rich_01", 1)</t>
  </si>
  <si>
    <t>Hardened Combat Hoodie With Edc Accessory</t>
  </si>
  <si>
    <t>Game.AddToInventory("Items.Jacket_22_basic_04", 1)</t>
  </si>
  <si>
    <t>Hardened Leather Rockerjack</t>
  </si>
  <si>
    <t>Game.AddToInventory("Items.Jacket_06_old_01", 1)</t>
  </si>
  <si>
    <t>Hardened Netrunner Boots With Composite Insert</t>
  </si>
  <si>
    <t>Game.AddToInventory("Items.Netrunner_01_Set_Shoes", 1)</t>
  </si>
  <si>
    <t>Hardened Plastic Goggles</t>
  </si>
  <si>
    <t>Game.AddToInventory("Items.Glasses_05_old_02", 1)</t>
  </si>
  <si>
    <t>Hardened Rubber Biker Jacket</t>
  </si>
  <si>
    <t>Game.AddToInventory("Items.Jacket_05_old_02", 1)</t>
  </si>
  <si>
    <t>Hardened Tungsten Steel-Toe Combat Boots</t>
  </si>
  <si>
    <t>Game.AddToInventory("Items.Boots_04_old_03", 1)</t>
  </si>
  <si>
    <t>Hardshell Sweatshirt With Chem-Resitant Laminate</t>
  </si>
  <si>
    <t>Game.AddToInventory("Items.Jacket_23_rich_03", 1)</t>
  </si>
  <si>
    <t>Hardshell Tactical Polyamide Strapped Cargos</t>
  </si>
  <si>
    <t>Game.AddToInventory("Items.Pants_20_rich_02", 1)</t>
  </si>
  <si>
    <t>Hardy Dandylion Cocktail Jacket</t>
  </si>
  <si>
    <t>Game.AddToInventory("Items.FormalJacket_03_basic_03", 1)</t>
  </si>
  <si>
    <t>Haute Couture Pineapple-Leather Dress</t>
  </si>
  <si>
    <t>Game.AddToInventory("Items.Dress_03_rich_02", 1)</t>
  </si>
  <si>
    <t>Havskum Carbon-Fiber Steel-Toes</t>
  </si>
  <si>
    <t>Game.AddToInventory("Items.Boots_07_old_03", 1)</t>
  </si>
  <si>
    <t>Heat-Resistant Dress With Lead-Glass Sleeves</t>
  </si>
  <si>
    <t>Game.AddToInventory("Items.Dress_04_rich_04", 1)</t>
  </si>
  <si>
    <t>Heat-Resistant Hybridweave Netrunning Suit</t>
  </si>
  <si>
    <t>Game.AddToInventory("Items.Netrunner_01_Set_Jumpsuit", 1)</t>
  </si>
  <si>
    <t>Heat-Resistant Killer Candy Trilayer Racers</t>
  </si>
  <si>
    <t>Game.AddToInventory("Items.Pants_05_rich_01", 1)</t>
  </si>
  <si>
    <t>Heat-Resistant Long Vest</t>
  </si>
  <si>
    <t>Game.AddToInventory("Items.Coat_02_old_03", 1)</t>
  </si>
  <si>
    <t>Heat-Resistant Military Boots</t>
  </si>
  <si>
    <t>Game.AddToInventory("Items.Boots_06_basic_01", 1)</t>
  </si>
  <si>
    <t>Heat-Resistant Nanoweave Media Shirt</t>
  </si>
  <si>
    <t>Game.AddToInventory("Items.Media_01_Set_Shirt", 1)</t>
  </si>
  <si>
    <t>Heat-Resistant Nylon Shinos</t>
  </si>
  <si>
    <t>Game.AddToInventory("Items.Pants_10_old_01", 1)</t>
  </si>
  <si>
    <t>Heat-Resistant Reinforced Nu-Tek Tight Tank</t>
  </si>
  <si>
    <t>Game.AddToInventory("Items.TShirt_10_old_01", 1)</t>
  </si>
  <si>
    <t>Heat-Resistant Splicers</t>
  </si>
  <si>
    <t>Game.AddToInventory("Items.Pants_18_basic_02", 1)</t>
  </si>
  <si>
    <t>Heavy Brushed Tricot Silkie</t>
  </si>
  <si>
    <t>Game.AddToInventory("Items.Coat_06_old_03", 1)</t>
  </si>
  <si>
    <t>Heavy Hybrid-Armor Trickster Coat</t>
  </si>
  <si>
    <t>Game.AddToInventory("Items.Coat_03_rich_02", 1)</t>
  </si>
  <si>
    <t>Heavy Shock-Absorbent Solo Jacket</t>
  </si>
  <si>
    <t>Game.AddToInventory("Items.Solo_01_Set_Jacket", 1)</t>
  </si>
  <si>
    <t>Heavy Vr Goggles</t>
  </si>
  <si>
    <t>Game.AddToInventory("Items.Tech_03_old_03", 1)</t>
  </si>
  <si>
    <t>Heavy-Duty Aramid-Reinforced Badge Coat</t>
  </si>
  <si>
    <t>Game.AddToInventory("Items.Cop_01_Set_Jacket", 1)</t>
  </si>
  <si>
    <t>Heavy-Duty Ballistic Vest With Ventilation Panels</t>
  </si>
  <si>
    <t>Game.AddToInventory("Items.Vest_22_old_02", 1)</t>
  </si>
  <si>
    <t>Heavy-Duty Biker Boots</t>
  </si>
  <si>
    <t>Game.AddToInventory("Items.Boots_03_basic_01", 1)</t>
  </si>
  <si>
    <t>Heavy-Duty Biker Exo-Jacks</t>
  </si>
  <si>
    <t>Game.AddToInventory("Items.Boots_09_basic_01", 1)</t>
  </si>
  <si>
    <t>Game.AddToInventory("Items.VHard_50_IntRef_Feet", 1)</t>
  </si>
  <si>
    <t>Heavy-Duty Flamingo Aramidweave Riding Pants</t>
  </si>
  <si>
    <t>Game.AddToInventory("Items.Pants_13_rich_02", 1)</t>
  </si>
  <si>
    <t>Heavy-Duty Maxtac Cargo Pants</t>
  </si>
  <si>
    <t>Game.AddToInventory("Items.VHard_50_IntTech_Legs", 1)</t>
  </si>
  <si>
    <t>Game.AddToInventory("Items.SQ030_MaxTac_Pants", 1)</t>
  </si>
  <si>
    <t>Maxtac</t>
  </si>
  <si>
    <t>Heavy-Duty New Murica Combat Boots</t>
  </si>
  <si>
    <t>Game.AddToInventory("Items.Boots_04_basic_03", 1)</t>
  </si>
  <si>
    <t>Heavy-Duty Oro Floreciente Armor-Weave Cargo Pants</t>
  </si>
  <si>
    <t>Game.AddToInventory("Items.Pants_04_rich_01", 1)</t>
  </si>
  <si>
    <t>Game.AddToInventory("Items.Normal_20_Ranged_Legs", 1)</t>
  </si>
  <si>
    <t>Heavy-Duty Punk Fleets</t>
  </si>
  <si>
    <t>Game.AddToInventory("Items.Boots_05_basic_03", 1)</t>
  </si>
  <si>
    <t>Hebi Tsukai Cashmere-Nanofiber Shirt</t>
  </si>
  <si>
    <t>Game.AddToInventory("Items.LooseShirt_01_rich_02", 1)</t>
  </si>
  <si>
    <t>Game.AddToInventory("Items.LooseShirt_01_rich_02_Crafting", 1)</t>
  </si>
  <si>
    <t>Heise Trilayer Formal Skirt</t>
  </si>
  <si>
    <t>Game.AddToInventory("Items.FormalSkirt_02_rich_01", 1)</t>
  </si>
  <si>
    <t>Game.AddToInventory("Items.Proficiency_FormalSkirt_02_rich_01_Crafting", 1)</t>
  </si>
  <si>
    <t>Helmet With Active Ventilation System</t>
  </si>
  <si>
    <t>Game.AddToInventory("Items.Helmet_11_rich_02", 1)</t>
  </si>
  <si>
    <t>Helmet With Broken Clasp</t>
  </si>
  <si>
    <t>Game.AddToInventory("Items.Helmet_11_old_03", 1)</t>
  </si>
  <si>
    <t>Helmet With Clogged Filters</t>
  </si>
  <si>
    <t>Game.AddToInventory("Items.Helmet_11_old_01", 1)</t>
  </si>
  <si>
    <t>Helmet With Sonic Chamber</t>
  </si>
  <si>
    <t>Game.AddToInventory("Items.Helmet_11_basic_03", 1)</t>
  </si>
  <si>
    <t>Game.AddToInventory("Items.VHard_50_RefBody_Head", 1)</t>
  </si>
  <si>
    <t>Helmet Without Ventilation</t>
  </si>
  <si>
    <t>Game.AddToInventory("Items.Helmet_11_old_02", 1)</t>
  </si>
  <si>
    <t>Hi-Vis Half-Zip With Fiberglass Weave</t>
  </si>
  <si>
    <t>Game.AddToInventory("Items.Coat_05_basic_06", 1)</t>
  </si>
  <si>
    <t>High-Tensile Cutout Tank</t>
  </si>
  <si>
    <t>Game.AddToInventory("Items.TShirt_04_old_01", 1)</t>
  </si>
  <si>
    <t>High-Utility Dress With Anti-Frag Inserts</t>
  </si>
  <si>
    <t>Game.AddToInventory("Items.Dress_03_rich_06", 1)</t>
  </si>
  <si>
    <t>High-Visibility Acid-Proof Jacket</t>
  </si>
  <si>
    <t>Game.AddToInventory("Items.Jacket_24_basic_07", 1)</t>
  </si>
  <si>
    <t>Hiking Boots With Self-Cleaning Soles</t>
  </si>
  <si>
    <t>Game.AddToInventory("Items.Boots_12_basic_03", 1)</t>
  </si>
  <si>
    <t>Game.AddToInventory("Items.VHard_50_IntTech_Feet", 1)</t>
  </si>
  <si>
    <t>Hinote Kabuto With Durable Plastic Aramid Composite</t>
  </si>
  <si>
    <t>Game.AddToInventory("Items.Helmet_04_rich_02", 1)</t>
  </si>
  <si>
    <t>Hjudge Werther Reinforced Leather Biker Vest</t>
  </si>
  <si>
    <t>Game.AddToInventory("Items.Vest_20_basic_02", 1)</t>
  </si>
  <si>
    <t>Holo-Tinted Badge Goggles</t>
  </si>
  <si>
    <t>Game.AddToInventory("Items.Cop_01_Set_Glasses", 1)</t>
  </si>
  <si>
    <t>Holy Rose Boostknit Loose-Fits With Thermoactive Coating</t>
  </si>
  <si>
    <t>Game.AddToInventory("Items.Pants_02_rich_01", 1)</t>
  </si>
  <si>
    <t>Game.AddToInventory("Items.Hard_30_IntBody_Legs", 1)</t>
  </si>
  <si>
    <t>Holy Rose Multilayer Edgerunner</t>
  </si>
  <si>
    <t>Game.AddToInventory("Items.Jacket_03_rich_02", 1)</t>
  </si>
  <si>
    <t>Hoodie With Busted Zipper</t>
  </si>
  <si>
    <t>Game.AddToInventory("Items.Jacket_22_old_03", 1)</t>
  </si>
  <si>
    <t>Hospital Gown</t>
  </si>
  <si>
    <t>Game.AddToInventory("Items.Q307_hospital_outfit", 1)</t>
  </si>
  <si>
    <t>Hospital Scrub Pants</t>
  </si>
  <si>
    <t>Game.AddToInventory("Items.Q201_SpaceHospitalPants", 1)</t>
  </si>
  <si>
    <t>Game.AddToInventory("Items.Q201_SpaceHospitalPantsShoes", 1)</t>
  </si>
  <si>
    <t>Hospital Shirt</t>
  </si>
  <si>
    <t>Game.AddToInventory("Items.Q201_SpaceHospitalShirt", 1)</t>
  </si>
  <si>
    <t>Hybrid Arasaka Helmet With Eps Liner</t>
  </si>
  <si>
    <t>Game.AddToInventory("Items.Helmet_07_rich_03", 1)</t>
  </si>
  <si>
    <t>Hybrid Jacket With Anti-Frag Pattern</t>
  </si>
  <si>
    <t>Game.AddToInventory("Items.Jacket_24_rich_02", 1)</t>
  </si>
  <si>
    <t>Hybrid Recycled-Polyamide Splicers</t>
  </si>
  <si>
    <t>Game.AddToInventory("Items.Pants_18_rich_01", 1)</t>
  </si>
  <si>
    <t>Hybrid Shoes With Stabilizing Cushions</t>
  </si>
  <si>
    <t>Game.AddToInventory("Items.Boots_12_rich_02", 1)</t>
  </si>
  <si>
    <t>Hybrid Silkie With Cushion Inserts</t>
  </si>
  <si>
    <t>Game.AddToInventory("Items.Coat_06_basic_01", 1)</t>
  </si>
  <si>
    <t>Hybrid Unitard Of Flame-Retardant Spandex</t>
  </si>
  <si>
    <t>Game.AddToInventory("Items.TightJumpsuit_02_rich_06", 1)</t>
  </si>
  <si>
    <t>Hydrophobic Balaclava With Polyurethane Membrane</t>
  </si>
  <si>
    <t>Game.AddToInventory("Items.Balaclava_02_basic_07", 1)</t>
  </si>
  <si>
    <t>Hydrophobic Bucket Hat With Polyurethane Layer</t>
  </si>
  <si>
    <t>Game.AddToInventory("Items.Hat_05_basic_02", 1)</t>
  </si>
  <si>
    <t>Hydrophobic Silkie With Carbon-Silicone Lamination</t>
  </si>
  <si>
    <t>Game.AddToInventory("Items.Coat_06_rich_02", 1)</t>
  </si>
  <si>
    <t>Hygroscopic Dress With Bejeweled Sleeves</t>
  </si>
  <si>
    <t>Game.AddToInventory("Items.Dress_03_rich_08", 1)</t>
  </si>
  <si>
    <t>Hypoallergenic Dress With Betulin Coating</t>
  </si>
  <si>
    <t>Game.AddToInventory("Items.Dress_04_basic_04", 1)</t>
  </si>
  <si>
    <t>Hypoallergenic Half-Zip With Antiviral Membrane</t>
  </si>
  <si>
    <t>Game.AddToInventory("Items.Coat_05_rich_04", 1)</t>
  </si>
  <si>
    <t>Icon America Duolayer Western Fringe Vest</t>
  </si>
  <si>
    <t>Game.AddToInventory("Items.Vest_18_basic_02", 1)</t>
  </si>
  <si>
    <t>Icon America Synfiber Kicks</t>
  </si>
  <si>
    <t>Game.AddToInventory("Items.CasualShoes_07_old_01", 1)</t>
  </si>
  <si>
    <t>Illegally Modded Hat With Gauge</t>
  </si>
  <si>
    <t>Game.AddToInventory("Items.Hat_03_old_01", 1)</t>
  </si>
  <si>
    <t>Illegally Modified Military Infovisor</t>
  </si>
  <si>
    <t>Game.AddToInventory("Items.Visor_01_basic_02", 1)</t>
  </si>
  <si>
    <t>Game.AddToInventory("Items.VHard_50_IntTech_Face", 1)</t>
  </si>
  <si>
    <t>Impact-Absorbent Padded Biker Vest</t>
  </si>
  <si>
    <t>Game.AddToInventory("Items.Vest_20_basic_01", 1)</t>
  </si>
  <si>
    <t>Impact-Resistant Netrunner Helmet</t>
  </si>
  <si>
    <t>Game.AddToInventory("Items.Helmet_10_basic_01", 1)</t>
  </si>
  <si>
    <t>Impact-Resistant Tactical Glasses</t>
  </si>
  <si>
    <t>Game.AddToInventory("Items.Glasses_03_basic_08", 1)</t>
  </si>
  <si>
    <t>Game.AddToInventory("Items.Hard_20_Intelligence_Face", 1)</t>
  </si>
  <si>
    <t>Game.AddToInventory("Items.Str_30_Cool_Assassin_Face", 1)</t>
  </si>
  <si>
    <t>Imperial Marble Aramid-Weave Formal Pants</t>
  </si>
  <si>
    <t>Game.AddToInventory("Items.FormalPants_03_rich_01", 1)</t>
  </si>
  <si>
    <t>Infusible Ballistic Helmet</t>
  </si>
  <si>
    <t>Game.AddToInventory("Items.Helmet_09_basic_03", 1)</t>
  </si>
  <si>
    <t>Inner Flame Flame-Resistant Rockerjack</t>
  </si>
  <si>
    <t>Game.AddToInventory("Items.Jacket_06_basic_01", 1)</t>
  </si>
  <si>
    <t>Game.AddToInventory("Items.Proficiency_Jacket_06_basic_01_Crafting", 1)</t>
  </si>
  <si>
    <t>Insulated Cap With Protective Goggles</t>
  </si>
  <si>
    <t>Game.AddToInventory("Items.Cap_06_basic_02", 1)</t>
  </si>
  <si>
    <t>Jacketception Duolayer Nanoweave Flight Jacket</t>
  </si>
  <si>
    <t>Game.AddToInventory("Items.Jacket_20_basic_07", 1)</t>
  </si>
  <si>
    <t>Jigoku No Oni Reinforced-Composite Menpo</t>
  </si>
  <si>
    <t>Game.AddToInventory("Items.Mask_03_rich_01", 1)</t>
  </si>
  <si>
    <t>Johnny's Aviators</t>
  </si>
  <si>
    <t>Game.AddToInventory("Items.Q005_Johnny_Glasses", 1)</t>
  </si>
  <si>
    <t>Johnny's</t>
  </si>
  <si>
    <t>Game.AddToInventory("Items.Q005_Johnny_Glasses_Epic", 1)</t>
  </si>
  <si>
    <t>Game.AddToInventory("Items.Q005_Johnny_Glasses_Legendary", 1)</t>
  </si>
  <si>
    <t>Johnny's Boots</t>
  </si>
  <si>
    <t>Game.AddToInventory("Items.Q204_Epilogue_Boots", 1)</t>
  </si>
  <si>
    <t>Johnny's Dog Tags</t>
  </si>
  <si>
    <t>Game.AddToInventory("Items.sq032_dogtags", 1)</t>
  </si>
  <si>
    <t>Johnny's Pants</t>
  </si>
  <si>
    <t>Game.AddToInventory("Items.Q005_Johnny_Pants", 1)</t>
  </si>
  <si>
    <t>Game.AddToInventory("Items.Q005_Johnny_Pants_Epic", 1)</t>
  </si>
  <si>
    <t>Game.AddToInventory("Items.Q005_Johnny_Pants_Legendary", 1)</t>
  </si>
  <si>
    <t>Game.AddToInventory("Items.Q204_Epilogue_Pants", 1)</t>
  </si>
  <si>
    <t>Johnny's Shirt</t>
  </si>
  <si>
    <t>Game.AddToInventory("Items.Q204_Epilogue_TShirt", 1)</t>
  </si>
  <si>
    <t>Johnny's Shoes</t>
  </si>
  <si>
    <t>Game.AddToInventory("Items.Q005_Johnny_Shoes", 1)</t>
  </si>
  <si>
    <t>Game.AddToInventory("Items.Q005_Johnny_Shoes_Epic", 1)</t>
  </si>
  <si>
    <t>Game.AddToInventory("Items.Q005_Johnny_Shoes_Legendary", 1)</t>
  </si>
  <si>
    <t>Johnny's Tank Top</t>
  </si>
  <si>
    <t>Game.AddToInventory("Items.Q005_Johnny_Shirt", 1)</t>
  </si>
  <si>
    <t>Game.AddToInventory("Items.Q005_Johnny_Shirt_Epic", 1)</t>
  </si>
  <si>
    <t>Game.AddToInventory("Items.Q005_Johnny_Shirt_Legendary", 1)</t>
  </si>
  <si>
    <t>Joshua's Prison Uniform</t>
  </si>
  <si>
    <t>Game.AddToInventory("Items.SQ023_Joshua_Prisonwear", 1)</t>
  </si>
  <si>
    <t>Jshlx Reinforced Puffer Vest</t>
  </si>
  <si>
    <t>Game.AddToInventory("Items.Vest_17_basic_01", 1)</t>
  </si>
  <si>
    <t>Kancho Syn-Weave Cargo Pants</t>
  </si>
  <si>
    <t>Game.AddToInventory("Items.Pants_04_basic_03", 1)</t>
  </si>
  <si>
    <t>Kang Tao Field Cap Holodisplay</t>
  </si>
  <si>
    <t>Game.AddToInventory("Items.Cap_04_rich_01", 1)</t>
  </si>
  <si>
    <t>Kang Tao Lab Suit</t>
  </si>
  <si>
    <t>Game.AddToInventory("Items.SQ021_Lab_Costume", 1)</t>
  </si>
  <si>
    <t>Kang Tao Manganese Combat Ocuset</t>
  </si>
  <si>
    <t>Game.AddToInventory("Items.Tech_01_rich_01", 1)</t>
  </si>
  <si>
    <t>Kang Tao Metalstitch Aramid Vest</t>
  </si>
  <si>
    <t>Game.AddToInventory("Items.Vest_02_rich_01", 1)</t>
  </si>
  <si>
    <t>Kang Tao Reflective Hybridweave Utility Vest</t>
  </si>
  <si>
    <t>Game.AddToInventory("Items.Vest_11_basic_02", 1)</t>
  </si>
  <si>
    <t>Kang Tao Reinforced Tactical Vest</t>
  </si>
  <si>
    <t>Game.AddToInventory("Items.Vest_08_basic_02", 1)</t>
  </si>
  <si>
    <t>Kang Tao Stretchy Motorcycle Jacket</t>
  </si>
  <si>
    <t>Game.AddToInventory("Items.Jacket_09_basic_02", 1)</t>
  </si>
  <si>
    <t>Kani Kara Titanium-Reinforced Composite Breastplate</t>
  </si>
  <si>
    <t>Game.AddToInventory("Items.Vest_13_rich_03", 1)</t>
  </si>
  <si>
    <t>Kashuu Hanten Kicks With Modified Polyamide</t>
  </si>
  <si>
    <t>Game.AddToInventory("Items.CasualShoes_07_rich_01", 1)</t>
  </si>
  <si>
    <t>Kawaii Arumoru Bulletproof Deltajock Jacket</t>
  </si>
  <si>
    <t>Game.AddToInventory("Items.Jacket_20_basic_03", 1)</t>
  </si>
  <si>
    <t>Kinryu Beanie With Titanium Sequins</t>
  </si>
  <si>
    <t>Game.AddToInventory("Items.Cap_03_rich_01", 1)</t>
  </si>
  <si>
    <t>Kirakyandi Elasti-Composite Jacket With Buckles</t>
  </si>
  <si>
    <t>Game.AddToInventory("Items.Jacket_19_rich_03", 1)</t>
  </si>
  <si>
    <t>Knotted Armor Weave Tank</t>
  </si>
  <si>
    <t>Game.AddToInventory("Items.TShirt_08_basic_02", 1)</t>
  </si>
  <si>
    <t>Kogane No Yume Titanium Bd Wreath</t>
  </si>
  <si>
    <t>Game.AddToInventory("Items.Tech_02_rich_02", 1)</t>
  </si>
  <si>
    <t>Kotetsu No Ryu Coat</t>
  </si>
  <si>
    <t>Game.AddToInventory("Items.Q005_Steel_Dragons_Coat", 1)</t>
  </si>
  <si>
    <t>Koumori Syn-Leather Trench Coat</t>
  </si>
  <si>
    <t>Game.AddToInventory("Items.Coat_04_basic_03", 1)</t>
  </si>
  <si>
    <t>Kuroi Raion Composite Deltajock  Biker Jacket</t>
  </si>
  <si>
    <t>Game.AddToInventory("Items.Jacket_20_rich_01", 1)</t>
  </si>
  <si>
    <t>Kyuketsuki Flame-Resistant Polyamide Rocker Coat</t>
  </si>
  <si>
    <t>Game.AddToInventory("Items.Coat_03_basic_02", 1)</t>
  </si>
  <si>
    <t>La Profondita Dell'oceano Polycarbonate Reinforced Flight Jacket With Composite Plating</t>
  </si>
  <si>
    <t>Game.AddToInventory("Items.Jacket_20_rich_05", 1)</t>
  </si>
  <si>
    <t>Lady In Blue Synweave Vest</t>
  </si>
  <si>
    <t>Game.AddToInventory("Items.Vest_14_basic_02", 1)</t>
  </si>
  <si>
    <t>Lady In White Hybrid-Weave Pencil Dress</t>
  </si>
  <si>
    <t>Game.AddToInventory("Items.Dress_01_rich_01", 1)</t>
  </si>
  <si>
    <t>Laminate-Armor Media Ballistic Vest</t>
  </si>
  <si>
    <t>Game.AddToInventory("Items.Media_01_Set_Vest", 1)</t>
  </si>
  <si>
    <t>Laminated Ice-Protected Techie Ocuset</t>
  </si>
  <si>
    <t>Game.AddToInventory("Items.Techie_01_Set_Tech", 1)</t>
  </si>
  <si>
    <t>Laminated Nomad Hat With Gauge</t>
  </si>
  <si>
    <t>Game.AddToInventory("Items.Hat_03_basic_01", 1)</t>
  </si>
  <si>
    <t>Laminated Security Hardhat With Headset</t>
  </si>
  <si>
    <t>Game.AddToInventory("Items.Helmet_03_basic_01", 1)</t>
  </si>
  <si>
    <t>Game.AddToInventory("Items.Helmet_03_basic_01_Crafting", 1)</t>
  </si>
  <si>
    <t>Laminated Synthleather Novawear Pants</t>
  </si>
  <si>
    <t>Game.AddToInventory("Items.Pants_17_old_03", 1)</t>
  </si>
  <si>
    <t>Laser-Cut 2-Piece With Cooling Panels</t>
  </si>
  <si>
    <t>Game.AddToInventory("Items.FormalJacket_06_basic_08", 1)</t>
  </si>
  <si>
    <t>Laser-Cut Dress With Impregnated Fluocarbon</t>
  </si>
  <si>
    <t>Game.AddToInventory("Items.Dress_04_rich_05", 1)</t>
  </si>
  <si>
    <t>Laser-Cut Ultrathin Unitard</t>
  </si>
  <si>
    <t>Game.AddToInventory("Items.TightJumpsuit_02_rich_01", 1)</t>
  </si>
  <si>
    <t>Lavender 2-Piece With Ballistic-Nylon Inserts</t>
  </si>
  <si>
    <t>Game.AddToInventory("Items.FormalJacket_06_basic_07", 1)</t>
  </si>
  <si>
    <t>Lavender Galaxy Bolero Composite-Layered Bomber</t>
  </si>
  <si>
    <t>Game.AddToInventory("Items.Jacket_14_rich_01", 1)</t>
  </si>
  <si>
    <t>Lazr-Mosaic Anti-Shrapnel Rockerjack</t>
  </si>
  <si>
    <t>Game.AddToInventory("Items.Jacket_06_basic_02", 1)</t>
  </si>
  <si>
    <t>Lazrpunk Tungsten-Plated Pozer-Jacket</t>
  </si>
  <si>
    <t>Game.AddToInventory("Items.Jacket_17_rich_03", 1)</t>
  </si>
  <si>
    <t>Leather Biker Vest</t>
  </si>
  <si>
    <t>Game.AddToInventory("Items.Vest_20_old_02", 1)</t>
  </si>
  <si>
    <t>Led-Lined Police Jacket</t>
  </si>
  <si>
    <t>Game.AddToInventory("Items.Jacket_19_basic_03", 1)</t>
  </si>
  <si>
    <t>Lézard Beige Leather-Composite Formal Pumps</t>
  </si>
  <si>
    <t>Game.AddToInventory("Items.Avg_10_Int_Netrunner_Feet", 1)</t>
  </si>
  <si>
    <t>Licks Kicks With Recycled Resistant Materials</t>
  </si>
  <si>
    <t>Game.AddToInventory("Items.CasualShoes_07_basic_02", 1)</t>
  </si>
  <si>
    <t>Light Azure Composite-Lined Slim-Fits</t>
  </si>
  <si>
    <t>Game.AddToInventory("Items.Pants_01_basic_02", 1)</t>
  </si>
  <si>
    <t>Light Cherry Jinn Anti-Shrapnel Denim Jacket</t>
  </si>
  <si>
    <t>Game.AddToInventory("Items.Jacket_12_rich_02", 1)</t>
  </si>
  <si>
    <t>Game.AddToInventory("Items.Q301_Nomad_MA_OuterTorso", 1)</t>
  </si>
  <si>
    <t>Light Elastomer Netrunning Suit</t>
  </si>
  <si>
    <t>Game.AddToInventory("Items.TightJumpsuit_01_basic_02", 1)</t>
  </si>
  <si>
    <t>Light Electro Extra-Lined Shorts</t>
  </si>
  <si>
    <t>Game.AddToInventory("Items.Shorts_05_old_03", 1)</t>
  </si>
  <si>
    <t>Light Hardened Polystyrene Arasaka Helmet</t>
  </si>
  <si>
    <t>Game.AddToInventory("Items.Helmet_07_basic_02", 1)</t>
  </si>
  <si>
    <t>Light Military Syn-Strengthened Riding Pants</t>
  </si>
  <si>
    <t>Game.AddToInventory("Items.Pants_13_basic_03", 1)</t>
  </si>
  <si>
    <t>Light Pink Snow Boots With Protective Mesh</t>
  </si>
  <si>
    <t>Game.AddToInventory("Items.Boots_11_basic_01", 1)</t>
  </si>
  <si>
    <t>Light Psycho Knee-Padded Yoros</t>
  </si>
  <si>
    <t>Game.AddToInventory("Items.Pants_14_basic_01", 1)</t>
  </si>
  <si>
    <t>Light Saeko's Derakkusu Sturdy-Mesh Pants</t>
  </si>
  <si>
    <t>Game.AddToInventory("Items.Pants_03_rich_01", 1)</t>
  </si>
  <si>
    <t>Light Snow Boots With Ptfe Membrane</t>
  </si>
  <si>
    <t>Game.AddToInventory("Items.Boots_12_basic_05", 1)</t>
  </si>
  <si>
    <t>Light Speed Biker Boots With Nanoarmor Fabric</t>
  </si>
  <si>
    <t>Game.AddToInventory("Items.Boots_03_rich_01", 1)</t>
  </si>
  <si>
    <t>Light Spirit Animal Chem-Resistant Bomber</t>
  </si>
  <si>
    <t>Game.AddToInventory("Items.Jacket_13_basic_03", 1)</t>
  </si>
  <si>
    <t>Light Star Trail Chem-Resistant Work Boots</t>
  </si>
  <si>
    <t>Game.AddToInventory("Items.Boots_06_rich_02", 1)</t>
  </si>
  <si>
    <t>Light Synfiber Evening Jacket</t>
  </si>
  <si>
    <t>Game.AddToInventory("Items.FormalJacket_04_basic_01", 1)</t>
  </si>
  <si>
    <t>Light Technopolymer Helmet</t>
  </si>
  <si>
    <t>Game.AddToInventory("Items.Helmet_01_basic_02", 1)</t>
  </si>
  <si>
    <t>Light Xx Punch! Heat-Resistant Biker Turtleneck</t>
  </si>
  <si>
    <t>Game.AddToInventory("Items.Shirt_02_rich_01", 1)</t>
  </si>
  <si>
    <t>Lightning Rider Reinforced Racing Suit</t>
  </si>
  <si>
    <t>Game.AddToInventory("Items.Jumpsuit_02_rich_03", 1)</t>
  </si>
  <si>
    <t>Game.AddToInventory("Items.Proficiency_Jumpsuit_02_rich_03_Crafting", 1)</t>
  </si>
  <si>
    <t>Lightweight Hardened-Rubber Media Steel-Toes</t>
  </si>
  <si>
    <t>Game.AddToInventory("Items.Media_01_Set_Shoes", 1)</t>
  </si>
  <si>
    <t>Lightweight Hat With Antibacterial Lining</t>
  </si>
  <si>
    <t>Game.AddToInventory("Items.Hat_05_rich_04", 1)</t>
  </si>
  <si>
    <t>Lightweight Heat-Resistant Hotpants</t>
  </si>
  <si>
    <t>Game.AddToInventory("Items.Shorts_02_old_02", 1)</t>
  </si>
  <si>
    <t>Lightweight Seersucker Paneled Dress</t>
  </si>
  <si>
    <t>Game.AddToInventory("Items.Dress_03_basic_04", 1)</t>
  </si>
  <si>
    <t>Lightweight Soft Shell Vest</t>
  </si>
  <si>
    <t>Game.AddToInventory("Items.Vest_23_basic_04", 1)</t>
  </si>
  <si>
    <t>Lightweight Tungsten-Steel Bd Wreath</t>
  </si>
  <si>
    <t>Game.AddToInventory("Items.Proficiency_Tech_02_basic_02_Crafting", 1)</t>
  </si>
  <si>
    <t>Game.AddToInventory("Items.Tech_02_basic_02", 1)</t>
  </si>
  <si>
    <t>Game.AddToInventory("Items.Q301_Street_MA_Face", 1)</t>
  </si>
  <si>
    <t>Game.AddToInventory("Items.Q301_Street_WA_Face", 1)</t>
  </si>
  <si>
    <t>Lilla Natt Composite-Leather Rocker Blazer</t>
  </si>
  <si>
    <t>Game.AddToInventory("Items.FormalJacket_02_rich_01", 1)</t>
  </si>
  <si>
    <t>Limited Edition Loose-Fit Shirt With Protective Mesh</t>
  </si>
  <si>
    <t>Game.AddToInventory("Items.LooseShirt_01_basic_01", 1)</t>
  </si>
  <si>
    <t>Limited-Edition Bolero Blazer With Fiberglass Weave</t>
  </si>
  <si>
    <t>Game.AddToInventory("Items.Jacket_25_rich_06", 1)</t>
  </si>
  <si>
    <t>Limited-Edition Daemon Hunter Cap</t>
  </si>
  <si>
    <t>Game.AddToInventory("Items.Cap_01_basic_02", 1)</t>
  </si>
  <si>
    <t>Lina Malina's T-Shirt</t>
  </si>
  <si>
    <t>Game.AddToInventory("Items.Q303_lina_tshirt", 1)</t>
  </si>
  <si>
    <t>Linen Button-Up With Reactive Layering</t>
  </si>
  <si>
    <t>Game.AddToInventory("Items.FormalShirt_02_old_01", 1)</t>
  </si>
  <si>
    <t>Linty Hoodie</t>
  </si>
  <si>
    <t>Game.AddToInventory("Items.Jacket_22_old_02", 1)</t>
  </si>
  <si>
    <t>Liquid Shine Dura-Polyamide Button-Up</t>
  </si>
  <si>
    <t>Game.AddToInventory("Items.FormalShirt_02_rich_03", 1)</t>
  </si>
  <si>
    <t>Long-Sleeve With Composite Lining</t>
  </si>
  <si>
    <t>Game.AddToInventory("Items.Shirt_01_old_02", 1)</t>
  </si>
  <si>
    <t>Loose-Fits With Micromesh Underlayer</t>
  </si>
  <si>
    <t>Game.AddToInventory("Items.Pants_02_old_03", 1)</t>
  </si>
  <si>
    <t>Low-Profile 900d Polyester Vest</t>
  </si>
  <si>
    <t>Game.AddToInventory("Items.Vest_23_rich_01", 1)</t>
  </si>
  <si>
    <t>Low-Profile Tac Vest With 3d Panels</t>
  </si>
  <si>
    <t>Game.AddToInventory("Items.Vest_21_old_04", 1)</t>
  </si>
  <si>
    <t>Luminescent Punk Jacket</t>
  </si>
  <si>
    <t>Game.AddToInventory("Items.Jacket_19_basic_04", 1)</t>
  </si>
  <si>
    <t>Game.AddToInventory("Items.Jacket_19_basic_04_DLC_Legendary", 1)</t>
  </si>
  <si>
    <t>Game.AddToInventory("Items.Jacket_19_basic_04_DLC_Epic", 1)</t>
  </si>
  <si>
    <t>Game.AddToInventory("Items.Jacket_19_basic_04_Crafted", 1)</t>
  </si>
  <si>
    <t>Lumpy Reversible Half-Zip</t>
  </si>
  <si>
    <t>Game.AddToInventory("Items.Coat_05_old_02", 1)</t>
  </si>
  <si>
    <t>Luxury Half-Zip With Silver Nano-Inlay</t>
  </si>
  <si>
    <t>Game.AddToInventory("Items.Coat_05_rich_03", 1)</t>
  </si>
  <si>
    <t>M4rbl3 Titanium-Pleated Ballistic Vest</t>
  </si>
  <si>
    <t>Game.AddToInventory("Items.Vest_01_rich_02", 1)</t>
  </si>
  <si>
    <t>Maelstrom Side Cap</t>
  </si>
  <si>
    <t>Game.AddToInventory("Items.Cap_05_old_02", 1)</t>
  </si>
  <si>
    <t>Magenta Bee Trilayer Hybrid Puffer Vest</t>
  </si>
  <si>
    <t>Game.AddToInventory("Items.Vest_17_rich_02", 1)</t>
  </si>
  <si>
    <t>Magenta Cut-Off Duolayer Nanoweave Shorts</t>
  </si>
  <si>
    <t>Game.AddToInventory("Items.Shorts_01_rich_01", 1)</t>
  </si>
  <si>
    <t>Magenta Kicks With Reinforced Stitching</t>
  </si>
  <si>
    <t>Game.AddToInventory("Items.CasualShoes_07_basic_04", 1)</t>
  </si>
  <si>
    <t>Magenta Puncture-Resistant Multilayer High-Collar Vest</t>
  </si>
  <si>
    <t>Game.AddToInventory("Items.Vest_07_rich_03", 1)</t>
  </si>
  <si>
    <t>Magenta Spark Reinforced Silkweave Bandana</t>
  </si>
  <si>
    <t>Game.AddToInventory("Items.Scarf_01_rich_03", 1)</t>
  </si>
  <si>
    <t>Makeshift Maelstrom Gas Mask</t>
  </si>
  <si>
    <t>Game.AddToInventory("Items.Mask_02_basic_02", 1)</t>
  </si>
  <si>
    <t>Game.AddToInventory("Items.Normal_20_Melee_Face", 1)</t>
  </si>
  <si>
    <t>Makeshift Punk Goggles</t>
  </si>
  <si>
    <t>Game.AddToInventory("Items.Glasses_05_basic_03", 1)</t>
  </si>
  <si>
    <t>Makeshift Rabenda Banana Bandana</t>
  </si>
  <si>
    <t>Game.AddToInventory("Items.Scarf_01_basic_02", 1)</t>
  </si>
  <si>
    <t>Mallow Breeze Triweave Shirt And Vest</t>
  </si>
  <si>
    <t>Game.AddToInventory("Items.FormalShirt_01_rich_03", 1)</t>
  </si>
  <si>
    <t>Mandarine Resistant Cargo Pants</t>
  </si>
  <si>
    <t>Game.AddToInventory("Items.Pants_04_basic_02", 1)</t>
  </si>
  <si>
    <t>Manganese-Laminate Nomad Gas Mask</t>
  </si>
  <si>
    <t>Game.AddToInventory("Items.Nomad_01_Set_Mask", 1)</t>
  </si>
  <si>
    <t>Marbre Doré Suit Jacket With Discreet Bulletproof Lining</t>
  </si>
  <si>
    <t>Game.AddToInventory("Items.FormalJacket_01_rich_01", 1)</t>
  </si>
  <si>
    <t>Matte Jacket</t>
  </si>
  <si>
    <t>Game.AddToInventory("Items.Jacket_24_old_01", 1)</t>
  </si>
  <si>
    <t>Maxiwear Motorcycle Suit</t>
  </si>
  <si>
    <t>Game.AddToInventory("Items.Jumpsuit_02_old_02", 1)</t>
  </si>
  <si>
    <t>Maxiwear Windbreaker Pants</t>
  </si>
  <si>
    <t>Game.AddToInventory("Items.Pants_12_old_01", 1)</t>
  </si>
  <si>
    <t>Maxtac Multilayered Armor-Weave Jacket</t>
  </si>
  <si>
    <t>Game.AddToInventory("Items.SQ030_MaxTac_Chest", 1)</t>
  </si>
  <si>
    <t>Maxtac Tactical Helmet With Multifunction Infovisor</t>
  </si>
  <si>
    <t>Game.AddToInventory("Items.SQ030_MaxTac_Helmet", 1)</t>
  </si>
  <si>
    <t>Media Baseball Cap With Reactive Layer</t>
  </si>
  <si>
    <t>Game.AddToInventory("Items.Media_01_Set_Cap", 1)</t>
  </si>
  <si>
    <t>Melting Ceramic Membrane Pozer-Jacket</t>
  </si>
  <si>
    <t>Game.AddToInventory("Items.Jacket_17_basic_04", 1)</t>
  </si>
  <si>
    <t>Melting Hottie Tank Top</t>
  </si>
  <si>
    <t>Game.AddToInventory("Items.TShirt_01_basic_02", 1)</t>
  </si>
  <si>
    <t>Men's Diving Suit  [Broken]</t>
  </si>
  <si>
    <t>Game.AddToInventory("Items.sq030_diving_suit_male", 1)</t>
  </si>
  <si>
    <t>Menpo With Durable Lining</t>
  </si>
  <si>
    <t>Game.AddToInventory("Items.Mask_03_basic_01", 1)</t>
  </si>
  <si>
    <t>Menpo With Protective Padding</t>
  </si>
  <si>
    <t>Game.AddToInventory("Items.Mask_03_basic_02", 1)</t>
  </si>
  <si>
    <t>Menpō With Protective Padding</t>
  </si>
  <si>
    <t>Game.AddToInventory("Items.Mask_03_basic_02_Crafting", 1)</t>
  </si>
  <si>
    <t>Menpo With Reactive Layer</t>
  </si>
  <si>
    <t>Game.AddToInventory("Items.Mask_03_old_02", 1)</t>
  </si>
  <si>
    <t>Microplate-Lined Camo Vest</t>
  </si>
  <si>
    <t>Game.AddToInventory("Items.Vest_14_basic_01", 1)</t>
  </si>
  <si>
    <t>Microplated Punk Short-Sleeve Jacket</t>
  </si>
  <si>
    <t>Game.AddToInventory("Items.Jacket_08_old_02", 1)</t>
  </si>
  <si>
    <t>Midday Glow Polycarbonate Formal Pumps</t>
  </si>
  <si>
    <t>Game.AddToInventory("Items.FormalShoes_01_rich_02_Crafting", 1)</t>
  </si>
  <si>
    <t>Midori Eazy-Breathe Thermoactive Yoros</t>
  </si>
  <si>
    <t>Game.AddToInventory("Items.Pants_14_rich_01", 1)</t>
  </si>
  <si>
    <t>Midori Tora Reinforced Utility Pants</t>
  </si>
  <si>
    <t>Game.AddToInventory("Items.Pants_09_basic_02", 1)</t>
  </si>
  <si>
    <t>Midori Tora Sturdy Rally Bolero</t>
  </si>
  <si>
    <t>Game.AddToInventory("Items.Jacket_10_basic_02", 1)</t>
  </si>
  <si>
    <t>Game.AddToInventory("Items.Hard_30_Reflex_OuterTorso", 1)</t>
  </si>
  <si>
    <t>Mikan Enhanced Flight Jacket</t>
  </si>
  <si>
    <t>Game.AddToInventory("Items.Jacket_20_basic_02", 1)</t>
  </si>
  <si>
    <t>Military Aramid Collar</t>
  </si>
  <si>
    <t>Game.AddToInventory("Items.Vest_12_old_01", 1)</t>
  </si>
  <si>
    <t>Military Aramid Vest</t>
  </si>
  <si>
    <t>Game.AddToInventory("Items.Vest_02_old_02", 1)</t>
  </si>
  <si>
    <t>Military Camo Racers</t>
  </si>
  <si>
    <t>Game.AddToInventory("Items.Pants_05_old_01", 1)</t>
  </si>
  <si>
    <t>Military Extra-Membrane Deltajock Jacket</t>
  </si>
  <si>
    <t>Game.AddToInventory("Items.Jacket_20_old_04", 1)</t>
  </si>
  <si>
    <t>Military Glasses With Splash Guard</t>
  </si>
  <si>
    <t>Game.AddToInventory("Items.Glasses_03_basic_10", 1)</t>
  </si>
  <si>
    <t>Military Novawear Pants With Nanoceramic Seams</t>
  </si>
  <si>
    <t>Game.AddToInventory("Items.Pants_17_rich_04", 1)</t>
  </si>
  <si>
    <t>Military Shoes With Shock-Absorbent Insole</t>
  </si>
  <si>
    <t>Game.AddToInventory("Items.Boots_12_basic_06", 1)</t>
  </si>
  <si>
    <t>Military Surplus Strapped Cargos</t>
  </si>
  <si>
    <t>Game.AddToInventory("Items.Pants_20_old_02", 1)</t>
  </si>
  <si>
    <t>Military-Grade Aramid Netrunning Suit</t>
  </si>
  <si>
    <t>Game.AddToInventory("Items.TightJumpsuit_01_basic_01", 1)</t>
  </si>
  <si>
    <t>Game.AddToInventory("Items.VHard_50_IntTech_InnerToso", 1)</t>
  </si>
  <si>
    <t>Militech Aramid-Weave Hazmat Suit</t>
  </si>
  <si>
    <t>Game.AddToInventory("Items.Jumpsuit_03_old_03", 1)</t>
  </si>
  <si>
    <t>Militech Armor-Quilted Aramid Vest</t>
  </si>
  <si>
    <t>Game.AddToInventory("Items.Vest_02_rich_02", 1)</t>
  </si>
  <si>
    <t>Militech Armorfiber Tactical Harness</t>
  </si>
  <si>
    <t>Game.AddToInventory("Items.Vest_06_basic_01", 1)</t>
  </si>
  <si>
    <t>Militech Heavy Tactical Vest</t>
  </si>
  <si>
    <t>Game.AddToInventory("Items.Vest_08_basic_01", 1)</t>
  </si>
  <si>
    <t>Militech Neotac Pants</t>
  </si>
  <si>
    <t>Game.AddToInventory("Items.Pants_08_basic_01", 1)</t>
  </si>
  <si>
    <t>Militech Pants [Broken]</t>
  </si>
  <si>
    <t>Game.AddToInventory("Items.q005_militech_pants", 1)</t>
  </si>
  <si>
    <t>Militech Reinforced-Composite Field Jacket</t>
  </si>
  <si>
    <t>Game.AddToInventory("Items.Jacket_04_basic_02", 1)</t>
  </si>
  <si>
    <t>Militech Shoes [Broken]</t>
  </si>
  <si>
    <t>Game.AddToInventory("Items.q005_militech_shoes", 1)</t>
  </si>
  <si>
    <t>Militech Suit</t>
  </si>
  <si>
    <t>Game.AddToInventory("Items.Q005_Militech_Suit", 1)</t>
  </si>
  <si>
    <t>Militech Tactical Chest Holster</t>
  </si>
  <si>
    <t>Game.AddToInventory("Items.Vest_24_basic_01", 1)</t>
  </si>
  <si>
    <t>Militech Tactical Helmet</t>
  </si>
  <si>
    <t>Game.AddToInventory("Items.Helmet_02_basic_03", 1)</t>
  </si>
  <si>
    <t>Militech Ultralight Aramid Breastplate</t>
  </si>
  <si>
    <t>Game.AddToInventory("Items.Vest_13_basic_01", 1)</t>
  </si>
  <si>
    <t>Game.AddToInventory("Items.Q301_Corpo_MA_OuterTorso", 1)</t>
  </si>
  <si>
    <t>Game.AddToInventory("Items.Q301_Corpo_WA_OuterTorso", 1)</t>
  </si>
  <si>
    <t>Militoxic Ceramic-Layer Combat Exo-Jacks</t>
  </si>
  <si>
    <t>Game.AddToInventory("Items.Boots_09_rich_01", 1)</t>
  </si>
  <si>
    <t>Game.AddToInventory("Items.Boots_09_rich_01_Crafting", 1)</t>
  </si>
  <si>
    <t>Milky Gold Trench Coat With Bulletproof Triweave</t>
  </si>
  <si>
    <t>Game.AddToInventory("Items.Coat_04_rich_02", 1)</t>
  </si>
  <si>
    <t>Game.AddToInventory("Items.Coat_04_rich_02_Crafting", 1)</t>
  </si>
  <si>
    <t>Minimalist Bolero Blazer</t>
  </si>
  <si>
    <t>Game.AddToInventory("Items.Jacket_25_rich_05", 1)</t>
  </si>
  <si>
    <t>Mirame Reinforced-Composite Cowboy Hat</t>
  </si>
  <si>
    <t>Game.AddToInventory("Items.Hat_02_rich_02", 1)</t>
  </si>
  <si>
    <t>Mírame Reinforced-Composite Cowboy Hat</t>
  </si>
  <si>
    <t>Game.AddToInventory("Items.Hat_02_rich_02_Crafting", 1)</t>
  </si>
  <si>
    <t>Modacrylic Tactical Balaclava</t>
  </si>
  <si>
    <t>Game.AddToInventory("Items.Balaclava_02_basic_01", 1)</t>
  </si>
  <si>
    <t>Modified Nylon Exclusive Hat</t>
  </si>
  <si>
    <t>Game.AddToInventory("Items.Hat_05_rich_01", 1)</t>
  </si>
  <si>
    <t>Modified Polycarbonate Arasaka Helmet</t>
  </si>
  <si>
    <t>Game.AddToInventory("Items.Helmet_07_basic_03", 1)</t>
  </si>
  <si>
    <t>Modified Snake-Skin Cowboy Hat</t>
  </si>
  <si>
    <t>Game.AddToInventory("Items.Hat_02_old_02", 1)</t>
  </si>
  <si>
    <t>Modular Ballistic Mask</t>
  </si>
  <si>
    <t>Game.AddToInventory("Items.Helmet_12_basic_02", 1)</t>
  </si>
  <si>
    <t>Modular Self-Extinguishing Ballistic Vest</t>
  </si>
  <si>
    <t>Game.AddToInventory("Items.Vest_22_basic_01", 1)</t>
  </si>
  <si>
    <t>Game.AddToInventory("Items.VHard_50_RefTech_OuterTorso", 1)</t>
  </si>
  <si>
    <t>Modular Tac Vest With Detachable Ballistic Inlays</t>
  </si>
  <si>
    <t>Game.AddToInventory("Items.Vest_21_basic_01", 1)</t>
  </si>
  <si>
    <t>Modular Technosight With 16x Digital Zoom</t>
  </si>
  <si>
    <t>Game.AddToInventory("Items.Tech_04_rich_03", 1)</t>
  </si>
  <si>
    <t>Game.AddToInventory("Items.VHard_50_IntRef_Face", 1)</t>
  </si>
  <si>
    <t>Moisture-Wicking Crawlers With Anti-Frag Quilting</t>
  </si>
  <si>
    <t>Game.AddToInventory("Items.Pants_19_rich_05", 1)</t>
  </si>
  <si>
    <t>Molto Vivace Nanoweave Rocker Coat</t>
  </si>
  <si>
    <t>Game.AddToInventory("Items.Coat_03_rich_01", 1)</t>
  </si>
  <si>
    <t>Momentum Carbon-Reinforced Visored Helmet</t>
  </si>
  <si>
    <t>Game.AddToInventory("Items.Helmet_01_rich_01", 1)</t>
  </si>
  <si>
    <t>Mosaic Gleam Blazer With Puncture-Resistant Mesh</t>
  </si>
  <si>
    <t>Game.AddToInventory("Items.FormalJacket_01_rich_02", 1)</t>
  </si>
  <si>
    <t>Mosiac Gleam Led-Hybrid Trilayer Jacket</t>
  </si>
  <si>
    <t>Game.AddToInventory("Items.Jacket_19_rich_01", 1)</t>
  </si>
  <si>
    <t>Mosiac Gleam Skirt With Composite Lining</t>
  </si>
  <si>
    <t>Game.AddToInventory("Items.FormalSkirt_01_rich_02", 1)</t>
  </si>
  <si>
    <t>Mottled Membrane Novawear Pants</t>
  </si>
  <si>
    <t>Game.AddToInventory("Items.Pants_17_basic_02", 1)</t>
  </si>
  <si>
    <t>Game.AddToInventory("Items.VHard_50_BodyCool_Legs", 1)</t>
  </si>
  <si>
    <t>Mox Beanie</t>
  </si>
  <si>
    <t>Game.AddToInventory("Items.Cap_03_basic_01", 1)</t>
  </si>
  <si>
    <t>Game.AddToInventory("Items.Hard_30_IntBody_Head", 1)</t>
  </si>
  <si>
    <t>Mox Gas Mask With Custom Protective Layer</t>
  </si>
  <si>
    <t>Game.AddToInventory("Items.Mask_02_rich_02", 1)</t>
  </si>
  <si>
    <t>Game.AddToInventory("Items.Mask_02_rich_02_Crafting", 1)</t>
  </si>
  <si>
    <t>Mox Nanoplastic Collar</t>
  </si>
  <si>
    <t>Game.AddToInventory("Items.Vest_12_basic_02", 1)</t>
  </si>
  <si>
    <t>Mox Ultralight Tank Top With Micromesh Layer</t>
  </si>
  <si>
    <t>Game.AddToInventory("Items.TShirt_03_old_03", 1)</t>
  </si>
  <si>
    <t>Game.AddToInventory("Items.Hard_30_Reflex_InnerToso", 1)</t>
  </si>
  <si>
    <t>Mt-77 Bulletproof Tactical Helmet</t>
  </si>
  <si>
    <t>Game.AddToInventory("Items.Helmet_03_rich_01", 1)</t>
  </si>
  <si>
    <t>Mud-Covered Unstylish Splicers</t>
  </si>
  <si>
    <t>Game.AddToInventory("Items.Pants_18_old_03", 1)</t>
  </si>
  <si>
    <t>Muddy 6th Street Hybrid Jacket With Buckles</t>
  </si>
  <si>
    <t>Game.AddToInventory("Items.Jacket_19_old_06", 1)</t>
  </si>
  <si>
    <t>Muddy Deltajock Biker Jacket</t>
  </si>
  <si>
    <t>Game.AddToInventory("Items.Jacket_20_old_05", 1)</t>
  </si>
  <si>
    <t>Muddy Fleets</t>
  </si>
  <si>
    <t>Game.AddToInventory("Items.Boots_05_old_01", 1)</t>
  </si>
  <si>
    <t>Muddy Ncpd Vest</t>
  </si>
  <si>
    <t>Game.AddToInventory("Items.Vest_11_old_01", 1)</t>
  </si>
  <si>
    <t>Mulitcolor Magazine Chest Holster</t>
  </si>
  <si>
    <t>Game.AddToInventory("Items.Vest_24_basic_03", 1)</t>
  </si>
  <si>
    <t>Multi-Defense Impregnated Lyocell Strapped Cargos</t>
  </si>
  <si>
    <t>Game.AddToInventory("Items.Pants_20_basic_05", 1)</t>
  </si>
  <si>
    <t>Multi-Season Half-Zip With Nylon Lining</t>
  </si>
  <si>
    <t>Game.AddToInventory("Items.Coat_05_old_03", 1)</t>
  </si>
  <si>
    <t>Multicolor 2-Piece With Eva Foam Cushioning</t>
  </si>
  <si>
    <t>Game.AddToInventory("Items.FormalJacket_06_rich_03", 1)</t>
  </si>
  <si>
    <t>Multilayer Custom-Print Pants</t>
  </si>
  <si>
    <t>Game.AddToInventory("Items.FormalPants_03_old_01", 1)</t>
  </si>
  <si>
    <t>Multilayered Kasen Exo-Jacks With Anti-Shrapnel Lining</t>
  </si>
  <si>
    <t>Game.AddToInventory("Items.Boots_09_rich_02", 1)</t>
  </si>
  <si>
    <t>Multilayered Maroon Scales Syn-Coated Bomber</t>
  </si>
  <si>
    <t>Game.AddToInventory("Items.Jacket_13_rich_03", 1)</t>
  </si>
  <si>
    <t>Multilayered Syn-Leather Deltajock Jacket</t>
  </si>
  <si>
    <t>Game.AddToInventory("Items.Jacket_20_basic_01", 1)</t>
  </si>
  <si>
    <t>Game.AddToInventory("Items.Jacket_20_basic_01_DLC_Epic", 1)</t>
  </si>
  <si>
    <t>Game.AddToInventory("Items.Jacket_20_basic_01_DLC_Legendary", 1)</t>
  </si>
  <si>
    <t>Game.AddToInventory("Items.Jacket_20_basic_01_Crafted", 1)</t>
  </si>
  <si>
    <t>Multipurpose Utility Chest Holster</t>
  </si>
  <si>
    <t>Game.AddToInventory("Items.Vest_24_basic_05", 1)</t>
  </si>
  <si>
    <t>Multipurpose Vest With Reinforced Seams</t>
  </si>
  <si>
    <t>Game.AddToInventory("Items.Vest_23_basic_01", 1)</t>
  </si>
  <si>
    <t>Murasaki Tear-Resistant Yukata</t>
  </si>
  <si>
    <t>Game.AddToInventory("Items.Vest_19_rich_02", 1)</t>
  </si>
  <si>
    <t>Muted Pseudo-Bovine Leather Splicers</t>
  </si>
  <si>
    <t>Game.AddToInventory("Items.Pants_18_basic_03", 1)</t>
  </si>
  <si>
    <t>N54 Athletic Shorts With Thermoactive Mesh</t>
  </si>
  <si>
    <t>Game.AddToInventory("Items.Shorts_03_basic_03", 1)</t>
  </si>
  <si>
    <t>Nami Balaclava With Polyamide-Insulated Lining</t>
  </si>
  <si>
    <t>Game.AddToInventory("Items.Balaclava_01_old_02", 1)</t>
  </si>
  <si>
    <t>Nanostitched Short Puffer</t>
  </si>
  <si>
    <t>Game.AddToInventory("Items.Vest_16_basic_02", 1)</t>
  </si>
  <si>
    <t>Natsunoshio Protective-Mesh Tracksuit</t>
  </si>
  <si>
    <t>Game.AddToInventory("Items.Jumpsuit_02_rich_02", 1)</t>
  </si>
  <si>
    <t>Natural Leather Silkie With Elastomer Membrane</t>
  </si>
  <si>
    <t>Game.AddToInventory("Items.Coat_06_rich_04", 1)</t>
  </si>
  <si>
    <t>Nc Python Ultraresistant Hybrid-Weave Racing Suit</t>
  </si>
  <si>
    <t>Game.AddToInventory("Items.Jumpsuit_02_rich_01", 1)</t>
  </si>
  <si>
    <t>Ncpd Aramid Collar</t>
  </si>
  <si>
    <t>Game.AddToInventory("Items.Vest_12_old_02", 1)</t>
  </si>
  <si>
    <t>Ncpd Chem-Resistant Hazmat Suit</t>
  </si>
  <si>
    <t>Game.AddToInventory("Items.Jumpsuit_03_old_02", 1)</t>
  </si>
  <si>
    <t>Ncpd Reinforced Ballistic Vest</t>
  </si>
  <si>
    <t>Game.AddToInventory("Items.Vest_03_basic_01", 1)</t>
  </si>
  <si>
    <t>Game.AddToInventory("Items.Hard_20_Body_OuterTorso", 1)</t>
  </si>
  <si>
    <t>Game.AddToInventory("Items.Hard_30_BodyTech_OuterTorso", 1)</t>
  </si>
  <si>
    <t>Game.AddToInventory("Items.Str_10_Tank_OuterTorso", 1)</t>
  </si>
  <si>
    <t>Game.AddToInventory("Items.Str_5_Tank_OuterTorso", 1)</t>
  </si>
  <si>
    <t>Ncpd Titanium Ice-Protected Ocuset</t>
  </si>
  <si>
    <t>Game.AddToInventory("Items.Tech_01_rich_02", 1)</t>
  </si>
  <si>
    <t>Neokitsch Blooming Amber Resistance-Coated Tank</t>
  </si>
  <si>
    <t>Game.AddToInventory("Items.TShirt_08_rich_02", 1)</t>
  </si>
  <si>
    <t>Neokitsch Palm Bay Heat-Resistant Tank Top</t>
  </si>
  <si>
    <t>Game.AddToInventory("Items.TShirt_03_rich_01", 1)</t>
  </si>
  <si>
    <t>Neokitsch Pasion Purpura Polyamide Foldtop</t>
  </si>
  <si>
    <t>Game.AddToInventory("Items.Jacket_11_rich_01", 1)</t>
  </si>
  <si>
    <t>Neoprene Diving Suit (From Judy)</t>
  </si>
  <si>
    <t>Game.AddToInventory("Items.SQ030_Diving_Suit_NoShoes", 1)</t>
  </si>
  <si>
    <t>Neoprene Diving Suit With Flippers (From Judy)</t>
  </si>
  <si>
    <t>Game.AddToInventory("Items.SQ030_Diving_Suit", 1)</t>
  </si>
  <si>
    <t>Netrunner Helmet With Heart Monitor</t>
  </si>
  <si>
    <t>Game.AddToInventory("Items.Helmet_10_basic_04", 1)</t>
  </si>
  <si>
    <t>Netrunner Helmet With Integrated Ventilation</t>
  </si>
  <si>
    <t>Game.AddToInventory("Items.Helmet_10_basic_02", 1)</t>
  </si>
  <si>
    <t>Netrunner Suit</t>
  </si>
  <si>
    <t>Game.AddToInventory("Items.Q304_netrunner_outfit", 1)</t>
  </si>
  <si>
    <t>Game.AddToInventory("Items.Q304_netrunner_outfit_ow", 1)</t>
  </si>
  <si>
    <t>New Murica Carbonweave Kicks</t>
  </si>
  <si>
    <t>Game.AddToInventory("Items.CasualShoes_07_old_02", 1)</t>
  </si>
  <si>
    <t>Night City Biker Jacket</t>
  </si>
  <si>
    <t>Game.AddToInventory("Items.Jacket_05_rich_01", 1)</t>
  </si>
  <si>
    <t>Night City Lightweight Carbon-Fiber Sleeveless Field Jacket</t>
  </si>
  <si>
    <t>Game.AddToInventory("Items.Jacket_04_rich_03", 1)</t>
  </si>
  <si>
    <t>Nippon Composite-Coated Muscle Tank</t>
  </si>
  <si>
    <t>Game.AddToInventory("Items.TShirt_06_basic_01", 1)</t>
  </si>
  <si>
    <t>Nitrile Novawear Pants With Thermoactive Lining</t>
  </si>
  <si>
    <t>Game.AddToInventory("Items.Pants_17_old_04", 1)</t>
  </si>
  <si>
    <t>No-Slip Combat Hoodie With Ripstop Mesh</t>
  </si>
  <si>
    <t>Game.AddToInventory("Items.Jacket_22_basic_03", 1)</t>
  </si>
  <si>
    <t>No-Slip Hydrophobic Fleets</t>
  </si>
  <si>
    <t>Game.AddToInventory("Items.Boots_12_basic_04", 1)</t>
  </si>
  <si>
    <t>Game.AddToInventory("Items.VHard_50_TechCool_Feet", 1)</t>
  </si>
  <si>
    <t>No-Swish Nylon-Cotton Crawlers</t>
  </si>
  <si>
    <t>Game.AddToInventory("Items.Pants_19_rich_01", 1)</t>
  </si>
  <si>
    <t>Noble White Albino Alligator Evening Jacket</t>
  </si>
  <si>
    <t>Game.AddToInventory("Items.FormalJacket_04_rich_03", 1)</t>
  </si>
  <si>
    <t>Noise-Canceling Netrunner Helmet</t>
  </si>
  <si>
    <t>Game.AddToInventory("Items.Helmet_10_basic_03", 1)</t>
  </si>
  <si>
    <t>Nomad Eazy-Breathe Cargo Pants</t>
  </si>
  <si>
    <t>Game.AddToInventory("Items.Pants_11_old_02", 1)</t>
  </si>
  <si>
    <t>Non-Slip Strapped Cargos With Hexagonal Pattern</t>
  </si>
  <si>
    <t>Game.AddToInventory("Items.Pants_20_basic_02", 1)</t>
  </si>
  <si>
    <t>Nonslip Unitard With Heat-Sealed Seams</t>
  </si>
  <si>
    <t>Game.AddToInventory("Items.TightJumpsuit_02_basic_02", 1)</t>
  </si>
  <si>
    <t>Novawear Pants With Protective Ptfe Layer</t>
  </si>
  <si>
    <t>Game.AddToInventory("Items.Pants_17_basic_06", 1)</t>
  </si>
  <si>
    <t>Nu-Tek Foxy Carbon-Lined Field Jacket</t>
  </si>
  <si>
    <t>Game.AddToInventory("Items.Jacket_04_rich_02", 1)</t>
  </si>
  <si>
    <t>Nus Infiltrator Boots</t>
  </si>
  <si>
    <t>Game.AddToInventory("Items.Twitch_Drop_Boots", 1)</t>
  </si>
  <si>
    <t>Nus Infiltrator Headgear</t>
  </si>
  <si>
    <t>Game.AddToInventory("Items.Twitch_Drop_Specs", 1)</t>
  </si>
  <si>
    <t>Nus Infiltrator Jacket</t>
  </si>
  <si>
    <t>Game.AddToInventory("Items.Twitch_Drop_Vest", 1)</t>
  </si>
  <si>
    <t>Nus Infiltrator Pants</t>
  </si>
  <si>
    <t>Game.AddToInventory("Items.Twitch_Drop_Pants", 1)</t>
  </si>
  <si>
    <t>Nusa Leather Vest</t>
  </si>
  <si>
    <t>Game.AddToInventory("Items.Vest_14_old_01", 1)</t>
  </si>
  <si>
    <t>Nusa Suit</t>
  </si>
  <si>
    <t>Game.AddToInventory("Items.Q301_nusa_agent", 1)</t>
  </si>
  <si>
    <t>Nylon Insulated Ushanka</t>
  </si>
  <si>
    <t>Game.AddToInventory("Items.Hat_06_basic_01", 1)</t>
  </si>
  <si>
    <t>Nylon-Coated Quick-Dry Silkie</t>
  </si>
  <si>
    <t>Game.AddToInventory("Items.Coat_06_old_05", 1)</t>
  </si>
  <si>
    <t>Nylon-Cotton Dress With Padding</t>
  </si>
  <si>
    <t>Game.AddToInventory("Items.Dress_04_basic_05", 1)</t>
  </si>
  <si>
    <t>Ocean Armor Aramid-Weave Edgerunner</t>
  </si>
  <si>
    <t>Game.AddToInventory("Items.Jacket_03_rich_03", 1)</t>
  </si>
  <si>
    <t>Ocean Bulletproof Neotac Biker Pants</t>
  </si>
  <si>
    <t>Game.AddToInventory("Items.Pants_08_rich_03", 1)</t>
  </si>
  <si>
    <t>Off-White Dress With Gold Inlay</t>
  </si>
  <si>
    <t>Game.AddToInventory("Items.Dress_03_rich_03", 1)</t>
  </si>
  <si>
    <t>Officer's Side Cap With Reinforced Plastic</t>
  </si>
  <si>
    <t>Game.AddToInventory("Items.Cap_05_basic_03", 1)</t>
  </si>
  <si>
    <t>Official Barghest Tac Vest</t>
  </si>
  <si>
    <t>Game.AddToInventory("Items.Vest_21_rich_01", 1)</t>
  </si>
  <si>
    <t>Game.AddToInventory("Items.VHard_50_BodyCool_OuterTorso", 1)</t>
  </si>
  <si>
    <t>Oil-Resistant Vest With Adjustable Suspenders</t>
  </si>
  <si>
    <t>Game.AddToInventory("Items.Vest_23_basic_02", 1)</t>
  </si>
  <si>
    <t>Old 6th Street Vest</t>
  </si>
  <si>
    <t>Game.AddToInventory("Items.Vest_11_old_02", 1)</t>
  </si>
  <si>
    <t>Old Army Surplus Ballistic Vest</t>
  </si>
  <si>
    <t>Game.AddToInventory("Items.Vest_22_old_03", 1)</t>
  </si>
  <si>
    <t>Old Banana Juice Neotac Pants</t>
  </si>
  <si>
    <t>Game.AddToInventory("Items.Pants_08_old_01", 1)</t>
  </si>
  <si>
    <t>Old Biker Techgogs</t>
  </si>
  <si>
    <t>Game.AddToInventory("Items.Visor_02_old_02", 1)</t>
  </si>
  <si>
    <t>Old Brown Strapped Cargos</t>
  </si>
  <si>
    <t>Game.AddToInventory("Items.Pants_20_old_01", 1)</t>
  </si>
  <si>
    <t>Old Camo Shoulder Straps</t>
  </si>
  <si>
    <t>Game.AddToInventory("Items.Vest_10_old_01", 1)</t>
  </si>
  <si>
    <t>Old Combat Vest</t>
  </si>
  <si>
    <t>Game.AddToInventory("Items.Vest_04_old_01", 1)</t>
  </si>
  <si>
    <t>Old Construction Hardhat</t>
  </si>
  <si>
    <t>Game.AddToInventory("Items.Helmet_03_old_01", 1)</t>
  </si>
  <si>
    <t>Old Duolayer Jacket With Buckles</t>
  </si>
  <si>
    <t>Game.AddToInventory("Items.Jacket_19_old_03", 1)</t>
  </si>
  <si>
    <t>Old Edgerunner</t>
  </si>
  <si>
    <t>Game.AddToInventory("Items.Jacket_03_old_01", 1)</t>
  </si>
  <si>
    <t>Old Emerald Speed Muscle Tank</t>
  </si>
  <si>
    <t>Game.AddToInventory("Items.TShirt_06_old_02", 1)</t>
  </si>
  <si>
    <t>Old Flazh Combat Shirt</t>
  </si>
  <si>
    <t>Game.AddToInventory("Items.Shirt_03_old_01", 1)</t>
  </si>
  <si>
    <t>Old Flazh Tactical Pants</t>
  </si>
  <si>
    <t>Game.AddToInventory("Items.Pants_07_old_01", 1)</t>
  </si>
  <si>
    <t>Old Hex Camo Shirt</t>
  </si>
  <si>
    <t>Game.AddToInventory("Items.TShirt_02_old_02", 1)</t>
  </si>
  <si>
    <t>Old Maelstrom Field Jacket</t>
  </si>
  <si>
    <t>Game.AddToInventory("Items.Jacket_04_old_01", 1)</t>
  </si>
  <si>
    <t>Old Maelstrom-Tagged Aramid Vest</t>
  </si>
  <si>
    <t>Game.AddToInventory("Items.Vest_01_old_02", 1)</t>
  </si>
  <si>
    <t>Old Military Helmet</t>
  </si>
  <si>
    <t>Game.AddToInventory("Items.Helmet_02_old_02", 1)</t>
  </si>
  <si>
    <t>Old Military Shorts</t>
  </si>
  <si>
    <t>Game.AddToInventory("Items.Shorts_05_old_01", 1)</t>
  </si>
  <si>
    <t>Old Motorcycle Cap</t>
  </si>
  <si>
    <t>Game.AddToInventory("Items.Cap_06_old_02", 1)</t>
  </si>
  <si>
    <t>Old N54 Athletic Shorts</t>
  </si>
  <si>
    <t>Game.AddToInventory("Items.Shorts_03_old_01", 1)</t>
  </si>
  <si>
    <t>Old Netrunning Suit</t>
  </si>
  <si>
    <t>Game.AddToInventory("Items.TightJumpsuit_01_old_02", 1)</t>
  </si>
  <si>
    <t>Old Ocuset</t>
  </si>
  <si>
    <t>Game.AddToInventory("Items.Tech_01_old_01", 1)</t>
  </si>
  <si>
    <t>Old Plastic Gas Mask</t>
  </si>
  <si>
    <t>Game.AddToInventory("Items.Mask_02_old_01", 1)</t>
  </si>
  <si>
    <t>Old Saeko's Windbreaker Pants</t>
  </si>
  <si>
    <t>Game.AddToInventory("Items.Pants_12_old_02", 1)</t>
  </si>
  <si>
    <t>Old Smiley Hard Hat</t>
  </si>
  <si>
    <t>Game.AddToInventory("Items.Cap_03_old_02", 1)</t>
  </si>
  <si>
    <t>Old Spotted Trench Coat</t>
  </si>
  <si>
    <t>Game.AddToInventory("Items.Coat_04_old_01", 1)</t>
  </si>
  <si>
    <t>Old Syn-Jersey T-Shirt</t>
  </si>
  <si>
    <t>Game.AddToInventory("Items.Tshirt_12_old_08", 1)</t>
  </si>
  <si>
    <t>Old Tac Vest With Mounting Straps</t>
  </si>
  <si>
    <t>Game.AddToInventory("Items.Vest_21_old_03", 1)</t>
  </si>
  <si>
    <t>Old Tyger Claws Motorcycle Jacket</t>
  </si>
  <si>
    <t>Game.AddToInventory("Items.Jacket_09_old_02", 1)</t>
  </si>
  <si>
    <t>Old Windbreaker</t>
  </si>
  <si>
    <t>Game.AddToInventory("Items.Jacket_07_old_02", 1)</t>
  </si>
  <si>
    <t>Old Wraiths Flight Jacket</t>
  </si>
  <si>
    <t>Game.AddToInventory("Items.Jacket_02_old_02", 1)</t>
  </si>
  <si>
    <t>Old-Gen Arasaka Helmet</t>
  </si>
  <si>
    <t>Game.AddToInventory("Items.Helmet_07_old_04", 1)</t>
  </si>
  <si>
    <t>Old-Gold Tac-Fabric Duolayer Cut-Off Shorts</t>
  </si>
  <si>
    <t>Game.AddToInventory("Items.Shorts_01_old_03", 1)</t>
  </si>
  <si>
    <t>Once We Were Boosted Tank Top</t>
  </si>
  <si>
    <t>Game.AddToInventory("Items.TShirt_01_old_03", 1)</t>
  </si>
  <si>
    <t>Opulent Fireproof Self-Cooling Hoodie</t>
  </si>
  <si>
    <t>Game.AddToInventory("Items.Jacket_22_rich_03", 1)</t>
  </si>
  <si>
    <t>Orchid Snake Nanotube-Triweave Cocktail Jacket</t>
  </si>
  <si>
    <t>Game.AddToInventory("Items.FormalJacket_03_rich_03", 1)</t>
  </si>
  <si>
    <t>Ordinary Ballistic Mask</t>
  </si>
  <si>
    <t>Game.AddToInventory("Items.Helmet_12_old_04", 1)</t>
  </si>
  <si>
    <t>Ordinary Tactical Balaclava With Reactive Layering</t>
  </si>
  <si>
    <t>Game.AddToInventory("Items.Balaclava_01_basic_01", 1)</t>
  </si>
  <si>
    <t>Organic Cotton Desert Camo Strapped Cargos</t>
  </si>
  <si>
    <t>Game.AddToInventory("Items.Pants_20_basic_04", 1)</t>
  </si>
  <si>
    <t>Oudated Helmet With Sweatband</t>
  </si>
  <si>
    <t>Game.AddToInventory("Items.Helmet_09_old_02", 1)</t>
  </si>
  <si>
    <t>Outdated Arasaka Helmet</t>
  </si>
  <si>
    <t>Game.AddToInventory("Items.Helmet_07_old_01", 1)</t>
  </si>
  <si>
    <t>Outdated Technosight</t>
  </si>
  <si>
    <t>Game.AddToInventory("Items.Tech_04_old_02", 1)</t>
  </si>
  <si>
    <t>Padded Balaclava With Microfleece Lining</t>
  </si>
  <si>
    <t>Game.AddToInventory("Items.Balaclava_02_basic_05", 1)</t>
  </si>
  <si>
    <t>Padded Bolero Blazer With Detachable Mesh Lining</t>
  </si>
  <si>
    <t>Game.AddToInventory("Items.Jacket_25_basic_09", 1)</t>
  </si>
  <si>
    <t>Padded Denki Hachi Hybrid-Weave Bra</t>
  </si>
  <si>
    <t>Game.AddToInventory("Items.Undershirt_02_rich_02", 1)</t>
  </si>
  <si>
    <t>Game.AddToInventory("Items.Undershirt_02_rich_02_Crafting", 1)</t>
  </si>
  <si>
    <t>Padded Novawear Pants With Polycarbonate Scales</t>
  </si>
  <si>
    <t>Game.AddToInventory("Items.Pants_17_rich_03", 1)</t>
  </si>
  <si>
    <t>Padded Silkie With Spacer Mesh Lining</t>
  </si>
  <si>
    <t>Game.AddToInventory("Items.Coat_06_basic_04", 1)</t>
  </si>
  <si>
    <t>Padded Strappers With Aluminum Inserts</t>
  </si>
  <si>
    <t>Game.AddToInventory("Items.Boots_08_basic_01", 1)</t>
  </si>
  <si>
    <t>Padded Syn-Fiber Combat Shirt</t>
  </si>
  <si>
    <t>Game.AddToInventory("Items.Shirt_03_basic_03", 1)</t>
  </si>
  <si>
    <t>Padded Tactical Turtleneck</t>
  </si>
  <si>
    <t>Game.AddToInventory("Items.Shirt_02_old_02", 1)</t>
  </si>
  <si>
    <t>Paisley Universe Armor-Coated Button-Up</t>
  </si>
  <si>
    <t>Game.AddToInventory("Items.FormalShirt_02_rich_02", 1)</t>
  </si>
  <si>
    <t>Panoramic Vr Goggles</t>
  </si>
  <si>
    <t>Game.AddToInventory("Items.Tech_03_basic_04", 1)</t>
  </si>
  <si>
    <t>Paris Blue Office Shirt And Vest With Reinforced Seams</t>
  </si>
  <si>
    <t>Game.AddToInventory("Items.FormalShirt_01_rich_06", 1)</t>
  </si>
  <si>
    <t>Game.AddToInventory("Items.FormalShirt_01_rich_06_Crafting", 1)</t>
  </si>
  <si>
    <t>Pastel Power Hybrid-Fabric Armored Athletic Shoes</t>
  </si>
  <si>
    <t>Game.AddToInventory("Items.CasualShoes_05_rich_01", 1)</t>
  </si>
  <si>
    <t>Patched Jeans</t>
  </si>
  <si>
    <t>Game.AddToInventory("Items.Pants_03_old_02", 1)</t>
  </si>
  <si>
    <t>Patented Shock-Absorbent Bolero Blazer</t>
  </si>
  <si>
    <t>Game.AddToInventory("Items.Jacket_25_rich_07", 1)</t>
  </si>
  <si>
    <t>Peach Syn-Thread Crop Sweater</t>
  </si>
  <si>
    <t>Game.AddToInventory("Items.Jacket_15_basic_01", 1)</t>
  </si>
  <si>
    <t>Penguin Dress Shirt And Vest</t>
  </si>
  <si>
    <t>Game.AddToInventory("Items.FormalShirt_01_old_03", 1)</t>
  </si>
  <si>
    <t>Peralez Campaign Shirt</t>
  </si>
  <si>
    <t>Game.AddToInventory("Items.SQ012_Shirt_VoteForPeralez", 1)</t>
  </si>
  <si>
    <t>Perforated Bolero Blazer With Aramid Reinforcements</t>
  </si>
  <si>
    <t>Game.AddToInventory("Items.Jacket_25_rich_04", 1)</t>
  </si>
  <si>
    <t>Performance-Boosted Utility Pants</t>
  </si>
  <si>
    <t>Game.AddToInventory("Items.Pants_09_old_02", 1)</t>
  </si>
  <si>
    <t>Permethrin-Coated Camo Bucket Hat</t>
  </si>
  <si>
    <t>Game.AddToInventory("Items.Hat_05_basic_01", 1)</t>
  </si>
  <si>
    <t>Phantom Tough-Lined Cargo Pants</t>
  </si>
  <si>
    <t>Game.AddToInventory("Items.Pants_11_basic_03", 1)</t>
  </si>
  <si>
    <t>Game.AddToInventory("Items.VHard_50_RefTech_Legs", 1)</t>
  </si>
  <si>
    <t>Phoenix Formal Dress With Microarmor Layer</t>
  </si>
  <si>
    <t>Game.AddToInventory("Items.Dress_02_rich_01", 1)</t>
  </si>
  <si>
    <t>Photovoltaic Technosight</t>
  </si>
  <si>
    <t>Game.AddToInventory("Items.Tech_04_basic_04", 1)</t>
  </si>
  <si>
    <t>Pierce-Resistant Shoes With Titanium Inserts</t>
  </si>
  <si>
    <t>Game.AddToInventory("Items.Boots_12_rich_05", 1)</t>
  </si>
  <si>
    <t>Pink Lagoon Armor-Coated Harem Pants</t>
  </si>
  <si>
    <t>Game.AddToInventory("Items.Pants_15_rich_01", 1)</t>
  </si>
  <si>
    <t>Pink Liqui-Rubber Dress</t>
  </si>
  <si>
    <t>Game.AddToInventory("Items.Dress_04_basic_08", 1)</t>
  </si>
  <si>
    <t>Pink Rage Ultra-Light Rocker Deltajock Jacket</t>
  </si>
  <si>
    <t>Game.AddToInventory("Items.Jacket_20_rich_03", 1)</t>
  </si>
  <si>
    <t>Pinku Inku Snow Boots Thermoactive Insoles</t>
  </si>
  <si>
    <t>Game.AddToInventory("Items.Boots_11_rich_02", 1)</t>
  </si>
  <si>
    <t>Piqué Half-Zip With Cargo Pockets</t>
  </si>
  <si>
    <t>Game.AddToInventory("Items.Coat_05_old_04", 1)</t>
  </si>
  <si>
    <t>Pixel Neige Snow Boots With Canvas Duolayer</t>
  </si>
  <si>
    <t>Game.AddToInventory("Items.Boots_11_rich_01", 1)</t>
  </si>
  <si>
    <t>Game.AddToInventory("Items.Proficiency_Boots_11_rich_01_Crafting", 1)</t>
  </si>
  <si>
    <t>Pixel Rock Aramid Jacket With Buckles</t>
  </si>
  <si>
    <t>Game.AddToInventory("Items.Jacket_19_old_04", 1)</t>
  </si>
  <si>
    <t>Plain Secondhand Flat Cap</t>
  </si>
  <si>
    <t>Game.AddToInventory("Items.Cap_02_old_03", 1)</t>
  </si>
  <si>
    <t>Plant-Based Latex T-Shirt</t>
  </si>
  <si>
    <t>Game.AddToInventory("Items.Tshirt_12_old_05", 1)</t>
  </si>
  <si>
    <t>Plastic Gas Mask With Filter</t>
  </si>
  <si>
    <t>Game.AddToInventory("Items.Mask_02_old_02", 1)</t>
  </si>
  <si>
    <t>Plastic Helmet With Acrylic Visor</t>
  </si>
  <si>
    <t>Game.AddToInventory("Items.Helmet_08_basic_02", 1)</t>
  </si>
  <si>
    <t>Plastic Technosight</t>
  </si>
  <si>
    <t>Game.AddToInventory("Items.Tech_04_old_01", 1)</t>
  </si>
  <si>
    <t>Plastic Vr Goggles</t>
  </si>
  <si>
    <t>Game.AddToInventory("Items.Tech_03_old_01", 1)</t>
  </si>
  <si>
    <t>Plastic Zunari Kabuto With Absorbent Lining</t>
  </si>
  <si>
    <t>Game.AddToInventory("Items.Helmet_04_old_01", 1)</t>
  </si>
  <si>
    <t>Police Ballistic Vest</t>
  </si>
  <si>
    <t>Game.AddToInventory("Items.Vest_04_basic_02", 1)</t>
  </si>
  <si>
    <t>Police Helmet With Anti-Shrapnel Visor</t>
  </si>
  <si>
    <t>Game.AddToInventory("Items.Helmet_02_basic_01", 1)</t>
  </si>
  <si>
    <t>Police Uniform</t>
  </si>
  <si>
    <t>Game.AddToInventory("Items.SQ029_Police_Suit", 1)</t>
  </si>
  <si>
    <t>Polka Dot Trench Coat Puncture-Resistant Lining</t>
  </si>
  <si>
    <t>Game.AddToInventory("Items.Coat_04_basic_02", 1)</t>
  </si>
  <si>
    <t>Polyamide Jumpsuit</t>
  </si>
  <si>
    <t>Game.AddToInventory("Items.Jumpsuit_01_basic_02", 1)</t>
  </si>
  <si>
    <t>Game.AddToInventory("Items.Avg_10_Int_Netrunner_OuterTorso", 1)</t>
  </si>
  <si>
    <t>Polyamide-Blend Jumpsuit With Micromesh</t>
  </si>
  <si>
    <t>Game.AddToInventory("Items.Jumpsuit_01_old_03", 1)</t>
  </si>
  <si>
    <t>Polyamide-Blend Suit Jacket</t>
  </si>
  <si>
    <t>Game.AddToInventory("Items.FormalJacket_01_basic_01", 1)</t>
  </si>
  <si>
    <t>Polyamide-Hooded Duolayer Bomber</t>
  </si>
  <si>
    <t>Game.AddToInventory("Items.Jacket_13_basic_01", 1)</t>
  </si>
  <si>
    <t>Polyamide-Lined Rocker Jumpsuit</t>
  </si>
  <si>
    <t>Game.AddToInventory("Items.Jumpsuit_02_basic_02", 1)</t>
  </si>
  <si>
    <t>Polyamide-Lined Work Boots</t>
  </si>
  <si>
    <t>Game.AddToInventory("Items.Boots_06_old_01", 1)</t>
  </si>
  <si>
    <t>Polyamide-Reinforced Conical Hat</t>
  </si>
  <si>
    <t>Game.AddToInventory("Items.Hat_04_old_01", 1)</t>
  </si>
  <si>
    <t>Polycarbonate Helmet With Tinted Visor</t>
  </si>
  <si>
    <t>Game.AddToInventory("Items.Helmet_08_basic_01", 1)</t>
  </si>
  <si>
    <t>Polycarbonate Nanoweave Techie Harness</t>
  </si>
  <si>
    <t>Game.AddToInventory("Items.Techie_01_Set_Vest", 1)</t>
  </si>
  <si>
    <t>Polycarbonate Nomad Shirt With Reinforced Seams</t>
  </si>
  <si>
    <t>Game.AddToInventory("Items.Nomad_01_Set_TShirt", 1)</t>
  </si>
  <si>
    <t>Polycarbonate Opti-Enhanced Fixer Glasses</t>
  </si>
  <si>
    <t>Game.AddToInventory("Items.Fixer_01_Set_Glasses", 1)</t>
  </si>
  <si>
    <t>Polycarbonate Sport Sunglasses</t>
  </si>
  <si>
    <t>Game.AddToInventory("Items.Glasses_03_basic_05", 1)</t>
  </si>
  <si>
    <t>Game.AddToInventory("Items.Q301_Corpo_MA_Face", 1)</t>
  </si>
  <si>
    <t>Game.AddToInventory("Items.Q301_Corpo_WA_Face", 1)</t>
  </si>
  <si>
    <t>Polycarbonate Western Fringe Vest</t>
  </si>
  <si>
    <t>Game.AddToInventory("Items.Proficiency_Vest_18_basic_01_Crafting", 1)</t>
  </si>
  <si>
    <t>Game.AddToInventory("Items.Vest_18_basic_01", 1)</t>
  </si>
  <si>
    <t>Polyester Camouflage Balaclava</t>
  </si>
  <si>
    <t>Game.AddToInventory("Items.Balaclava_02_old_02", 1)</t>
  </si>
  <si>
    <t>Polyester Crawlers With Nylon Gussets</t>
  </si>
  <si>
    <t>Game.AddToInventory("Items.Pants_19_basic_03", 1)</t>
  </si>
  <si>
    <t>Polyethylene Ballistic Mask With Phonic Membrane</t>
  </si>
  <si>
    <t>Game.AddToInventory("Items.Mask_04_rich_01", 1)</t>
  </si>
  <si>
    <t>Polyethylene Chem-Resistant Unitard</t>
  </si>
  <si>
    <t>Game.AddToInventory("Items.TightJumpsuit_02_basic_05", 1)</t>
  </si>
  <si>
    <t>Powder Pink Light Polyamide Blazer</t>
  </si>
  <si>
    <t>Game.AddToInventory("Items.FormalJacket_02_basic_03", 1)</t>
  </si>
  <si>
    <t>Powder Pink Skirt With Dura-Hybrid Weave</t>
  </si>
  <si>
    <t>Game.AddToInventory("Items.FormalSkirt_01_basic_03", 1)</t>
  </si>
  <si>
    <t>Powder Pink Trivanadium Alloy Ballistic Vest</t>
  </si>
  <si>
    <t>Game.AddToInventory("Items.Vest_03_rich_02", 1)</t>
  </si>
  <si>
    <t>Power Fame Cargo Pants With Reinforced Mesh</t>
  </si>
  <si>
    <t>Game.AddToInventory("Items.Pants_11_rich_03", 1)</t>
  </si>
  <si>
    <t>Practical Aramid-Fiber High-Tops</t>
  </si>
  <si>
    <t>Game.AddToInventory("Items.CasualShoes_01_basic_04", 1)</t>
  </si>
  <si>
    <t>Practical Dress With Tech Membrane</t>
  </si>
  <si>
    <t>Game.AddToInventory("Items.Dress_04_basic_03", 1)</t>
  </si>
  <si>
    <t>Practical Plaid Shirt With Micromesh</t>
  </si>
  <si>
    <t>Game.AddToInventory("Items.LooseShirt_01_old_01", 1)</t>
  </si>
  <si>
    <t>Predator Aramid Armor (From Rogue)</t>
  </si>
  <si>
    <t>Game.AddToInventory("Items.Q115_Custom_Predator_Armor", 1)</t>
  </si>
  <si>
    <t>Rogue</t>
  </si>
  <si>
    <t>Predator Exo Jacks (From Rogue)</t>
  </si>
  <si>
    <t>Game.AddToInventory("Items.Q115_Custom_Predator_Boots", 1)</t>
  </si>
  <si>
    <t>Preem Antistatic Splicers</t>
  </si>
  <si>
    <t>Game.AddToInventory("Items.Pants_18_rich_02", 1)</t>
  </si>
  <si>
    <t>Primeval Flame Rockerjack</t>
  </si>
  <si>
    <t>Game.AddToInventory("Items.Jacket_12_old_02", 1)</t>
  </si>
  <si>
    <t>Professional Tac Vest With Low Infrared Emission</t>
  </si>
  <si>
    <t>Game.AddToInventory("Items.Vest_21_rich_04", 1)</t>
  </si>
  <si>
    <t>Game.AddToInventory("Items.VHard_50_RefBody_OuterTorso", 1)</t>
  </si>
  <si>
    <t>Project Cynosure Hazmat Suit</t>
  </si>
  <si>
    <t>Game.AddToInventory("Items.Q305_hazmat", 1)</t>
  </si>
  <si>
    <t>Protective Bolero Blazer With Polycarbonate Chestpiece</t>
  </si>
  <si>
    <t>Game.AddToInventory("Items.Jacket_25_basic_05", 1)</t>
  </si>
  <si>
    <t>Protective Desert Camo Ballistic Vest</t>
  </si>
  <si>
    <t>Game.AddToInventory("Items.Vest_22_old_04", 1)</t>
  </si>
  <si>
    <t>Protective Gilt-Polymer Biker Goggles</t>
  </si>
  <si>
    <t>Game.AddToInventory("Items.Glasses_05_basic_02", 1)</t>
  </si>
  <si>
    <t>Protective Tac Vest With Ballistic Nylon</t>
  </si>
  <si>
    <t>Game.AddToInventory("Items.Vest_21_old_01", 1)</t>
  </si>
  <si>
    <t>Prototype Fiberglass Netrunner Helmet</t>
  </si>
  <si>
    <t>Game.AddToInventory("Items.Helmet_10_rich_03", 1)</t>
  </si>
  <si>
    <t>Prototype Helmet With Extended Peripheral</t>
  </si>
  <si>
    <t>Game.AddToInventory("Items.Helmet_08_rich_02", 1)</t>
  </si>
  <si>
    <t>Prototype Jacket With Lotus-Fiber Lining</t>
  </si>
  <si>
    <t>Game.AddToInventory("Items.Jacket_24_rich_04", 1)</t>
  </si>
  <si>
    <t>Psycho Flexiweave Long-Sleeve</t>
  </si>
  <si>
    <t>Game.AddToInventory("Items.Shirt_01_basic_02", 1)</t>
  </si>
  <si>
    <t>Game.AddToInventory("Items.Shirt_01_basic_02_Crafting", 1)</t>
  </si>
  <si>
    <t>Psycho Impact-Absorbent Nanoweave T-Shirt</t>
  </si>
  <si>
    <t>Game.AddToInventory("Items.TShirt_02_rich_01", 1)</t>
  </si>
  <si>
    <t>Psycho Racers</t>
  </si>
  <si>
    <t>Game.AddToInventory("Items.Pants_05_old_02", 1)</t>
  </si>
  <si>
    <t>Psycho Tac-Fiber Biker Pants</t>
  </si>
  <si>
    <t>Game.AddToInventory("Items.Pants_03_rich_03", 1)</t>
  </si>
  <si>
    <t>Ptfe Helmet With Anti-Fog Visor</t>
  </si>
  <si>
    <t>Game.AddToInventory("Items.Helmet_08_basic_03", 1)</t>
  </si>
  <si>
    <t>Ptfe-Coated Camo Sweatshirt</t>
  </si>
  <si>
    <t>Game.AddToInventory("Items.Jacket_23_basic_03", 1)</t>
  </si>
  <si>
    <t>Puncture-Resistant Long Coat</t>
  </si>
  <si>
    <t>Game.AddToInventory("Items.Coat_01_old_02", 1)</t>
  </si>
  <si>
    <t>Puncture-Resistant Nusa T-Shirt</t>
  </si>
  <si>
    <t>Game.AddToInventory("Items.TShirt_02_basic_04", 1)</t>
  </si>
  <si>
    <t>Game.AddToInventory("Items.TShirt_02_basic_04_Crafting", 1)</t>
  </si>
  <si>
    <t>Punk Aramid Vest</t>
  </si>
  <si>
    <t>Game.AddToInventory("Items.Vest_02_old_01", 1)</t>
  </si>
  <si>
    <t>Punk Bandana Headband</t>
  </si>
  <si>
    <t>Game.AddToInventory("Items.Scarf_02_old_02", 1)</t>
  </si>
  <si>
    <t>Game.AddToInventory("Items.Hard_20_Intelligence_Head", 1)</t>
  </si>
  <si>
    <t>Game.AddToInventory("Items.Str_30_Cool_Assassin_Head", 1)</t>
  </si>
  <si>
    <t>Punk Boostweave Biker Jacket</t>
  </si>
  <si>
    <t>Game.AddToInventory("Items.Jacket_05_basic_02", 1)</t>
  </si>
  <si>
    <t>Punk Composite-Metal Racers</t>
  </si>
  <si>
    <t>Game.AddToInventory("Items.Pants_05_basic_01", 1)</t>
  </si>
  <si>
    <t>Punk Duolayer Tank Top</t>
  </si>
  <si>
    <t>Game.AddToInventory("Items.TShirt_11_old_01", 1)</t>
  </si>
  <si>
    <t>Game.AddToInventory("Items.Q301_Nomad_MA_InnerTorso", 1)</t>
  </si>
  <si>
    <t>Game.AddToInventory("Items.Q301_Street_MA_InnerTorso", 1)</t>
  </si>
  <si>
    <t>Punk High-Collar Vest</t>
  </si>
  <si>
    <t>Game.AddToInventory("Items.Vest_07_old_01", 1)</t>
  </si>
  <si>
    <t>Punk Short-Sleeve Dual-Membrane Jacket</t>
  </si>
  <si>
    <t>Game.AddToInventory("Items.Jacket_08_basic_02", 1)</t>
  </si>
  <si>
    <t>Punk Short-Sleeve Polycarbonate Spiked Jacket</t>
  </si>
  <si>
    <t>Game.AddToInventory("Items.Jacket_08_basic_01", 1)</t>
  </si>
  <si>
    <t>Punk Tank Top</t>
  </si>
  <si>
    <t>Game.AddToInventory("Items.TShirt_01_old_02", 1)</t>
  </si>
  <si>
    <t>Punk Ultraweave Flight Jacket</t>
  </si>
  <si>
    <t>Game.AddToInventory("Items.Jacket_02_basic_02", 1)</t>
  </si>
  <si>
    <t>Purple Dragon Aramid-Weave Tank Top</t>
  </si>
  <si>
    <t>Game.AddToInventory("Items.TShirt_01_basic_03", 1)</t>
  </si>
  <si>
    <t>Purple Dragon Duolayer Hybrid Loose-Fits</t>
  </si>
  <si>
    <t>Game.AddToInventory("Items.Pants_02_rich_03", 1)</t>
  </si>
  <si>
    <t>Purple Dragon Neokitsch Muscle Tank With Tungsten Sequins</t>
  </si>
  <si>
    <t>Game.AddToInventory("Items.TShirt_06_rich_01", 1)</t>
  </si>
  <si>
    <t>Purple Force Tactical Jumpsuit</t>
  </si>
  <si>
    <t>Game.AddToInventory("Items.Jumpsuit_01_basic_03", 1)</t>
  </si>
  <si>
    <t>Purple Panther Shirt</t>
  </si>
  <si>
    <t>Game.AddToInventory("Items.FormalShirt_02_old_02", 1)</t>
  </si>
  <si>
    <t>Purple Shock Anti-Mech Cargo Pants</t>
  </si>
  <si>
    <t>Game.AddToInventory("Items.Pants_11_rich_02", 1)</t>
  </si>
  <si>
    <t>Purple Symphony Enhanced Polyamide Edgerunner</t>
  </si>
  <si>
    <t>Game.AddToInventory("Items.Jacket_03_rich_01", 1)</t>
  </si>
  <si>
    <t>Quick-Dry 2-Piece With Anti-Piercing Weave</t>
  </si>
  <si>
    <t>Game.AddToInventory("Items.FormalJacket_06_basic_03", 1)</t>
  </si>
  <si>
    <t>Quick-Dry Composite T-Shirt</t>
  </si>
  <si>
    <t>Game.AddToInventory("Items.Tshirt_12_old_04", 1)</t>
  </si>
  <si>
    <t>Rainbow Racer Heat-Resistant Shoes With Breathable Lining</t>
  </si>
  <si>
    <t>Game.AddToInventory("Items.CasualShoes_05_rich_03", 1)</t>
  </si>
  <si>
    <t>Rarog Vest</t>
  </si>
  <si>
    <t>Game.AddToInventory("Items.Red_Play_Vest", 1)</t>
  </si>
  <si>
    <t>Rayon-Composite Novawear Pants</t>
  </si>
  <si>
    <t>Game.AddToInventory("Items.Pants_17_basic_04", 1)</t>
  </si>
  <si>
    <t>Red Alert Anti-Surge Netrunning Suit</t>
  </si>
  <si>
    <t>Game.AddToInventory("Items.Proficiency_TightJumpsuit_01_rich_02_Crafting", 1)</t>
  </si>
  <si>
    <t>Game.AddToInventory("Items.TightJumpsuit_01_rich_02", 1)</t>
  </si>
  <si>
    <t>Game.AddToInventory("Items.TightJumpsuit_01_test_01", 1)</t>
  </si>
  <si>
    <t>Red Dragon Cocktail Jacket With Titanium Microplate Lining</t>
  </si>
  <si>
    <t>Game.AddToInventory("Items.FormalJacket_03_rich_02", 1)</t>
  </si>
  <si>
    <t>Red Electro-Integrated Biker Shades</t>
  </si>
  <si>
    <t>Game.AddToInventory("Items.Glasses_03_basic_04", 1)</t>
  </si>
  <si>
    <t>Red Leopard Button-Up With Composite Insert</t>
  </si>
  <si>
    <t>Game.AddToInventory("Items.FormalShirt_02_basic_03", 1)</t>
  </si>
  <si>
    <t>Game.AddToInventory("Items.FormalShirt_02_basic_03_Crafting", 1)</t>
  </si>
  <si>
    <t>Reflective Metalweave Nylon Vest</t>
  </si>
  <si>
    <t>Game.AddToInventory("Items.Vest_11_basic_01", 1)</t>
  </si>
  <si>
    <t>Reflective Semi-Elastic Splicers</t>
  </si>
  <si>
    <t>Game.AddToInventory("Items.Pants_18_basic_05", 1)</t>
  </si>
  <si>
    <t>Reflective Thermoactive Balaclava</t>
  </si>
  <si>
    <t>Game.AddToInventory("Items.Balaclava_02_basic_06", 1)</t>
  </si>
  <si>
    <t>Reine De Abeilles Bustier With Bulletproof Lining</t>
  </si>
  <si>
    <t>Game.AddToInventory("Items.Undershirt_03_rich_02", 1)</t>
  </si>
  <si>
    <t>Reinforced Anti-Puncture Pleated Pants</t>
  </si>
  <si>
    <t>Game.AddToInventory("Items.FormalPants_01_old_01", 1)</t>
  </si>
  <si>
    <t>Game.AddToInventory("Items.VHard_50_CoolRef_Legs", 1)</t>
  </si>
  <si>
    <t>Reinforced Ballistic Nylon Shoes</t>
  </si>
  <si>
    <t>Game.AddToInventory("Items.Boots_12_old_01", 1)</t>
  </si>
  <si>
    <t>Reinforced Baseball Cap</t>
  </si>
  <si>
    <t>Game.AddToInventory("Items.Cap_01_basic_03", 1)</t>
  </si>
  <si>
    <t>Reinforced Biker Boots</t>
  </si>
  <si>
    <t>Game.AddToInventory("Items.Boots_03_basic_02", 1)</t>
  </si>
  <si>
    <t>Game.AddToInventory("Items.Boots_03_basic_02_Crafting", 1)</t>
  </si>
  <si>
    <t>Reinforced Breathable Dress Shirt</t>
  </si>
  <si>
    <t>Game.AddToInventory("Items.FormalShirt_01_basic_02", 1)</t>
  </si>
  <si>
    <t>Game.AddToInventory("Items.Q301_Corpo_MA_InnerTorso", 1)</t>
  </si>
  <si>
    <t>Game.AddToInventory("Items.Q301_Corpo_WA_InnerTorso", 1)</t>
  </si>
  <si>
    <t>Reinforced Cyan Cowboy Hat</t>
  </si>
  <si>
    <t>Game.AddToInventory("Items.Hat_02_basic_02", 1)</t>
  </si>
  <si>
    <t>Reinforced Duolayer Techie Cargo Pants</t>
  </si>
  <si>
    <t>Game.AddToInventory("Items.Techie_01_Set_Pants", 1)</t>
  </si>
  <si>
    <t>Reinforced Federalist Straightcuts</t>
  </si>
  <si>
    <t>Game.AddToInventory("Items.Pants_06_basic_01", 1)</t>
  </si>
  <si>
    <t>Reinforced Hybridweave Straightcuts</t>
  </si>
  <si>
    <t>Game.AddToInventory("Items.Pants_06_old_03", 1)</t>
  </si>
  <si>
    <t>Reinforced Plastic Fleets</t>
  </si>
  <si>
    <t>Game.AddToInventory("Items.Boots_05_old_03", 1)</t>
  </si>
  <si>
    <t>Reinforced Rouge Absurde Exo-Jacks With Defensive Nanotubing</t>
  </si>
  <si>
    <t>Game.AddToInventory("Items.Boots_09_rich_03", 1)</t>
  </si>
  <si>
    <t>Reinforced Short Puffer</t>
  </si>
  <si>
    <t>Game.AddToInventory("Items.Vest_16_old_02", 1)</t>
  </si>
  <si>
    <t>Reinforced Silkie Of Impregnated Egyptian Cotton</t>
  </si>
  <si>
    <t>Game.AddToInventory("Items.Coat_06_rich_03", 1)</t>
  </si>
  <si>
    <t>Reinforced Snake-Skin Cowboy Boots</t>
  </si>
  <si>
    <t>Game.AddToInventory("Items.Boots_10_old_02", 1)</t>
  </si>
  <si>
    <t>Reinforced Spotted Bra</t>
  </si>
  <si>
    <t>Game.AddToInventory("Items.Undershirt_02_basic_01", 1)</t>
  </si>
  <si>
    <t>Reinforced Sudo Biker Boots</t>
  </si>
  <si>
    <t>Game.AddToInventory("Items.Boots_08_basic_02", 1)</t>
  </si>
  <si>
    <t>Reinforced Syn-Leather Nomad Jacket</t>
  </si>
  <si>
    <t>Game.AddToInventory("Items.Jacket_12_old_01", 1)</t>
  </si>
  <si>
    <t>Reinforced Synfiber Cargo Jeans</t>
  </si>
  <si>
    <t>Game.AddToInventory("Items.Pants_04_old_02", 1)</t>
  </si>
  <si>
    <t>Reinforced Unitard With Tungsten-Sequin Coating</t>
  </si>
  <si>
    <t>Game.AddToInventory("Items.TightJumpsuit_02_rich_03", 1)</t>
  </si>
  <si>
    <t>Reinforced Utility Chest Holster</t>
  </si>
  <si>
    <t>Game.AddToInventory("Items.Vest_24_basic_02", 1)</t>
  </si>
  <si>
    <t>Reinforced-Cotton Headband</t>
  </si>
  <si>
    <t>Game.AddToInventory("Items.Scarf_02_basic_02", 1)</t>
  </si>
  <si>
    <t>Reinforced-Laminate Military Flight Jacket</t>
  </si>
  <si>
    <t>Game.AddToInventory("Items.Jacket_02_basic_01", 1)</t>
  </si>
  <si>
    <t>Reinforced-Nylon Barghest Combat Hoodie</t>
  </si>
  <si>
    <t>Game.AddToInventory("Items.Jacket_22_basic_02", 1)</t>
  </si>
  <si>
    <t>Reinforced-Plastic Biker Techgogs</t>
  </si>
  <si>
    <t>Game.AddToInventory("Items.Visor_02_basic_03", 1)</t>
  </si>
  <si>
    <t>Reinforced-Seam Sporty Tank Top</t>
  </si>
  <si>
    <t>Game.AddToInventory("Items.TShirt_11_basic_01", 1)</t>
  </si>
  <si>
    <t>Repaired Zolotoy Pukh Snow Boots</t>
  </si>
  <si>
    <t>Game.AddToInventory("Items.Boots_11_old_02", 1)</t>
  </si>
  <si>
    <t>Replica Of Johnny's Samurai Jacket</t>
  </si>
  <si>
    <t>Game.AddToInventory("Items.SQ031_Samurai_Jacket", 1)</t>
  </si>
  <si>
    <t>Game.AddToInventory("Items.SQ031_Samurai_Jacket_Epic", 1)</t>
  </si>
  <si>
    <t>Game.AddToInventory("Items.SQ031_Samurai_Jacket_Legendary", 1)</t>
  </si>
  <si>
    <t>Repurposed Military Boots</t>
  </si>
  <si>
    <t>Game.AddToInventory("Items.Boots_08_old_01", 1)</t>
  </si>
  <si>
    <t>Retrothrusters (From Rogue)</t>
  </si>
  <si>
    <t>Game.AddToInventory("Items.VHard_50_RefBody_Feet", 1)</t>
  </si>
  <si>
    <t>Game.AddToInventory("Items.VHard_50_RefTech_Feet", 1)</t>
  </si>
  <si>
    <t>Retrothrusters Jet Boots (From Rogue)</t>
  </si>
  <si>
    <t>Game.AddToInventory("Items.q115_thrusters", 1)</t>
  </si>
  <si>
    <t>Reusable Nonwoven Unitard</t>
  </si>
  <si>
    <t>Game.AddToInventory("Items.TightJumpsuit_02_basic_06", 1)</t>
  </si>
  <si>
    <t>Rigid Tigre Urbain Street Shoes</t>
  </si>
  <si>
    <t>Game.AddToInventory("Items.CasualShoes_06_basic_02", 1)</t>
  </si>
  <si>
    <t>River's Tank Top</t>
  </si>
  <si>
    <t>Game.AddToInventory("Items.SQ029_River_Romance_Shirt", 1)</t>
  </si>
  <si>
    <t>Roach Whisperer [1.6 Patch]</t>
  </si>
  <si>
    <t>Game.AddToInventory("Items.Roach_Race_Outfit", 1)</t>
  </si>
  <si>
    <t>Roboskin 2.0 Anti-Shrapnel Deltajock Jacket</t>
  </si>
  <si>
    <t>Game.AddToInventory("Items.Jacket_20_rich_02", 1)</t>
  </si>
  <si>
    <t>Roboskin Stained Rocker Deltajock Jacket</t>
  </si>
  <si>
    <t>Game.AddToInventory("Items.Jacket_20_old_01", 1)</t>
  </si>
  <si>
    <t>Robust Spunky Monkey Kicks</t>
  </si>
  <si>
    <t>Game.AddToInventory("Items.CasualShoes_07_basic_01", 1)</t>
  </si>
  <si>
    <t>Game.AddToInventory("Items.Proficiency_CasualShoes_07_basic_01_Crafting", 1)</t>
  </si>
  <si>
    <t>Rocker Dress With Reinforced Bodice</t>
  </si>
  <si>
    <t>Game.AddToInventory("Items.Dress_04_old_01", 1)</t>
  </si>
  <si>
    <t>Rocker's Heart Crystaljock Bomber</t>
  </si>
  <si>
    <t>Game.AddToInventory("Items.Jacket_01_old_01", 1)</t>
  </si>
  <si>
    <t>Game.AddToInventory("Items.Q301_Street_MA_OuterTorso", 1)</t>
  </si>
  <si>
    <t>Game.AddToInventory("Items.Q301_Street_WA_OuterTorso", 1)</t>
  </si>
  <si>
    <t>Rockerjack With Anti-Puncture Mesh</t>
  </si>
  <si>
    <t>Game.AddToInventory("Items.Jacket_06_old_02", 1)</t>
  </si>
  <si>
    <t>Rosa Escarlata Embossed Armoleather Biker Vest</t>
  </si>
  <si>
    <t>Game.AddToInventory("Items.Vest_20_rich_02", 1)</t>
  </si>
  <si>
    <t>Rosa Escarlata Polyamide-Weave Slim-Fits</t>
  </si>
  <si>
    <t>Game.AddToInventory("Items.Pants_01_rich_01", 1)</t>
  </si>
  <si>
    <t>Rosa Marmor Breathable Polycarbonate Jacket With Buckles</t>
  </si>
  <si>
    <t>Game.AddToInventory("Items.Jacket_19_rich_05", 1)</t>
  </si>
  <si>
    <t>Rosa Platino Reinforced Rockerjack</t>
  </si>
  <si>
    <t>Game.AddToInventory("Items.Jacket_06_rich_01", 1)</t>
  </si>
  <si>
    <t>Rostiger Teich Thermoactive Puffed Work Boots</t>
  </si>
  <si>
    <t>Game.AddToInventory("Items.Boots_06_rich_01", 1)</t>
  </si>
  <si>
    <t>Rotten Jungle Riding Pants</t>
  </si>
  <si>
    <t>Game.AddToInventory("Items.Pants_13_old_02", 1)</t>
  </si>
  <si>
    <t>Royal Gray Aramid-Weave Dress Pants</t>
  </si>
  <si>
    <t>Game.AddToInventory("Items.FormalPants_02_rich_02", 1)</t>
  </si>
  <si>
    <t>Rozovaya Reka Pencil Dress With Protective Membrane</t>
  </si>
  <si>
    <t>Game.AddToInventory("Items.Dress_01_basic_02", 1)</t>
  </si>
  <si>
    <t>Rubber-Lined Cargo Pants</t>
  </si>
  <si>
    <t>Game.AddToInventory("Items.Pants_04_old_03", 1)</t>
  </si>
  <si>
    <t>Rubber-Reinforced Athletic Shoes</t>
  </si>
  <si>
    <t>Game.AddToInventory("Items.CasualShoes_05_old_02", 1)</t>
  </si>
  <si>
    <t>Rubber-Reinforced Cowboy Boots</t>
  </si>
  <si>
    <t>Game.AddToInventory("Items.Boots_10_old_01", 1)</t>
  </si>
  <si>
    <t>Game.AddToInventory("Items.Q301_Nomad_MA_Boots", 1)</t>
  </si>
  <si>
    <t>Game.AddToInventory("Items.Q301_Nomad_WA_Boots", 1)</t>
  </si>
  <si>
    <t>Rubber-Reinforced Tactical Boots</t>
  </si>
  <si>
    <t>Game.AddToInventory("Items.Boots_03_old_02", 1)</t>
  </si>
  <si>
    <t>Rubber-Reinforced Work High-Tops</t>
  </si>
  <si>
    <t>Game.AddToInventory("Items.CasualShoes_01_old_02", 1)</t>
  </si>
  <si>
    <t>Rugged Denim Crawlers With Eco-Leather Pads</t>
  </si>
  <si>
    <t>Game.AddToInventory("Items.Pants_19_basic_01", 1)</t>
  </si>
  <si>
    <t>Ruined Life Sturdimesh T-Shirt</t>
  </si>
  <si>
    <t>Game.AddToInventory("Items.TShirt_02_old_01", 1)</t>
  </si>
  <si>
    <t>Ruined Militech Suit</t>
  </si>
  <si>
    <t>Game.AddToInventory("Items.Q005_Militech_Suit_Filthy", 1)</t>
  </si>
  <si>
    <t>Rusty Assault Helmet</t>
  </si>
  <si>
    <t>Game.AddToInventory("Items.Helmet_02_old_03", 1)</t>
  </si>
  <si>
    <t>Rusty Netrunner Helmet</t>
  </si>
  <si>
    <t>Game.AddToInventory("Items.Helmet_10_old_03", 1)</t>
  </si>
  <si>
    <t>Rusty Security Hardhat</t>
  </si>
  <si>
    <t>Game.AddToInventory("Items.Helmet_03_old_02", 1)</t>
  </si>
  <si>
    <t>Game.AddToInventory("Items.Hard_20_Body_Head", 1)</t>
  </si>
  <si>
    <t>Game.AddToInventory("Items.Hard_30_BodyTech_Head", 1)</t>
  </si>
  <si>
    <t>Game.AddToInventory("Items.Str_10_Tank_Head", 1)</t>
  </si>
  <si>
    <t>Game.AddToInventory("Items.Str_5_Tank_Head", 1)</t>
  </si>
  <si>
    <t>Ryu Anti-Tear Trilayer Yoros</t>
  </si>
  <si>
    <t>Game.AddToInventory("Items.Pants_14_rich_02", 1)</t>
  </si>
  <si>
    <t>Saeko's Darkernet Tactical Balaclava With Nanotubing</t>
  </si>
  <si>
    <t>Game.AddToInventory("Items.Balaclava_01_rich_02", 1)</t>
  </si>
  <si>
    <t>Saeko's Limited Elegant Duoweave Skirt</t>
  </si>
  <si>
    <t>Game.AddToInventory("Items.FormalSkirt_02_basic_03", 1)</t>
  </si>
  <si>
    <t>Saeko's Protective Layer Tight Tank</t>
  </si>
  <si>
    <t>Game.AddToInventory("Items.TShirt_10_rich_01", 1)</t>
  </si>
  <si>
    <t>Saeko's Prototype Tactical Aramid Breastplate</t>
  </si>
  <si>
    <t>Game.AddToInventory("Items.Vest_13_rich_01", 1)</t>
  </si>
  <si>
    <t>Salamander Eazy-Breathe Tarp-Weave Jacket</t>
  </si>
  <si>
    <t>Game.AddToInventory("Items.Jacket_12_rich_01", 1)</t>
  </si>
  <si>
    <t>Game.AddToInventory("Items.Q301_Nomad_WA_OuterTorso", 1)</t>
  </si>
  <si>
    <t>Saloon Style Ultra-Durable Dress Shirt</t>
  </si>
  <si>
    <t>Game.AddToInventory("Items.LooseShirt_02_rich_02", 1)</t>
  </si>
  <si>
    <t>Samurai 2020 Tour T-Shirt</t>
  </si>
  <si>
    <t>Game.AddToInventory("Items.SamuraiWorldTour_TShirt", 1)</t>
  </si>
  <si>
    <t>Samurai Combat Turtleneck</t>
  </si>
  <si>
    <t>Game.AddToInventory("Items.Shirt_02_basic_04", 1)</t>
  </si>
  <si>
    <t>Samurai Sturdy-Stitched Cargo Pants</t>
  </si>
  <si>
    <t>Game.AddToInventory("Items.Pants_04_basic_04", 1)</t>
  </si>
  <si>
    <t>Sandy Boa Shock-Absorbent Headband</t>
  </si>
  <si>
    <t>Game.AddToInventory("Items.Proficiency_Scarf_02_rich_01_Crafting", 1)</t>
  </si>
  <si>
    <t>Game.AddToInventory("Items.Scarf_02_rich_01", 1)</t>
  </si>
  <si>
    <t>Sankaku Nichibotsu Tarp-Weave Tank Top</t>
  </si>
  <si>
    <t>Game.AddToInventory("Items.TShirt_01_rich_03", 1)</t>
  </si>
  <si>
    <t>Santa Muerte Heat-Resitant Tank Top</t>
  </si>
  <si>
    <t>Game.AddToInventory("Items.TShirt_03_rich_02", 1)</t>
  </si>
  <si>
    <t>Sapfir 3d Heavy Triple-Weave Nanocarbon Pozer-Jacket</t>
  </si>
  <si>
    <t>Game.AddToInventory("Items.Jacket_17_rich_01", 1)</t>
  </si>
  <si>
    <t>Scaled Kinryu Blazer With Carbon-Composite Insets</t>
  </si>
  <si>
    <t>Game.AddToInventory("Items.FormalJacket_04_rich_02", 1)</t>
  </si>
  <si>
    <t>Scav Ballistic Vest</t>
  </si>
  <si>
    <t>Game.AddToInventory("Items.Vest_03_old_01", 1)</t>
  </si>
  <si>
    <t>Scav Plastic Windbreaker</t>
  </si>
  <si>
    <t>Game.AddToInventory("Items.Jacket_07_basic_01", 1)</t>
  </si>
  <si>
    <t>Schwarze Limette Aramid-Fabric Dress</t>
  </si>
  <si>
    <t>Game.AddToInventory("Items.Dress_02_rich_03", 1)</t>
  </si>
  <si>
    <t>Scratch-Resistant Polarized Rocker Aviators</t>
  </si>
  <si>
    <t>Game.AddToInventory("Items.Rockerboy_01_Set_Glasses", 1)</t>
  </si>
  <si>
    <t>Scratched Camo Mask</t>
  </si>
  <si>
    <t>Game.AddToInventory("Items.Mask_04_old_01", 1)</t>
  </si>
  <si>
    <t>Scratched Heavy Netrunner Helmet</t>
  </si>
  <si>
    <t>Game.AddToInventory("Items.Helmet_10_old_02", 1)</t>
  </si>
  <si>
    <t>Scratched Helmet With Double Visor</t>
  </si>
  <si>
    <t>Game.AddToInventory("Items.Helmet_08_old_01", 1)</t>
  </si>
  <si>
    <t>Scratched Visored Helmet</t>
  </si>
  <si>
    <t>Game.AddToInventory("Items.Helmet_01_old_01", 1)</t>
  </si>
  <si>
    <t>Scratchy Jacket</t>
  </si>
  <si>
    <t>Game.AddToInventory("Items.Jacket_24_old_05", 1)</t>
  </si>
  <si>
    <t>Sea Silk Appliqué Dress</t>
  </si>
  <si>
    <t>Game.AddToInventory("Items.Dress_03_rich_07", 1)</t>
  </si>
  <si>
    <t>Second Conflict Biker Jacket</t>
  </si>
  <si>
    <t>Game.AddToInventory("Items.Jacket_05_old_01", 1)</t>
  </si>
  <si>
    <t>Second Conflict Cutout Bodysuit</t>
  </si>
  <si>
    <t>Game.AddToInventory("Items.Jacket_16_basic_02", 1)</t>
  </si>
  <si>
    <t>Second Conflict Flight Jacket</t>
  </si>
  <si>
    <t>Game.AddToInventory("Items.Jacket_02_old_03", 1)</t>
  </si>
  <si>
    <t>Secondhand Knotted Tank</t>
  </si>
  <si>
    <t>Game.AddToInventory("Items.TShirt_08_old_02", 1)</t>
  </si>
  <si>
    <t>Secondhand Maelstrom Neotac Pants</t>
  </si>
  <si>
    <t>Game.AddToInventory("Items.Pants_08_old_02", 1)</t>
  </si>
  <si>
    <t>Secondhand Personalized Strapped Cargos</t>
  </si>
  <si>
    <t>Game.AddToInventory("Items.Pants_20_old_03", 1)</t>
  </si>
  <si>
    <t>Secondhand Red Death Windbreaker Pants</t>
  </si>
  <si>
    <t>Game.AddToInventory("Items.Pants_12_old_03", 1)</t>
  </si>
  <si>
    <t>Game.AddToInventory("Items.Hard_20_Intelligence_Legs", 1)</t>
  </si>
  <si>
    <t>Game.AddToInventory("Items.Str_30_Cool_Assassin_Legs", 1)</t>
  </si>
  <si>
    <t>Secondhand Speed Addict Duolayer Cutout Tank</t>
  </si>
  <si>
    <t>Game.AddToInventory("Items.TShirt_04_old_05", 1)</t>
  </si>
  <si>
    <t>Secondhand Synthleather Vest</t>
  </si>
  <si>
    <t>Game.AddToInventory("Items.Vest_14_old_02", 1)</t>
  </si>
  <si>
    <t>Semi-Formal Synfiber Button-Up</t>
  </si>
  <si>
    <t>Game.AddToInventory("Items.FormalShirt_02_basic_01", 1)</t>
  </si>
  <si>
    <t>Game.AddToInventory("Items.VHard_50_CoolRef_InnerToso", 1)</t>
  </si>
  <si>
    <t>Semurai Crystaljock Bomber</t>
  </si>
  <si>
    <t>Game.AddToInventory("Items.MQ017_Samerai_Jacket", 1)</t>
  </si>
  <si>
    <t>Shabby 6th Street Aramid Vest</t>
  </si>
  <si>
    <t>Game.AddToInventory("Items.Vest_01_old_01", 1)</t>
  </si>
  <si>
    <t>Shabby Ballistic Mask</t>
  </si>
  <si>
    <t>Game.AddToInventory("Items.Helmet_12_old_03", 1)</t>
  </si>
  <si>
    <t>Shabby Hooded Cut-Off</t>
  </si>
  <si>
    <t>Game.AddToInventory("Items.Vest_15_old_02", 1)</t>
  </si>
  <si>
    <t>Shabby Syncotton T-Shirt</t>
  </si>
  <si>
    <t>Game.AddToInventory("Items.Tshirt_12_old_03", 1)</t>
  </si>
  <si>
    <t>Sheath Dress With Ultrasonic Quilting</t>
  </si>
  <si>
    <t>Game.AddToInventory("Items.Dress_03_basic_05", 1)</t>
  </si>
  <si>
    <t>Shiroi Tora Photoelectric Sport Glasses</t>
  </si>
  <si>
    <t>Game.AddToInventory("Items.Glasses_03_basic_07", 1)</t>
  </si>
  <si>
    <t>Shirokuro High-Collar Composite-Lined Vest</t>
  </si>
  <si>
    <t>Game.AddToInventory("Items.Vest_07_rich_01", 1)</t>
  </si>
  <si>
    <t>Shock-Absorbent Street Shoes</t>
  </si>
  <si>
    <t>Game.AddToInventory("Items.CasualShoes_06_old_02", 1)</t>
  </si>
  <si>
    <t>Game.AddToInventory("Items.Hard_20_Reflex_Feet", 1)</t>
  </si>
  <si>
    <t>Game.AddToInventory("Items.Normal_20_Netrunner_Feet", 1)</t>
  </si>
  <si>
    <t>Game.AddToInventory("Items.Q301_Street_WA_Boots", 1)</t>
  </si>
  <si>
    <t>Game.AddToInventory("Items.Story_5_Feet", 1)</t>
  </si>
  <si>
    <t>Game.AddToInventory("Items.Weak_10_Feet", 1)</t>
  </si>
  <si>
    <t>Game.AddToInventory("Items.Weak_30_Feet", 1)</t>
  </si>
  <si>
    <t>Short Puffer With Microplate Underlayer</t>
  </si>
  <si>
    <t>Game.AddToInventory("Items.Vest_16_old_01", 1)</t>
  </si>
  <si>
    <t>Short Vest With Anti-Panic Zipper</t>
  </si>
  <si>
    <t>Game.AddToInventory("Items.Vest_23_basic_03", 1)</t>
  </si>
  <si>
    <t>Silber Irbis Bolero Gmo-Weave Bomber</t>
  </si>
  <si>
    <t>Game.AddToInventory("Items.Jacket_14_basic_02", 1)</t>
  </si>
  <si>
    <t>Silkie With Modacrylic Fur Trim</t>
  </si>
  <si>
    <t>Game.AddToInventory("Items.Coat_06_old_01", 1)</t>
  </si>
  <si>
    <t>Silver Polymer-Hybrid Military Aviators</t>
  </si>
  <si>
    <t>Game.AddToInventory("Items.Glasses_01_basic_04", 1)</t>
  </si>
  <si>
    <t>Game.AddToInventory("Items.VHard_50_BodyCool_Face", 1)</t>
  </si>
  <si>
    <t>Silver Star Duolayer Aramid-Weave Cargo Pants</t>
  </si>
  <si>
    <t>Game.AddToInventory("Items.Pants_04_rich_02", 1)</t>
  </si>
  <si>
    <t>Silverock Bulletproof-Laminate Biker Vest</t>
  </si>
  <si>
    <t>Game.AddToInventory("Items.Vest_20_rich_01", 1)</t>
  </si>
  <si>
    <t>Game.AddToInventory("Items.Vest_20_rich_01_Crafting", 1)</t>
  </si>
  <si>
    <t>Silvery Nickel-Plated Splicers</t>
  </si>
  <si>
    <t>Game.AddToInventory("Items.Pants_18_basic_01", 1)</t>
  </si>
  <si>
    <t>Simple Bandana Headband With Enhanced Durability</t>
  </si>
  <si>
    <t>Game.AddToInventory("Items.Scarf_02_basic_01", 1)</t>
  </si>
  <si>
    <t>Simple Biker Aramid-Weave Turtleneck</t>
  </si>
  <si>
    <t>Game.AddToInventory("Items.Proficiency_Shirt_02_basic_02_Crafting", 1)</t>
  </si>
  <si>
    <t>Game.AddToInventory("Items.Shirt_02_basic_02", 1)</t>
  </si>
  <si>
    <t>Simple Bolero Rubber-Coated Bomber</t>
  </si>
  <si>
    <t>Game.AddToInventory("Items.Jacket_14_basic_01", 1)</t>
  </si>
  <si>
    <t>Simple Duolayer Bustier</t>
  </si>
  <si>
    <t>Game.AddToInventory("Items.Undershirt_03_basic_01", 1)</t>
  </si>
  <si>
    <t>Simple Fia-Issued Garments</t>
  </si>
  <si>
    <t>Game.AddToInventory("Items.Q307_ending_outfit", 1)</t>
  </si>
  <si>
    <t>Simple Office Pants</t>
  </si>
  <si>
    <t>Game.AddToInventory("Items.FormalPants_03_basic_01", 1)</t>
  </si>
  <si>
    <t>Simple Yoros</t>
  </si>
  <si>
    <t>Game.AddToInventory("Items.Pants_14_old_01", 1)</t>
  </si>
  <si>
    <t>Singed Balaclava</t>
  </si>
  <si>
    <t>Game.AddToInventory("Items.Balaclava_02_old_01", 1)</t>
  </si>
  <si>
    <t>Slant Lightning Hybrid-Weave Cargo Pants</t>
  </si>
  <si>
    <t>Game.AddToInventory("Items.Pants_11_rich_01", 1)</t>
  </si>
  <si>
    <t>Sleeveless Armor-Plated Field Jacket</t>
  </si>
  <si>
    <t>Game.AddToInventory("Items.Jacket_04_basic_03", 1)</t>
  </si>
  <si>
    <t>Slim-Fit Dress With Thermoactive Membrane</t>
  </si>
  <si>
    <t>Game.AddToInventory("Items.Dress_03_basic_06", 1)</t>
  </si>
  <si>
    <t>Smiley Hard Pilot Cap</t>
  </si>
  <si>
    <t>Game.AddToInventory("Items.Cap_06_old_01", 1)</t>
  </si>
  <si>
    <t>Smiley Hard Protection-Layered Bomber</t>
  </si>
  <si>
    <t>Game.AddToInventory("Items.Jacket_13_basic_02", 1)</t>
  </si>
  <si>
    <t>Smudge-Resistant Slim-Fit Splicers</t>
  </si>
  <si>
    <t>Game.AddToInventory("Items.Pants_18_basic_04", 1)</t>
  </si>
  <si>
    <t>Snazzy Jacket With Padded Shoulder</t>
  </si>
  <si>
    <t>Game.AddToInventory("Items.Jacket_24_rich_01", 1)</t>
  </si>
  <si>
    <t>Snazzy Water-Repellent Sweatshirt</t>
  </si>
  <si>
    <t>Game.AddToInventory("Items.Jacket_23_rich_01", 1)</t>
  </si>
  <si>
    <t>Sneakers With Protective Inserts</t>
  </si>
  <si>
    <t>Game.AddToInventory("Items.CasualShoes_04_old_01", 1)</t>
  </si>
  <si>
    <t>Snug Plastic Mask</t>
  </si>
  <si>
    <t>Game.AddToInventory("Items.Mask_04_old_08", 1)</t>
  </si>
  <si>
    <t>Soft Polycotton Bucket Hat</t>
  </si>
  <si>
    <t>Game.AddToInventory("Items.Hat_05_basic_04", 1)</t>
  </si>
  <si>
    <t>Solid Polycarbonate Ballistic Mask</t>
  </si>
  <si>
    <t>Game.AddToInventory("Items.Mask_04_basic_01", 1)</t>
  </si>
  <si>
    <t>Solid Straw-Woven Trilby</t>
  </si>
  <si>
    <t>Game.AddToInventory("Items.Hat_01_basic_02", 1)</t>
  </si>
  <si>
    <t>Game.AddToInventory("Items.Weak_20_Cool_Head", 1)</t>
  </si>
  <si>
    <t>Sombra Rosa Foam-Padded Straightcuts</t>
  </si>
  <si>
    <t>Game.AddToInventory("Items.Pants_06_basic_02", 1)</t>
  </si>
  <si>
    <t>Sophisticated 2-Piece With Custom Trim</t>
  </si>
  <si>
    <t>Game.AddToInventory("Items.FormalJacket_06_rich_09", 1)</t>
  </si>
  <si>
    <t>Soviet Moscow Dream Anti-Shrapnel Bomber</t>
  </si>
  <si>
    <t>Game.AddToInventory("Items.Jacket_13_rich_01", 1)</t>
  </si>
  <si>
    <t>Spacesuit Helmet</t>
  </si>
  <si>
    <t>Game.AddToInventory("Items.Q203_Spacesuit_Helmet", 1)</t>
  </si>
  <si>
    <t>Spacesuit</t>
  </si>
  <si>
    <t>Spacesuit No Helmet</t>
  </si>
  <si>
    <t>Game.AddToInventory("Items.Q203_Spacesuit_Outfit_NoHelmet", 1)</t>
  </si>
  <si>
    <t>Spacesuit With Helmet</t>
  </si>
  <si>
    <t>Game.AddToInventory("Items.Q203_Spacesuit_Outfit_WithHelmet", 1)</t>
  </si>
  <si>
    <t>Speed Addict Helmet With Anti-Impact Tech</t>
  </si>
  <si>
    <t>Game.AddToInventory("Items.Helmet_02_basic_02", 1)</t>
  </si>
  <si>
    <t>Speed Addict Polyamide Pants</t>
  </si>
  <si>
    <t>Game.AddToInventory("Items.FormalPants_03_old_02", 1)</t>
  </si>
  <si>
    <t>Spiked Maelstrom Short-Sleeve Jacket</t>
  </si>
  <si>
    <t>Game.AddToInventory("Items.Jacket_08_old_01", 1)</t>
  </si>
  <si>
    <t>Sport-Flex At-Ak Thermoactive Turtleneck</t>
  </si>
  <si>
    <t>Game.AddToInventory("Items.Shirt_02_rich_02", 1)</t>
  </si>
  <si>
    <t>Sporty Darra-Polytechnic Flexi-Weave Turtleneck</t>
  </si>
  <si>
    <t>Game.AddToInventory("Items.Shirt_02_basic_01", 1)</t>
  </si>
  <si>
    <t>Game.AddToInventory("Items.Hard_30_IntBody_InnerToso", 1)</t>
  </si>
  <si>
    <t>Sporty Flexiweave Work Boots</t>
  </si>
  <si>
    <t>Game.AddToInventory("Items.Boots_06_basic_02", 1)</t>
  </si>
  <si>
    <t>Sporty Harem Pants With Cotton Armor-Weave</t>
  </si>
  <si>
    <t>Game.AddToInventory("Items.Pants_15_basic_02", 1)</t>
  </si>
  <si>
    <t>Spotted Armor-Coated Corporate Dress</t>
  </si>
  <si>
    <t>Game.AddToInventory("Items.Dress_02_basic_03", 1)</t>
  </si>
  <si>
    <t>Spotted Flexi-Membrane Bustier</t>
  </si>
  <si>
    <t>Game.AddToInventory("Items.Undershirt_03_basic_04", 1)</t>
  </si>
  <si>
    <t>Game.AddToInventory("Items.Undershirt_03_basic_04_Crafting", 1)</t>
  </si>
  <si>
    <t>Spotted Polyamide Slim-Fits</t>
  </si>
  <si>
    <t>Game.AddToInventory("Items.Pants_01_old_01", 1)</t>
  </si>
  <si>
    <t>Spray-Painted Secondhand Splicers</t>
  </si>
  <si>
    <t>Game.AddToInventory("Items.Pants_18_old_01", 1)</t>
  </si>
  <si>
    <t>Spunky Monkey Aramid Coat</t>
  </si>
  <si>
    <t>Game.AddToInventory("Items.Coat_01_basic_01", 1)</t>
  </si>
  <si>
    <t>Stain-Resistant Dress With Taped Seams</t>
  </si>
  <si>
    <t>Game.AddToInventory("Items.Dress_04_basic_07", 1)</t>
  </si>
  <si>
    <t>Stained Puncture-Resistant Coat</t>
  </si>
  <si>
    <t>Game.AddToInventory("Items.Coat_03_old_01", 1)</t>
  </si>
  <si>
    <t>Steel Microplated Kabuto</t>
  </si>
  <si>
    <t>Game.AddToInventory("Items.Helmet_04_basic_02", 1)</t>
  </si>
  <si>
    <t>Game.AddToInventory("Items.Proficiency_Helmet_04_basic_02_Crafting", 1)</t>
  </si>
  <si>
    <t>Steel-Toe Rocker Boots</t>
  </si>
  <si>
    <t>Game.AddToInventory("Items.Boots_04_basic_01", 1)</t>
  </si>
  <si>
    <t>Game.AddToInventory("Items.Hard_20_Body_Feet", 1)</t>
  </si>
  <si>
    <t>Game.AddToInventory("Items.Hard_30_BodyTech_Feet", 1)</t>
  </si>
  <si>
    <t>Game.AddToInventory("Items.Str_10_Tank_Feet", 1)</t>
  </si>
  <si>
    <t>Game.AddToInventory("Items.Str_5_Tank_Feet", 1)</t>
  </si>
  <si>
    <t>Stiffened 500d Polyamide Bolero Blazer</t>
  </si>
  <si>
    <t>Game.AddToInventory("Items.Jacket_25_basic_07", 1)</t>
  </si>
  <si>
    <t>Str33t Dandy Composite-Coated Cap</t>
  </si>
  <si>
    <t>Game.AddToInventory("Items.Cap_01_rich_01", 1)</t>
  </si>
  <si>
    <t>Stream Extreme High-Performance Jumpsuit</t>
  </si>
  <si>
    <t>Game.AddToInventory("Items.Jumpsuit_01_rich_01", 1)</t>
  </si>
  <si>
    <t>Street Glow Thermoset-Leather Loose-Fits</t>
  </si>
  <si>
    <t>Game.AddToInventory("Items.Pants_02_basic_03", 1)</t>
  </si>
  <si>
    <t>Street Shoes With Multilayered Protection</t>
  </si>
  <si>
    <t>Game.AddToInventory("Items.CasualShoes_06_basic_01", 1)</t>
  </si>
  <si>
    <t>Street Tactical-Fiber High-Tops</t>
  </si>
  <si>
    <t>Game.AddToInventory("Items.CasualShoes_01_basic_05", 1)</t>
  </si>
  <si>
    <t>Game.AddToInventory("Items.Hard_20_Intelligence_Feet", 1)</t>
  </si>
  <si>
    <t>Game.AddToInventory("Items.Str_30_Cool_Assassin_Feet", 1)</t>
  </si>
  <si>
    <t>Streetart Hooded Bomber</t>
  </si>
  <si>
    <t>Game.AddToInventory("Items.Jacket_13_old_03", 1)</t>
  </si>
  <si>
    <t>Streetwear Dress With Welded Hems</t>
  </si>
  <si>
    <t>Game.AddToInventory("Items.Dress_03_basic_07", 1)</t>
  </si>
  <si>
    <t>Stripe'n'black Reinforced Nanoweave Shinos</t>
  </si>
  <si>
    <t>Game.AddToInventory("Items.Pants_10_rich_02", 1)</t>
  </si>
  <si>
    <t>Strong Canine Power Synthetic Bandana</t>
  </si>
  <si>
    <t>Game.AddToInventory("Items.Scarf_01_basic_03", 1)</t>
  </si>
  <si>
    <t>Studded Bamboo-Fiber Jacket</t>
  </si>
  <si>
    <t>Game.AddToInventory("Items.Jacket_24_basic_02", 1)</t>
  </si>
  <si>
    <t>Studded Biker Vest</t>
  </si>
  <si>
    <t>Game.AddToInventory("Items.Vest_20_old_01", 1)</t>
  </si>
  <si>
    <t>Sturdi-Boost Cowboy Hat</t>
  </si>
  <si>
    <t>Game.AddToInventory("Items.Hat_02_old_01", 1)</t>
  </si>
  <si>
    <t>Sturdi-Weave Bitch V.13 T-Shirt</t>
  </si>
  <si>
    <t>Game.AddToInventory("Items.TShirt_05_old_06", 1)</t>
  </si>
  <si>
    <t>Sturdi-Weave Cutout Tank</t>
  </si>
  <si>
    <t>Game.AddToInventory("Items.TShirt_04_old_06", 1)</t>
  </si>
  <si>
    <t>Sturdy Ballistic Vest With Ceramic Plating</t>
  </si>
  <si>
    <t>Game.AddToInventory("Items.Vest_22_basic_03", 1)</t>
  </si>
  <si>
    <t>Sturdy Bolero Blazer With Multilayered Protective Laminate</t>
  </si>
  <si>
    <t>Game.AddToInventory("Items.Jacket_25_rich_02", 1)</t>
  </si>
  <si>
    <t>Sturdy Conical Hat</t>
  </si>
  <si>
    <t>Game.AddToInventory("Items.Hat_04_basic_01", 1)</t>
  </si>
  <si>
    <t>Sturdy Double-Embroidered Bolero Blazer</t>
  </si>
  <si>
    <t>Game.AddToInventory("Items.Jacket_25_basic_06", 1)</t>
  </si>
  <si>
    <t>Sturdy Manganese Steel-Toes</t>
  </si>
  <si>
    <t>Game.AddToInventory("Items.Boots_07_old_01", 1)</t>
  </si>
  <si>
    <t>Sturdy Orchid Dawn Syn-Leather Biker Boots</t>
  </si>
  <si>
    <t>Game.AddToInventory("Items.Boots_03_rich_02", 1)</t>
  </si>
  <si>
    <t>Sturdy Plaid Flat Cap</t>
  </si>
  <si>
    <t>Game.AddToInventory("Items.Cap_02_old_01", 1)</t>
  </si>
  <si>
    <t>Sturdy Shoulder Straps</t>
  </si>
  <si>
    <t>Game.AddToInventory("Items.Vest_10_basic_01", 1)</t>
  </si>
  <si>
    <t>Sturdy Syn-Leather Bolero Bomber</t>
  </si>
  <si>
    <t>Game.AddToInventory("Items.Jacket_14_old_01", 1)</t>
  </si>
  <si>
    <t>Sturdy Synfiber Pleated Pants</t>
  </si>
  <si>
    <t>Game.AddToInventory("Items.FormalPants_01_basic_01", 1)</t>
  </si>
  <si>
    <t>Game.AddToInventory("Items.Proficiency_FormalPants_01_basic_01_Crafting", 1)</t>
  </si>
  <si>
    <t>Sturdy-Stitched Punk Jeans</t>
  </si>
  <si>
    <t>Game.AddToInventory("Items.Pants_03_basic_01", 1)</t>
  </si>
  <si>
    <t>Game.AddToInventory("Items.VHard_50_IntRef_Legs", 1)</t>
  </si>
  <si>
    <t>Sturdy-Stitched Slim-Fits</t>
  </si>
  <si>
    <t>Game.AddToInventory("Items.Pants_01_basic_03", 1)</t>
  </si>
  <si>
    <t>Stylish Atomic Blast Composite Bustier</t>
  </si>
  <si>
    <t>Game.AddToInventory("Items.Proficiency_Undershirt_03_basic_03_Crafting", 1)</t>
  </si>
  <si>
    <t>Game.AddToInventory("Items.Undershirt_03_basic_03", 1)</t>
  </si>
  <si>
    <t>Stylish Big Fish Steel-Sequined T-Shirt</t>
  </si>
  <si>
    <t>Game.AddToInventory("Items.TShirt_02_rich_02", 1)</t>
  </si>
  <si>
    <t>Stylish Composite-Foam Platform Fleets</t>
  </si>
  <si>
    <t>Game.AddToInventory("Items.Boots_12_rich_003", 1)</t>
  </si>
  <si>
    <t>Stylish Crystal Midnight Carbon-Fiber Long-Sleeve</t>
  </si>
  <si>
    <t>Game.AddToInventory("Items.Shirt_01_rich_01", 1)</t>
  </si>
  <si>
    <t>Stylish Double-Weave Shirt And Vest</t>
  </si>
  <si>
    <t>Game.AddToInventory("Items.FormalShirt_01_basic_03", 1)</t>
  </si>
  <si>
    <t>Stylish Leather Flat Cap With Light Armor Layer</t>
  </si>
  <si>
    <t>Game.AddToInventory("Items.Cap_02_basic_01", 1)</t>
  </si>
  <si>
    <t>Game.AddToInventory("Items.Cap_02_basic_01_Crafting", 1)</t>
  </si>
  <si>
    <t>Stylish Polarized Aviators</t>
  </si>
  <si>
    <t>Game.AddToInventory("Items.Glasses_01_basic_01", 1)</t>
  </si>
  <si>
    <t>Game.AddToInventory("Items.Hard_20_Reflex_Face", 1)</t>
  </si>
  <si>
    <t>Game.AddToInventory("Items.Normal_20_Netrunner_Face", 1)</t>
  </si>
  <si>
    <t>Game.AddToInventory("Items.Story_5_Face", 1)</t>
  </si>
  <si>
    <t>Game.AddToInventory("Items.Weak_10_Face", 1)</t>
  </si>
  <si>
    <t>Game.AddToInventory("Items.Weak_20_Cool_Face", 1)</t>
  </si>
  <si>
    <t>Game.AddToInventory("Items.Weak_30_Face", 1)</t>
  </si>
  <si>
    <t>Stylish Rock Garden Tungsten-Alloy Steel-Toes</t>
  </si>
  <si>
    <t>Game.AddToInventory("Items.Boots_07_rich_02", 1)</t>
  </si>
  <si>
    <t>Stylish Suit</t>
  </si>
  <si>
    <t>Game.AddToInventory("Items.Q303_party_outfit", 1)</t>
  </si>
  <si>
    <t>Game.AddToInventory("Items.Q303_party_outfit_ow", 1)</t>
  </si>
  <si>
    <t>Stylish Ten70 Daemon Hunter Coat</t>
  </si>
  <si>
    <t>Game.AddToInventory("Items.Coat_01_basic_03", 1)</t>
  </si>
  <si>
    <t>Game.AddToInventory("Items.Coat_01_basic_03_Crafting", 1)</t>
  </si>
  <si>
    <t>Stylish Tora To Ryu Coat With Titanium Inserts</t>
  </si>
  <si>
    <t>Game.AddToInventory("Items.Coat_01_rich_03", 1)</t>
  </si>
  <si>
    <t>Stylish Turquoise Sport Glasses</t>
  </si>
  <si>
    <t>Game.AddToInventory("Items.Glasses_03_basic_06", 1)</t>
  </si>
  <si>
    <t>Game.AddToInventory("Items.Glasses_03_basic_06_Crafting", 1)</t>
  </si>
  <si>
    <t>Sudo Claws Polyamide-Composite Windbreaker Pants</t>
  </si>
  <si>
    <t>Game.AddToInventory("Items.Pants_12_rich_01", 1)</t>
  </si>
  <si>
    <t>Sueno Soleado Helmet With Duolayer Reactivity</t>
  </si>
  <si>
    <t>Game.AddToInventory("Items.Helmet_02_rich_03", 1)</t>
  </si>
  <si>
    <t>Suichu Yogan Extra-Protection Tactical Pants</t>
  </si>
  <si>
    <t>Game.AddToInventory("Items.Pants_07_basic_01", 1)</t>
  </si>
  <si>
    <t>Suichu Yogan Syn-Fiber Combat Shirt</t>
  </si>
  <si>
    <t>Game.AddToInventory("Items.Shirt_03_basic_01", 1)</t>
  </si>
  <si>
    <t>Suichū Yōgan Syn-Fiber Combat Shirt</t>
  </si>
  <si>
    <t>Game.AddToInventory("Items.Normal_20_Ranged_InnerToso", 1)</t>
  </si>
  <si>
    <t>Game.AddToInventory("Items.Weak_20_Cool_InnerToso", 1)</t>
  </si>
  <si>
    <t>Sun Spark Thermoset Chemglass Infovisor</t>
  </si>
  <si>
    <t>Game.AddToInventory("Items.Visor_01_basic_05", 1)</t>
  </si>
  <si>
    <t>Game.AddToInventory("Items.Visor_01_basic_05_Crafting", 1)</t>
  </si>
  <si>
    <t>Sunny Ammo Synthetic High-Tops</t>
  </si>
  <si>
    <t>Game.AddToInventory("Items.CasualShoes_01_basic_01", 1)</t>
  </si>
  <si>
    <t>Game.AddToInventory("Items.CasualShoes_01_basic_01_Crafting", 1)</t>
  </si>
  <si>
    <t>Game.AddToInventory("TEST.ItemPass_FeetArmor", 1)</t>
  </si>
  <si>
    <t>Sweat-Stained Lacquered Helmet</t>
  </si>
  <si>
    <t>Game.AddToInventory("Items.Helmet_08_old_03", 1)</t>
  </si>
  <si>
    <t>Sweat-Stained Mask</t>
  </si>
  <si>
    <t>Game.AddToInventory("Items.Mask_04_old_05", 1)</t>
  </si>
  <si>
    <t>Sweaty Petersham Ushanka</t>
  </si>
  <si>
    <t>Game.AddToInventory("Items.Hat_06_old_06", 1)</t>
  </si>
  <si>
    <t>Sweet Dreams Armored-Laminate Bd Wreath</t>
  </si>
  <si>
    <t>Game.AddToInventory("Items.Tech_02_rich_01", 1)</t>
  </si>
  <si>
    <t>Sweet Licks Ultra-Flexi Windbreaker Pants</t>
  </si>
  <si>
    <t>Game.AddToInventory("Items.Pants_12_basic_02", 1)</t>
  </si>
  <si>
    <t>Syn-Leather Carbon-Collar Pozer-Jacket</t>
  </si>
  <si>
    <t>Game.AddToInventory("Items.Jacket_17_old_02", 1)</t>
  </si>
  <si>
    <t>Syn-Threaded Shorts</t>
  </si>
  <si>
    <t>Game.AddToInventory("Items.Shorts_05_old_02", 1)</t>
  </si>
  <si>
    <t>Syncotton Cocktail Jacket</t>
  </si>
  <si>
    <t>Game.AddToInventory("Items.FormalJacket_03_basic_02", 1)</t>
  </si>
  <si>
    <t>Synleather Half-Zip With Elastic Cuffs</t>
  </si>
  <si>
    <t>Game.AddToInventory("Items.Coat_05_old_01", 1)</t>
  </si>
  <si>
    <t>Synleather Jacket</t>
  </si>
  <si>
    <t>Game.AddToInventory("Items.Jacket_24_old_04", 1)</t>
  </si>
  <si>
    <t>Synleather Plastic Goggles</t>
  </si>
  <si>
    <t>Game.AddToInventory("Items.Glasses_05_basic_01", 1)</t>
  </si>
  <si>
    <t>Game.AddToInventory("Items.Proficiency_Glasses_05_basic_01_Crafting", 1)</t>
  </si>
  <si>
    <t>Synthetic Biker Jacket With Buckles</t>
  </si>
  <si>
    <t>Game.AddToInventory("Items.Jacket_19_basic_01", 1)</t>
  </si>
  <si>
    <t>Synthetic Corporate Jacket</t>
  </si>
  <si>
    <t>Game.AddToInventory("Items.FormalJacket_05_basic_01", 1)</t>
  </si>
  <si>
    <t>Synthetic Oil-Resistant Evening Dress</t>
  </si>
  <si>
    <t>Game.AddToInventory("Items.Dress_03_basic_08", 1)</t>
  </si>
  <si>
    <t>Synthetic Rubber Jacket</t>
  </si>
  <si>
    <t>Game.AddToInventory("Items.Jacket_24_basic_06", 1)</t>
  </si>
  <si>
    <t>Synweave Armor-Coated Yukata</t>
  </si>
  <si>
    <t>Game.AddToInventory("Items.Vest_19_old_01", 1)</t>
  </si>
  <si>
    <t>Synweave Armor-Layered Psycho Bomber</t>
  </si>
  <si>
    <t>Game.AddToInventory("Items.Jacket_13_old_01", 1)</t>
  </si>
  <si>
    <t>T-Shirt With Pvc Weave</t>
  </si>
  <si>
    <t>Game.AddToInventory("Items.Tshirt_12_basic_08", 1)</t>
  </si>
  <si>
    <t>T-Shirt With Spacer-Mesh Lining</t>
  </si>
  <si>
    <t>Game.AddToInventory("Items.Tshirt_12_basic_07", 1)</t>
  </si>
  <si>
    <t>Tacti-Fiber Racerback Tank</t>
  </si>
  <si>
    <t>Game.AddToInventory("Items.Q301_Nomad_WA_InnerTorso", 1)</t>
  </si>
  <si>
    <t>Tacti-Fiber Racerback Tank Top</t>
  </si>
  <si>
    <t>Game.AddToInventory("Items.TShirt_07_old_01", 1)</t>
  </si>
  <si>
    <t>Tactical Diving Suit</t>
  </si>
  <si>
    <t>Game.AddToInventory("Items.Q303_diving_suit", 1)</t>
  </si>
  <si>
    <t>Game.AddToInventory("Items.Q303_diving_suit_ow", 1)</t>
  </si>
  <si>
    <t>Game.AddToInventory("Items.Q303_diving_suit_ow_helmet", 1)</t>
  </si>
  <si>
    <t>Tactical Half-Zip With Fortified Threading</t>
  </si>
  <si>
    <t>Game.AddToInventory("Items.Coat_05_basic_03", 1)</t>
  </si>
  <si>
    <t>Tactical Helmet With Anti-Reflective Lenses</t>
  </si>
  <si>
    <t>Game.AddToInventory("Items.Helmet_09_basic_02", 1)</t>
  </si>
  <si>
    <t>Tactical Hybrid-Glass Corporate Glasses</t>
  </si>
  <si>
    <t>Game.AddToInventory("Items.Corporate_01_Set_Glasses", 1)</t>
  </si>
  <si>
    <t>Tactical T-Shirt With Anatomical Embossing</t>
  </si>
  <si>
    <t>Game.AddToInventory("Items.Tshirt_12_basic_09", 1)</t>
  </si>
  <si>
    <t>Tactical Thermoplastic Arasaka Helmet</t>
  </si>
  <si>
    <t>Game.AddToInventory("Items.Helmet_07_basic_01", 1)</t>
  </si>
  <si>
    <t>Tacticloth Cargo Pants</t>
  </si>
  <si>
    <t>Game.AddToInventory("Items.Pants_11_old_01", 1)</t>
  </si>
  <si>
    <t>Tacticloth Pleated Pants</t>
  </si>
  <si>
    <t>Game.AddToInventory("Items.FormalPants_01_old_02", 1)</t>
  </si>
  <si>
    <t>Tamashi Anti-Mech Utility Pants</t>
  </si>
  <si>
    <t>Game.AddToInventory("Items.Pants_09_rich_02", 1)</t>
  </si>
  <si>
    <t>Tamashí Enhanced Short Puffer</t>
  </si>
  <si>
    <t>Game.AddToInventory("Items.Vest_16_basic_01", 1)</t>
  </si>
  <si>
    <t>Tamashi Stretch-Laminate Rally Bolero</t>
  </si>
  <si>
    <t>Game.AddToInventory("Items.Jacket_10_rich_02", 1)</t>
  </si>
  <si>
    <t>Taped Square Glasses</t>
  </si>
  <si>
    <t>Game.AddToInventory("Items.Glasses_02_basic_03", 1)</t>
  </si>
  <si>
    <t>Tattered Ushanka</t>
  </si>
  <si>
    <t>Game.AddToInventory("Items.Hat_06_old_05", 1)</t>
  </si>
  <si>
    <t>Team Captain Rigid-Polyamide Athletic Shoes</t>
  </si>
  <si>
    <t>Game.AddToInventory("Items.CasualShoes_05_rich_02", 1)</t>
  </si>
  <si>
    <t>Tear-Prone Strapped Cargos</t>
  </si>
  <si>
    <t>Game.AddToInventory("Items.Pants_20_old_04", 1)</t>
  </si>
  <si>
    <t>Tear-Resistant Office Shirt And Vest</t>
  </si>
  <si>
    <t>Game.AddToInventory("Items.FormalShirt_01_basic_01", 1)</t>
  </si>
  <si>
    <t>Tear-Resistant Office Skirt</t>
  </si>
  <si>
    <t>Game.AddToInventory("Items.FormalSkirt_02_basic_01", 1)</t>
  </si>
  <si>
    <t>Tear-Resistant T-Shirt With Lonsdaleite Nanoplating</t>
  </si>
  <si>
    <t>Game.AddToInventory("Items.Tshirt_12_basic_04", 1)</t>
  </si>
  <si>
    <t>Techie Helmet With Smoke Filter</t>
  </si>
  <si>
    <t>Game.AddToInventory("Items.Helmet_11_rich_03", 1)</t>
  </si>
  <si>
    <t>Technopolymer Lab Infovisor</t>
  </si>
  <si>
    <t>Game.AddToInventory("Items.Visor_01_basic_01", 1)</t>
  </si>
  <si>
    <t>Game.AddToInventory("Items.Avg_10_Int_Netrunner_Face_1", 1)</t>
  </si>
  <si>
    <t>Game.AddToInventory("Items.VHard_50_TechCool_Face", 1)</t>
  </si>
  <si>
    <t>Game.AddToInventory("TEST.ItemPass_FaceArmor", 1)</t>
  </si>
  <si>
    <t>Technosight With Antireflective Coating</t>
  </si>
  <si>
    <t>Game.AddToInventory("Items.Tech_04_basic_03", 1)</t>
  </si>
  <si>
    <t>Technosight With Contrast-Adjuster</t>
  </si>
  <si>
    <t>Game.AddToInventory("Items.Tech_04_basic_02", 1)</t>
  </si>
  <si>
    <t>Technosight With Image-Enhancer</t>
  </si>
  <si>
    <t>Game.AddToInventory("Items.Tech_04_basic_01", 1)</t>
  </si>
  <si>
    <t>Technosight With Integrated Static Rangefinder</t>
  </si>
  <si>
    <t>Game.AddToInventory("Items.Tech_04_rich_04", 1)</t>
  </si>
  <si>
    <t>Tell Me I'm Cute Pilot Cap With Technopolymer Goggles</t>
  </si>
  <si>
    <t>Game.AddToInventory("Items.Cap_06_rich_01", 1)</t>
  </si>
  <si>
    <t>Ten70 Bada55 Polycarbonate Bandana</t>
  </si>
  <si>
    <t>Game.AddToInventory("Items.Scarf_01_rich_01", 1)</t>
  </si>
  <si>
    <t>Game.AddToInventory("Items.Scarf_01_rich_01_Crafting", 1)</t>
  </si>
  <si>
    <t>Ten70 Graffiti Jumpsuit</t>
  </si>
  <si>
    <t>Game.AddToInventory("Items.Jumpsuit_02_old_01", 1)</t>
  </si>
  <si>
    <t>Ten70 H2s Plastic Shin-Guard Shinos</t>
  </si>
  <si>
    <t>Game.AddToInventory("Items.Pants_10_rich_01", 1)</t>
  </si>
  <si>
    <t>Game.AddToInventory("Items.Weak_20_Cool_Legs", 1)</t>
  </si>
  <si>
    <t>Ten70 Sleeveless Field Jacket</t>
  </si>
  <si>
    <t>Game.AddToInventory("Items.Jacket_04_old_03", 1)</t>
  </si>
  <si>
    <t>Tenka Muso Combat Motorcycle Jacket</t>
  </si>
  <si>
    <t>Game.AddToInventory("Items.Jacket_09_basic_01", 1)</t>
  </si>
  <si>
    <t>Tg-Tiger Heat-Resistant Windbreaker Pants</t>
  </si>
  <si>
    <t>Game.AddToInventory("Items.Pants_12_rich_02", 1)</t>
  </si>
  <si>
    <t>Thermal 2.5-Layer Rayon Dress</t>
  </si>
  <si>
    <t>Game.AddToInventory("Items.Dress_04_basic_02", 1)</t>
  </si>
  <si>
    <t>Thermal Crawlers With Foam Inserts</t>
  </si>
  <si>
    <t>Game.AddToInventory("Items.Pants_19_rich_03", 1)</t>
  </si>
  <si>
    <t>Thermal Hardshell Half-Zip</t>
  </si>
  <si>
    <t>Game.AddToInventory("Items.Coat_05_basic_01", 1)</t>
  </si>
  <si>
    <t>Thermal Jacket With Bi-Component Fiber</t>
  </si>
  <si>
    <t>Game.AddToInventory("Items.Jacket_24_rich_05", 1)</t>
  </si>
  <si>
    <t>Thermo-Impulse Anti-Shrapnel Balaclava</t>
  </si>
  <si>
    <t>Game.AddToInventory("Items.Balaclava_01_rich_01", 1)</t>
  </si>
  <si>
    <t>Thermo-Quilted Cutout Bodysuit</t>
  </si>
  <si>
    <t>Game.AddToInventory("Items.Jacket_16_old_02", 1)</t>
  </si>
  <si>
    <t>Thermo-Rubber Tactical Boots</t>
  </si>
  <si>
    <t>Game.AddToInventory("Items.Boots_12_basic_01", 1)</t>
  </si>
  <si>
    <t>Thermoactive Hoodie With Ventilation Sliders</t>
  </si>
  <si>
    <t>Game.AddToInventory("Items.Jacket_22_rich_04", 1)</t>
  </si>
  <si>
    <t>Thermoactive Polyester Bucket Hat</t>
  </si>
  <si>
    <t>Game.AddToInventory("Items.Hat_05_rich_02", 1)</t>
  </si>
  <si>
    <t>Thermoactive Ripstop Sweatshirt</t>
  </si>
  <si>
    <t>Game.AddToInventory("Items.Jacket_23_basic_02", 1)</t>
  </si>
  <si>
    <t>Thermoactive Tear-Resistant Techie Shirt</t>
  </si>
  <si>
    <t>Game.AddToInventory("Items.Techie_01_Set_TShirt", 1)</t>
  </si>
  <si>
    <t>Thermodynamic T-Shirt With Nanotube Lining</t>
  </si>
  <si>
    <t>Game.AddToInventory("Items.Tshirt_12_basic_01", 1)</t>
  </si>
  <si>
    <t>Thermoformed Aluminum Splicers</t>
  </si>
  <si>
    <t>Game.AddToInventory("Items.Pants_18_rich_05", 1)</t>
  </si>
  <si>
    <t>Thermoplastic Anti-Corp Unitard</t>
  </si>
  <si>
    <t>Game.AddToInventory("Items.TightJumpsuit_02_basic_08", 1)</t>
  </si>
  <si>
    <t>Thermoset Military Field Jacket</t>
  </si>
  <si>
    <t>Game.AddToInventory("Items.Jacket_04_basic_01", 1)</t>
  </si>
  <si>
    <t>Thick Crawlers With Thigh Pockets</t>
  </si>
  <si>
    <t>Game.AddToInventory("Items.Pants_19_old_02", 1)</t>
  </si>
  <si>
    <t>Thick Double Knit Evening Jacket</t>
  </si>
  <si>
    <t>Game.AddToInventory("Items.FormalJacket_04_basic_03", 1)</t>
  </si>
  <si>
    <t>Thick Quilted Balaclava</t>
  </si>
  <si>
    <t>Game.AddToInventory("Items.Balaclava_02_old_04", 1)</t>
  </si>
  <si>
    <t>Thick Urban Sweatshirt</t>
  </si>
  <si>
    <t>Game.AddToInventory("Items.Jacket_23_old_02", 1)</t>
  </si>
  <si>
    <t>Thick-Weave Viscoelastic T-Shirt</t>
  </si>
  <si>
    <t>Game.AddToInventory("Items.Tshirt_12_basic_03", 1)</t>
  </si>
  <si>
    <t>Thin Synthetic Hoodie</t>
  </si>
  <si>
    <t>Game.AddToInventory("Items.Jacket_22_old_05", 1)</t>
  </si>
  <si>
    <t>Threadbare Sneakers</t>
  </si>
  <si>
    <t>Game.AddToInventory("Items.CasualShoes_04_old_02", 1)</t>
  </si>
  <si>
    <t>Tiger Sturdy-Stitched Yoros</t>
  </si>
  <si>
    <t>Game.AddToInventory("Items.Pants_14_basic_02", 1)</t>
  </si>
  <si>
    <t>Timeworn Trench Coat</t>
  </si>
  <si>
    <t>Game.AddToInventory("Items.Coat_04_old_02", 1)</t>
  </si>
  <si>
    <t>Game.AddToInventory("Items.VHard_50_IntTech_OuterTorso", 1)</t>
  </si>
  <si>
    <t>Titanium Full-Face Helmet With Double Visors</t>
  </si>
  <si>
    <t>Game.AddToInventory("Items.Helmet_08_rich_04", 1)</t>
  </si>
  <si>
    <t>Titanium Solo Techgogs With Tactical Software</t>
  </si>
  <si>
    <t>Game.AddToInventory("Items.Solo_01_Set_Visor", 1)</t>
  </si>
  <si>
    <t>Titanium-Fitted Polyamide Combat Boots</t>
  </si>
  <si>
    <t>Game.AddToInventory("Items.Boots_04_old_02", 1)</t>
  </si>
  <si>
    <t>Titanium-Reinforced Gas Mask</t>
  </si>
  <si>
    <t>Game.AddToInventory("Items.Mask_02_basic_01", 1)</t>
  </si>
  <si>
    <t>Game.AddToInventory("Items.Proficiency_Mask_02_basic_01_Crafting", 1)</t>
  </si>
  <si>
    <t>Torero Real Ultrareactive Laminated Pozer-Jacket</t>
  </si>
  <si>
    <t>Game.AddToInventory("Items.Jacket_17_rich_02", 1)</t>
  </si>
  <si>
    <t>Torikkusuta Aramid-Weave Crystaljock Bomber</t>
  </si>
  <si>
    <t>Game.AddToInventory("Items.Jacket_01_basic_01", 1)</t>
  </si>
  <si>
    <t>Torikkusutā Aramid-Weave Crystaljock Bomber</t>
  </si>
  <si>
    <t>Game.AddToInventory("Items.Hard_20_Reflex_OuterTorso", 1)</t>
  </si>
  <si>
    <t>Game.AddToInventory("Items.Normal_20_Netrunner_OuterTorso", 1)</t>
  </si>
  <si>
    <t>Game.AddToInventory("Items.Story_5_OuterTorso", 1)</t>
  </si>
  <si>
    <t>Game.AddToInventory("Items.Weak_10_OuterTorso", 1)</t>
  </si>
  <si>
    <t>Game.AddToInventory("TEST.ItemPass_OuterChestArmor", 1)</t>
  </si>
  <si>
    <t>Torn Burn Corpo Shit Composite T-Shirt</t>
  </si>
  <si>
    <t>Game.AddToInventory("Items.TShirt_05_old_01", 1)</t>
  </si>
  <si>
    <t>Game.AddToInventory("Items.VHard_50_BodyCool_InnerToso", 1)</t>
  </si>
  <si>
    <t>Torn Daemon Hunter Polyamide T-Shirt</t>
  </si>
  <si>
    <t>Game.AddToInventory("Items.TShirt_05_old_02", 1)</t>
  </si>
  <si>
    <t>Torn Polyamide-Blend Camo T-Shirt</t>
  </si>
  <si>
    <t>Game.AddToInventory("Items.TShirt_05_old_03", 1)</t>
  </si>
  <si>
    <t>Torn Sturdimesh T-Shirt</t>
  </si>
  <si>
    <t>Game.AddToInventory("Items.TShirt_05_old_05", 1)</t>
  </si>
  <si>
    <t>Torn Syn-Blend T-Shirt</t>
  </si>
  <si>
    <t>Game.AddToInventory("Items.TShirt_05_old_04", 1)</t>
  </si>
  <si>
    <t>Toy Technosight</t>
  </si>
  <si>
    <t>Game.AddToInventory("Items.Tech_04_old_03", 1)</t>
  </si>
  <si>
    <t>Trauma Team Armor-Weave Tactical Vest</t>
  </si>
  <si>
    <t>Game.AddToInventory("Items.Vest_08_rich_02", 1)</t>
  </si>
  <si>
    <t>Trauma Team Cap With Headset</t>
  </si>
  <si>
    <t>Game.AddToInventory("Items.Cap_04_basic_01", 1)</t>
  </si>
  <si>
    <t>Trauma Team Uniform</t>
  </si>
  <si>
    <t>Game.AddToInventory("Items.Trauma_Team_Outfit", 1)</t>
  </si>
  <si>
    <t>Treated Combat Hoodie With Straps</t>
  </si>
  <si>
    <t>Game.AddToInventory("Items.Jacket_22_basic_01", 1)</t>
  </si>
  <si>
    <t>Trendy Lonely Luke Cowboy Boots With Protective Mesh</t>
  </si>
  <si>
    <t>Game.AddToInventory("Items.Boots_10_rich_02", 1)</t>
  </si>
  <si>
    <t>Trendy Red Vision Laminated-Glass Infovisor</t>
  </si>
  <si>
    <t>Game.AddToInventory("Items.Visor_01_basic_04", 1)</t>
  </si>
  <si>
    <t>Trendy Sazan Lily Square Glasses</t>
  </si>
  <si>
    <t>Game.AddToInventory("Items.Glasses_02_basic_01", 1)</t>
  </si>
  <si>
    <t>Trendy Ultralight Exo-Jacks</t>
  </si>
  <si>
    <t>Game.AddToInventory("Items.Boots_09_basic_02", 1)</t>
  </si>
  <si>
    <t>Trilayer Anti-Tear Bolero Blazer</t>
  </si>
  <si>
    <t>Game.AddToInventory("Items.Jacket_25_basic_04", 1)</t>
  </si>
  <si>
    <t>Trilayer Aramid-Weave Fixer Skirt With Jacket</t>
  </si>
  <si>
    <t>Game.AddToInventory("Items.Fixer_01_Set_Coat", 1)</t>
  </si>
  <si>
    <t>Trilayer Hotpants With Micromesh</t>
  </si>
  <si>
    <t>Game.AddToInventory("Items.Shorts_02_old_01", 1)</t>
  </si>
  <si>
    <t>Trilayer Neoprene Foam Unitard</t>
  </si>
  <si>
    <t>Game.AddToInventory("Items.TightJumpsuit_02_basic_07", 1)</t>
  </si>
  <si>
    <t>Trilayer Novawear Pants With Elastic Waist</t>
  </si>
  <si>
    <t>Game.AddToInventory("Items.Pants_17_basic_07", 1)</t>
  </si>
  <si>
    <t>Trilayer Steel Ocuset</t>
  </si>
  <si>
    <t>Game.AddToInventory("Items.Tech_01_basic_01", 1)</t>
  </si>
  <si>
    <t>Game.AddToInventory("Items.Tech_01_basic_01_Crafting", 1)</t>
  </si>
  <si>
    <t>Trilby With Canvas Lining</t>
  </si>
  <si>
    <t>Game.AddToInventory("Items.Hat_01_old_02", 1)</t>
  </si>
  <si>
    <t>Turquoisewall Composite Punk High-Tops</t>
  </si>
  <si>
    <t>Game.AddToInventory("Items.CasualShoes_01_basic_03", 1)</t>
  </si>
  <si>
    <t>Tyger Claw Kabuto</t>
  </si>
  <si>
    <t>Game.AddToInventory("Items.Helmet_04_old_02", 1)</t>
  </si>
  <si>
    <t>Tyger Claws Ceramic-Laminate Aramid Collar</t>
  </si>
  <si>
    <t>Game.AddToInventory("Items.Vest_12_rich_01", 1)</t>
  </si>
  <si>
    <t>Tyger Claws Polymer Jacket With Buckles</t>
  </si>
  <si>
    <t>Game.AddToInventory("Items.Jacket_19_basic_05", 1)</t>
  </si>
  <si>
    <t>Tyger Claws Reinforced Edgerunner</t>
  </si>
  <si>
    <t>Game.AddToInventory("Items.Jacket_03_basic_03", 1)</t>
  </si>
  <si>
    <t>Tyger Claws Reinforced Tactical Harness</t>
  </si>
  <si>
    <t>Game.AddToInventory("Items.Vest_06_basic_02", 1)</t>
  </si>
  <si>
    <t>Ultimate Punch Field-Generating Protective Pozer-Jacket</t>
  </si>
  <si>
    <t>Game.AddToInventory("Items.Jacket_17_rich_04", 1)</t>
  </si>
  <si>
    <t>Ultimate Punch Sturdimesh T-Shirt</t>
  </si>
  <si>
    <t>Game.AddToInventory("Items.TShirt_02_basic_02", 1)</t>
  </si>
  <si>
    <t>Game.AddToInventory("Items.Hard_20_Intelligence_InnerToso", 1)</t>
  </si>
  <si>
    <t>Game.AddToInventory("Items.Str_30_Cool_Assassin_InnerToso", 1)</t>
  </si>
  <si>
    <t>Ultra-Cushioned Motorcycle Riding Pants</t>
  </si>
  <si>
    <t>Game.AddToInventory("Items.Pants_13_old_01", 1)</t>
  </si>
  <si>
    <t>Ultra-Elastic Bitch V.13 Skirt</t>
  </si>
  <si>
    <t>Game.AddToInventory("Items.FormalSkirt_01_basic_04", 1)</t>
  </si>
  <si>
    <t>Ultra-Light Tac Vest With Polyethylene Inlay</t>
  </si>
  <si>
    <t>Game.AddToInventory("Items.Vest_21_rich_02", 1)</t>
  </si>
  <si>
    <t>Ultralight Amande Rose Anti-Puncture Bra</t>
  </si>
  <si>
    <t>Game.AddToInventory("Items.Undershirt_02_rich_01", 1)</t>
  </si>
  <si>
    <t>Ultralight Composite Vest</t>
  </si>
  <si>
    <t>Game.AddToInventory("Items.Vest_02_basic_02", 1)</t>
  </si>
  <si>
    <t>Ultralight Fleets With Composite Lining</t>
  </si>
  <si>
    <t>Game.AddToInventory("Items.Boots_05_basic_02", 1)</t>
  </si>
  <si>
    <t>Ultralight Geisha Dream Polyamide Tank Top</t>
  </si>
  <si>
    <t>Game.AddToInventory("Items.TShirt_01_rich_01", 1)</t>
  </si>
  <si>
    <t>Ultralight Helmet With Foam Padding</t>
  </si>
  <si>
    <t>Game.AddToInventory("Items.Helmet_09_rich_03", 1)</t>
  </si>
  <si>
    <t>Ultralight Jasmin Doucet Syn-Cotton Bustier</t>
  </si>
  <si>
    <t>Game.AddToInventory("Items.Undershirt_03_rich_01", 1)</t>
  </si>
  <si>
    <t>Ultralight Neopolyester Novawear Pants</t>
  </si>
  <si>
    <t>Game.AddToInventory("Items.Pants_17_rich_02", 1)</t>
  </si>
  <si>
    <t>Ultralight Netrunner Helmet With Breath Deflector</t>
  </si>
  <si>
    <t>Game.AddToInventory("Items.Helmet_10_rich_02", 1)</t>
  </si>
  <si>
    <t>Ultralight Shine Spectrum Trench Coat</t>
  </si>
  <si>
    <t>Game.AddToInventory("Items.Coat_04_basic_01", 1)</t>
  </si>
  <si>
    <t>Ultralight Silkie With Iridium Sequins</t>
  </si>
  <si>
    <t>Game.AddToInventory("Items.Coat_06_rich_01", 1)</t>
  </si>
  <si>
    <t>Ultralight Tear-Resistant Nomad Pants</t>
  </si>
  <si>
    <t>Game.AddToInventory("Items.Nomad_01_Set_Pants", 1)</t>
  </si>
  <si>
    <t>Ultralight Tested On Animals Polyamide Tank Top</t>
  </si>
  <si>
    <t>Game.AddToInventory("Items.Proficiency_TShirt_03_rich_03_Crafting", 1)</t>
  </si>
  <si>
    <t>Game.AddToInventory("Items.TShirt_03_rich_03", 1)</t>
  </si>
  <si>
    <t>Ultrathin Composite-Print Solo Shirt</t>
  </si>
  <si>
    <t>Game.AddToInventory("Items.Solo_01_Set_TShirt", 1)</t>
  </si>
  <si>
    <t>Uncomfortable Chest Holster</t>
  </si>
  <si>
    <t>Game.AddToInventory("Items.Vest_24_old_04", 1)</t>
  </si>
  <si>
    <t>Uncomfortable Vr Goggles</t>
  </si>
  <si>
    <t>Game.AddToInventory("Items.Tech_03_old_02", 1)</t>
  </si>
  <si>
    <t>Uniware Brass Office Pants With Membrane Support</t>
  </si>
  <si>
    <t>Game.AddToInventory("Items.FormalPants_03_rich_02", 1)</t>
  </si>
  <si>
    <t>Game.AddToInventory("Items.FormalPants_03_rich_02_Crafting", 1)</t>
  </si>
  <si>
    <t>Unsinkable Bolero Blazer With Neoprene Quilting</t>
  </si>
  <si>
    <t>Game.AddToInventory("Items.Jacket_25_basic_08", 1)</t>
  </si>
  <si>
    <t>Unvented Hoodie</t>
  </si>
  <si>
    <t>Game.AddToInventory("Items.Jacket_22_old_04", 1)</t>
  </si>
  <si>
    <t>Upcycled Car Upholstery Jacket</t>
  </si>
  <si>
    <t>Game.AddToInventory("Items.Jacket_24_basic_04", 1)</t>
  </si>
  <si>
    <t>Upcycled Stain-Resistant Sweatshirt</t>
  </si>
  <si>
    <t>Game.AddToInventory("Items.Jacket_23_basic_04", 1)</t>
  </si>
  <si>
    <t>Upgraded Farmer Hat With Gauge</t>
  </si>
  <si>
    <t>Game.AddToInventory("Items.Hat_03_basic_02", 1)</t>
  </si>
  <si>
    <t>Game.AddToInventory("Items.Avg_10_Int_Netrunner_Head", 1)</t>
  </si>
  <si>
    <t>Game.AddToInventory("Items.Hat_03_basic_02_Crafting", 1)</t>
  </si>
  <si>
    <t>Urban Jungle High-Collar Reinforced Leather Vest</t>
  </si>
  <si>
    <t>Game.AddToInventory("Items.Vest_07_rich_02", 1)</t>
  </si>
  <si>
    <t>Urban Laser Anti-Puncture Neotac Biker Pants</t>
  </si>
  <si>
    <t>Game.AddToInventory("Items.Pants_08_rich_02", 1)</t>
  </si>
  <si>
    <t>Used Flight Jacket With Composite Lining</t>
  </si>
  <si>
    <t>Game.AddToInventory("Items.Jacket_20_old_02", 1)</t>
  </si>
  <si>
    <t>Used Leather Combat Boots</t>
  </si>
  <si>
    <t>Game.AddToInventory("Items.Boots_04_old_01", 1)</t>
  </si>
  <si>
    <t>Used Militech Training Shoes</t>
  </si>
  <si>
    <t>Game.AddToInventory("Items.CasualShoes_05_old_01", 1)</t>
  </si>
  <si>
    <t>Used Outdoorsman Ripstop Novawear Pants</t>
  </si>
  <si>
    <t>Game.AddToInventory("Items.Pants_17_old_02", 1)</t>
  </si>
  <si>
    <t>Used Syn-Leather Fleets</t>
  </si>
  <si>
    <t>Game.AddToInventory("Items.Boots_05_old_02", 1)</t>
  </si>
  <si>
    <t>Used Tactical Sweatshirt</t>
  </si>
  <si>
    <t>Game.AddToInventory("Items.Jacket_23_old_03", 1)</t>
  </si>
  <si>
    <t>Utilitarian Burn Corpo Shit T-Shirt</t>
  </si>
  <si>
    <t>Game.AddToInventory("Items.TShirt_02_basic_01", 1)</t>
  </si>
  <si>
    <t>Utilitarian Composite-Mesh T-Shirt</t>
  </si>
  <si>
    <t>Game.AddToInventory("Items.TShirt_02_old_04", 1)</t>
  </si>
  <si>
    <t>V's Black Tank Top</t>
  </si>
  <si>
    <t>Game.AddToInventory("Items.Q202_Epilogue_TShirt", 1)</t>
  </si>
  <si>
    <t>V's Expensive Leggings</t>
  </si>
  <si>
    <t>Game.AddToInventory("Items.Q203_Epilogue_Pants", 1)</t>
  </si>
  <si>
    <t>V's Gold-Plated Boots</t>
  </si>
  <si>
    <t>Game.AddToInventory("Items.Q203_Epilogue_Boots", 1)</t>
  </si>
  <si>
    <t>V's Golden Aviators</t>
  </si>
  <si>
    <t>Game.AddToInventory("Items.Q203_Epilogue_Glasses", 1)</t>
  </si>
  <si>
    <t>V's Informal Outfit</t>
  </si>
  <si>
    <t>Game.AddToInventory("Items.Q000_half_Corpo", 1)</t>
  </si>
  <si>
    <t>V's Muddy Sneakers</t>
  </si>
  <si>
    <t>Game.AddToInventory("Items.Q202_Epilogue_Boots", 1)</t>
  </si>
  <si>
    <t>V's New Leggings</t>
  </si>
  <si>
    <t>Game.AddToInventory("Items.Q202_Epilogue_Pants", 1)</t>
  </si>
  <si>
    <t>V's Nomad Outfit</t>
  </si>
  <si>
    <t>Game.AddToInventory("Items.Q000_half_Nomad", 1)</t>
  </si>
  <si>
    <t>V's Nomad Pants</t>
  </si>
  <si>
    <t>Game.AddToInventory("Items.Q000_Nomad_Pants", 1)</t>
  </si>
  <si>
    <t>V's Office Blazer</t>
  </si>
  <si>
    <t>Game.AddToInventory("Items.Q000_Corpo_FormalJacket2", 1)</t>
  </si>
  <si>
    <t>Game.AddToInventory("Items.Q000_Corpo_FormalJacket", 1)</t>
  </si>
  <si>
    <t>V's Office Slacks</t>
  </si>
  <si>
    <t>Game.AddToInventory("Items.Q000_Corpo_FormalPants", 1)</t>
  </si>
  <si>
    <t>V's Pants</t>
  </si>
  <si>
    <t>Game.AddToInventory("Items.Q301_Street_MA_Pants", 1)</t>
  </si>
  <si>
    <t>Game.AddToInventory("Items.Q301_Street_WA_Pants", 1)</t>
  </si>
  <si>
    <t>Game.AddToInventory("Items.Q001_Pants", 1)</t>
  </si>
  <si>
    <t>V's Shirt</t>
  </si>
  <si>
    <t>Game.AddToInventory("Items.Q203_Epilogue_TShirt", 1)</t>
  </si>
  <si>
    <t>V's Sneakers</t>
  </si>
  <si>
    <t>Game.AddToInventory("Items.Q001_Shoes", 1)</t>
  </si>
  <si>
    <t>V's Sreetwear Pants</t>
  </si>
  <si>
    <t>Game.AddToInventory("Items.Q000_StreetKid_Pants", 1)</t>
  </si>
  <si>
    <t>V's Urban Outfit</t>
  </si>
  <si>
    <t>Game.AddToInventory("Items.Q000_half_StreetKid", 1)</t>
  </si>
  <si>
    <t>V's Vest (With Bakkers Patch)</t>
  </si>
  <si>
    <t>Game.AddToInventory("Items.Q000_Nomad_Vest", 1)</t>
  </si>
  <si>
    <t>V's Vest (Without Bakkers Patch)</t>
  </si>
  <si>
    <t>Game.AddToInventory("Items.Q000_Nomad_noPatch_Vest", 1)</t>
  </si>
  <si>
    <t>Valentino's Dual-Weave Edgerunner</t>
  </si>
  <si>
    <t>Game.AddToInventory("Items.Jacket_03_basic_04", 1)</t>
  </si>
  <si>
    <t>Valentinos Armor-Plated Thermoset Aramid Collar</t>
  </si>
  <si>
    <t>Game.AddToInventory("Items.Vest_12_rich_02", 1)</t>
  </si>
  <si>
    <t>Valentinos Composite-Collar Suede Pozer-Jacket</t>
  </si>
  <si>
    <t>Game.AddToInventory("Items.Jacket_17_rich_05", 1)</t>
  </si>
  <si>
    <t>Valentinos Leather Shoulder Straps</t>
  </si>
  <si>
    <t>Game.AddToInventory("Items.Vest_10_basic_02", 1)</t>
  </si>
  <si>
    <t>Varnished Rocker Shorties With Extra Protection</t>
  </si>
  <si>
    <t>Game.AddToInventory("Items.Boots_02_basic_02", 1)</t>
  </si>
  <si>
    <t>Game.AddToInventory("Items.Q301_Corpo_MA_Boots", 1)</t>
  </si>
  <si>
    <t>Game.AddToInventory("Items.Q301_Corpo_WA_Boots", 1)</t>
  </si>
  <si>
    <t>Velvet 2-Piece With Windproof Nanolayer</t>
  </si>
  <si>
    <t>Game.AddToInventory("Items.FormalJacket_06_rich_02", 1)</t>
  </si>
  <si>
    <t>Venom Dye Duolayer Riding Pants</t>
  </si>
  <si>
    <t>Game.AddToInventory("Items.Pants_13_basic_01", 1)</t>
  </si>
  <si>
    <t>Game.AddToInventory("Items.Proficiency_Pants_13_basic_01_Crafting", 1)</t>
  </si>
  <si>
    <t>Vest With Ammunition Panel</t>
  </si>
  <si>
    <t>Game.AddToInventory("Items.Vest_23_old_01", 1)</t>
  </si>
  <si>
    <t>Veteran's Helmet</t>
  </si>
  <si>
    <t>Game.AddToInventory("Items.Helmet_02_old_04", 1)</t>
  </si>
  <si>
    <t>Victorian Rose Anti-Shrapnel Pencil Dress</t>
  </si>
  <si>
    <t>Game.AddToInventory("Items.Dress_01_basic_01", 1)</t>
  </si>
  <si>
    <t>Vintage Extra-Leather Straightcuts</t>
  </si>
  <si>
    <t>Game.AddToInventory("Items.Pants_06_old_01", 1)</t>
  </si>
  <si>
    <t>Game.AddToInventory("Items.Story_5_Legs", 1)</t>
  </si>
  <si>
    <t>Vintage Netrunner Helmet</t>
  </si>
  <si>
    <t>Game.AddToInventory("Items.Helmet_10_old_01", 1)</t>
  </si>
  <si>
    <t>Game.AddToInventory("Items.VHard_50_CoolRef_Head", 1)</t>
  </si>
  <si>
    <t>Vintage Samurai Strongweave T-Shirt</t>
  </si>
  <si>
    <t>Game.AddToInventory("Items.TShirt_02_basic_05", 1)</t>
  </si>
  <si>
    <t>Vinyl Jacket With Stiffened Collar</t>
  </si>
  <si>
    <t>Game.AddToInventory("Items.Jacket_24_basic_01", 1)</t>
  </si>
  <si>
    <t>Violet Nebula Anti-Tear Polyamide Turtleneck</t>
  </si>
  <si>
    <t>Game.AddToInventory("Items.Shirt_02_rich_03", 1)</t>
  </si>
  <si>
    <t>Virtual Jumpsuit</t>
  </si>
  <si>
    <t>Game.AddToInventory("Items.Q114_Cyberspace_Jumpsuit", 1)</t>
  </si>
  <si>
    <t>Virtuglow Composite Ballistic Vest</t>
  </si>
  <si>
    <t>Game.AddToInventory("Items.Vest_04_rich_01", 1)</t>
  </si>
  <si>
    <t>Game.AddToInventory("Items.Normal_20_Ranged_OuterTorso", 1)</t>
  </si>
  <si>
    <t>Voodoo Boys Anti-Interference Netrunner Jacket</t>
  </si>
  <si>
    <t>Game.AddToInventory("Items.Jacket_17_basic_03", 1)</t>
  </si>
  <si>
    <t>Vr Goggles With A Built-In Battery Pack</t>
  </si>
  <si>
    <t>Game.AddToInventory("Items.Tech_03_basic_02", 1)</t>
  </si>
  <si>
    <t>Vr Goggles With A Built-In Mic</t>
  </si>
  <si>
    <t>Game.AddToInventory("Items.Tech_03_basic_01", 1)</t>
  </si>
  <si>
    <t>Vr Goggles With Hi-Res 3.0 Speakers</t>
  </si>
  <si>
    <t>Game.AddToInventory("Items.Tech_03_rich_02", 1)</t>
  </si>
  <si>
    <t>Wakai Umi Flame-Resistant Yukata</t>
  </si>
  <si>
    <t>Game.AddToInventory("Items.Vest_19_rich_01", 1)</t>
  </si>
  <si>
    <t>Warm Nanoweave Cotton Shirt</t>
  </si>
  <si>
    <t>Game.AddToInventory("Items.LooseShirt_01_basic_02", 1)</t>
  </si>
  <si>
    <t>Washed-Out Polycotton Novawear Pants</t>
  </si>
  <si>
    <t>Game.AddToInventory("Items.Pants_17_old_01", 1)</t>
  </si>
  <si>
    <t>Washed-Out Raglan T-Shirt</t>
  </si>
  <si>
    <t>Game.AddToInventory("Items.Tshirt_12_old_01", 1)</t>
  </si>
  <si>
    <t>Wasp Anti-Puncture Polyamide Puffer Vest</t>
  </si>
  <si>
    <t>Game.AddToInventory("Items.Vest_17_rich_01", 1)</t>
  </si>
  <si>
    <t>Water-Repellent Novawear Pants</t>
  </si>
  <si>
    <t>Game.AddToInventory("Items.Pants_17_basic_05", 1)</t>
  </si>
  <si>
    <t>Water-Repellent Polyamide Unitard</t>
  </si>
  <si>
    <t>Game.AddToInventory("Items.TightJumpsuit_02_rich_02", 1)</t>
  </si>
  <si>
    <t>Waterproof Badge Combat Boots</t>
  </si>
  <si>
    <t>Game.AddToInventory("Items.Cop_01_Set_Boots", 1)</t>
  </si>
  <si>
    <t>Waterproof Laminated Ushanka</t>
  </si>
  <si>
    <t>Game.AddToInventory("Items.Hat_06_basic_03", 1)</t>
  </si>
  <si>
    <t>Waterproof Oxford Cloth T-Shirt</t>
  </si>
  <si>
    <t>Game.AddToInventory("Items.Tshirt_12_basic_05", 1)</t>
  </si>
  <si>
    <t>Waterproof Shoes With Dielectric Protector</t>
  </si>
  <si>
    <t>Game.AddToInventory("Items.Boots_12_rich_04", 1)</t>
  </si>
  <si>
    <t>Weathered Combat Boots</t>
  </si>
  <si>
    <t>Game.AddToInventory("Items.Boots_03_old_01", 1)</t>
  </si>
  <si>
    <t>Weathered Menpo</t>
  </si>
  <si>
    <t>Game.AddToInventory("Items.Mask_03_old_01", 1)</t>
  </si>
  <si>
    <t>Weighted Tac Vest With Utility Straps</t>
  </si>
  <si>
    <t>Game.AddToInventory("Items.Vest_21_basic_03", 1)</t>
  </si>
  <si>
    <t>Well-Worn 6th Street Edgerunner</t>
  </si>
  <si>
    <t>Game.AddToInventory("Items.Jacket_03_old_04", 1)</t>
  </si>
  <si>
    <t>Well-Worn Think Denim Dress</t>
  </si>
  <si>
    <t>Game.AddToInventory("Items.Dress_04_old_02", 1)</t>
  </si>
  <si>
    <t>Western Star Cowboy Boots With Thick Synthetic Heels</t>
  </si>
  <si>
    <t>Game.AddToInventory("Items.Boots_10_basic_01", 1)</t>
  </si>
  <si>
    <t>White Hive Led-Lined Anti-Piercing Jacket</t>
  </si>
  <si>
    <t>Game.AddToInventory("Items.Jacket_19_basic_06", 1)</t>
  </si>
  <si>
    <t>Wild Hunt Jacket</t>
  </si>
  <si>
    <t>Game.AddToInventory("Items.Red_Play_Jacket", 1)</t>
  </si>
  <si>
    <t>Wind-Resistant Half-Zip With Synthetic Padding</t>
  </si>
  <si>
    <t>Game.AddToInventory("Items.Coat_05_old_05", 1)</t>
  </si>
  <si>
    <t>Windproof Jacket With Insulated Lining</t>
  </si>
  <si>
    <t>Game.AddToInventory("Items.Jacket_24_basic_05", 1)</t>
  </si>
  <si>
    <t>Windproof Polyester Ushanka</t>
  </si>
  <si>
    <t>Game.AddToInventory("Items.Hat_06_basic_02", 1)</t>
  </si>
  <si>
    <t>Wolf School Jacket</t>
  </si>
  <si>
    <t>Game.AddToInventory("Items.GOG_DLC_Jacket_Crafted", 1)</t>
  </si>
  <si>
    <t>Game.AddToInventory("Items.GOG_DLC_Jacket", 1)</t>
  </si>
  <si>
    <t>Game.AddToInventory("Items.GOG_DLC_Jacket_Epic", 1)</t>
  </si>
  <si>
    <t>Game.AddToInventory("Items.GOG_DLC_Jacket_Legendary", 1)</t>
  </si>
  <si>
    <t>Wolf School T-Shirt</t>
  </si>
  <si>
    <t>Game.AddToInventory("Items.GOG_DLC_TShirt_Crafted", 1)</t>
  </si>
  <si>
    <t>Game.AddToInventory("Items.GOG_DLC_TShirt", 1)</t>
  </si>
  <si>
    <t>Game.AddToInventory("Items.GOG_DLC_TShirt_Epic", 1)</t>
  </si>
  <si>
    <t>Game.AddToInventory("Items.GOG_DLC_TShirt_Legendary", 1)</t>
  </si>
  <si>
    <t>Women's Diving Suit  [Broken]</t>
  </si>
  <si>
    <t>Game.AddToInventory("Items.sq030_diving_suit_female", 1)</t>
  </si>
  <si>
    <t>Wool Suit Jacket With Reinforced Synfiber-Weave</t>
  </si>
  <si>
    <t>Game.AddToInventory("Items.FormalJacket_01_basic_02", 1)</t>
  </si>
  <si>
    <t>Workplace Loose-Fits</t>
  </si>
  <si>
    <t>Game.AddToInventory("Items.Pants_02_old_02", 1)</t>
  </si>
  <si>
    <t>Worn Aramid High-Tops</t>
  </si>
  <si>
    <t>Game.AddToInventory("Items.CasualShoes_01_old_01", 1)</t>
  </si>
  <si>
    <t>Worn Baseball Cap</t>
  </si>
  <si>
    <t>Game.AddToInventory("Items.Cap_01_old_01", 1)</t>
  </si>
  <si>
    <t>Worn Beanie</t>
  </si>
  <si>
    <t>Game.AddToInventory("Items.Cap_03_old_01", 1)</t>
  </si>
  <si>
    <t>Worn Biker Boots With Ankle Protection</t>
  </si>
  <si>
    <t>Game.AddToInventory("Items.Boots_12_old_02", 1)</t>
  </si>
  <si>
    <t>Worn Biker Shorties Composite Inserts</t>
  </si>
  <si>
    <t>Game.AddToInventory("Items.Boots_02_old_02", 1)</t>
  </si>
  <si>
    <t>Worn Brimmed Hat With Gauge</t>
  </si>
  <si>
    <t>Game.AddToInventory("Items.Hat_03_old_02", 1)</t>
  </si>
  <si>
    <t>Worn Cargo Pants</t>
  </si>
  <si>
    <t>Game.AddToInventory("Items.Pants_04_old_01", 1)</t>
  </si>
  <si>
    <t>Worn Compression T-Shirt</t>
  </si>
  <si>
    <t>Game.AddToInventory("Items.Tshirt_12_old_07", 1)</t>
  </si>
  <si>
    <t>Worn Exo-Jacks</t>
  </si>
  <si>
    <t>Game.AddToInventory("Items.Boots_09_old_02", 1)</t>
  </si>
  <si>
    <t>Worn Graffiti Helmet</t>
  </si>
  <si>
    <t>Game.AddToInventory("Items.Helmet_02_old_01", 1)</t>
  </si>
  <si>
    <t>Worn Kang Tao Tactical Pants</t>
  </si>
  <si>
    <t>Game.AddToInventory("Items.Pants_07_old_02", 1)</t>
  </si>
  <si>
    <t>Worn Maelstrom Jacket</t>
  </si>
  <si>
    <t>Game.AddToInventory("Items.Shirt_03_old_03", 1)</t>
  </si>
  <si>
    <t>Worn Maelstrom Riding Pants</t>
  </si>
  <si>
    <t>Game.AddToInventory("Items.Pants_13_old_03", 1)</t>
  </si>
  <si>
    <t>Game.AddToInventory("Items.VHard_50_RefBody_Legs", 1)</t>
  </si>
  <si>
    <t>Worn Netrunning Suit</t>
  </si>
  <si>
    <t>Game.AddToInventory("Items.TightJumpsuit_01_old_01", 1)</t>
  </si>
  <si>
    <t>Worn Out Reflective Bolero Blazer</t>
  </si>
  <si>
    <t>Game.AddToInventory("Items.Jacket_25_old_02", 1)</t>
  </si>
  <si>
    <t>Worn Plaid Ushanka</t>
  </si>
  <si>
    <t>Game.AddToInventory("Items.Hat_06_old_04", 1)</t>
  </si>
  <si>
    <t>Worn Punk Coat</t>
  </si>
  <si>
    <t>Game.AddToInventory("Items.Coat_01_old_01", 1)</t>
  </si>
  <si>
    <t>Worn Samurai Cap</t>
  </si>
  <si>
    <t>Game.AddToInventory("Items.Cap_01_old_03", 1)</t>
  </si>
  <si>
    <t>Worn Scav Field Jacket</t>
  </si>
  <si>
    <t>Game.AddToInventory("Items.Jacket_04_old_02", 1)</t>
  </si>
  <si>
    <t>Worn Spunky Monkey Kicks</t>
  </si>
  <si>
    <t>Game.AddToInventory("Items.CasualShoes_07_old_03", 1)</t>
  </si>
  <si>
    <t>Worn Surplus Helmet</t>
  </si>
  <si>
    <t>Game.AddToInventory("Items.Helmet_09_old_01", 1)</t>
  </si>
  <si>
    <t>Game.AddToInventory("Items.VHard_50_BodyCool_Head", 1)</t>
  </si>
  <si>
    <t>Worn Synleather Crawlers</t>
  </si>
  <si>
    <t>Game.AddToInventory("Items.Pants_19_old_03", 1)</t>
  </si>
  <si>
    <t>Worn Tamashi Tank Top</t>
  </si>
  <si>
    <t>Game.AddToInventory("Items.TShirt_03_old_02", 1)</t>
  </si>
  <si>
    <t>Worn Traditional Cowboy Boots</t>
  </si>
  <si>
    <t>Game.AddToInventory("Items.Boots_10_basic_02", 1)</t>
  </si>
  <si>
    <t>Worn Waxed Canvas Silkie</t>
  </si>
  <si>
    <t>Game.AddToInventory("Items.Coat_06_old_04", 1)</t>
  </si>
  <si>
    <t>Worn Wraiths Jacket With Buckles</t>
  </si>
  <si>
    <t>Game.AddToInventory("Items.Jacket_19_old_05", 1)</t>
  </si>
  <si>
    <t>Worn Wraiths Neotac Pants</t>
  </si>
  <si>
    <t>Game.AddToInventory("Items.Pants_08_old_03", 1)</t>
  </si>
  <si>
    <t>Worn-Down Mask</t>
  </si>
  <si>
    <t>Game.AddToInventory("Items.Mask_04_old_07", 1)</t>
  </si>
  <si>
    <t>Worn-Leather Western Shorties</t>
  </si>
  <si>
    <t>Game.AddToInventory("Items.Boots_02_old_01", 1)</t>
  </si>
  <si>
    <t>Worn-Out Ballistic Vest</t>
  </si>
  <si>
    <t>Game.AddToInventory("Items.Vest_04_old_02", 1)</t>
  </si>
  <si>
    <t>Worn-Out Jacket</t>
  </si>
  <si>
    <t>Game.AddToInventory("Items.Jacket_24_old_02", 1)</t>
  </si>
  <si>
    <t>Worn-Out Prepper Chest Holster</t>
  </si>
  <si>
    <t>Game.AddToInventory("Items.Vest_24_old_03", 1)</t>
  </si>
  <si>
    <t>Wounded Machine Duolayer Combat Flight Jacket</t>
  </si>
  <si>
    <t>Game.AddToInventory("Items.Jacket_02_rich_03", 1)</t>
  </si>
  <si>
    <t>Wounded Machine Reinforced Jacket</t>
  </si>
  <si>
    <t>Game.AddToInventory("Items.Jacket_19_old_01", 1)</t>
  </si>
  <si>
    <t>Wraiths Anti-Tear Riding Pants</t>
  </si>
  <si>
    <t>Game.AddToInventory("Items.Pants_13_basic_02", 1)</t>
  </si>
  <si>
    <t>Wraiths Coat With Improvised Bulletproof Lining</t>
  </si>
  <si>
    <t>Game.AddToInventory("Items.Coat_03_old_02", 1)</t>
  </si>
  <si>
    <t>Wraiths Dual-Reinforced Shoulder Straps</t>
  </si>
  <si>
    <t>Game.AddToInventory("Items.Vest_10_rich_02", 1)</t>
  </si>
  <si>
    <t>Wraiths Extra-Cotton Utility Pants</t>
  </si>
  <si>
    <t>Game.AddToInventory("Items.Pants_09_old_01", 1)</t>
  </si>
  <si>
    <t>Game.AddToInventory("Items.Q301_Nomad_MA_Pants", 1)</t>
  </si>
  <si>
    <t>Game.AddToInventory("Items.Q301_Nomad_WA_Pants", 1)</t>
  </si>
  <si>
    <t>Wraiths Gas Mask</t>
  </si>
  <si>
    <t>Game.AddToInventory("Items.SQ004_RaffenShiv_Mask", 1)</t>
  </si>
  <si>
    <t>Game.AddToInventory("Items.VHard_50_RefTech_Face", 1)</t>
  </si>
  <si>
    <t>Wraiths Heavy Impact-Absorbing Motorcycle Jacket</t>
  </si>
  <si>
    <t>Game.AddToInventory("Items.Jacket_09_rich_02", 1)</t>
  </si>
  <si>
    <t>Wraiths Rally Bolero Jacket</t>
  </si>
  <si>
    <t>Game.AddToInventory("Items.Jacket_10_old_01", 1)</t>
  </si>
  <si>
    <t>Wraiths Trilayer Edgerunner</t>
  </si>
  <si>
    <t>Game.AddToInventory("Items.Jacket_03_old_03", 1)</t>
  </si>
  <si>
    <t>Wrinkled Dress Button-Up</t>
  </si>
  <si>
    <t>Game.AddToInventory("Items.FormalShirt_02_old_03", 1)</t>
  </si>
  <si>
    <t>X Nanotube-Weave Muscle Tank</t>
  </si>
  <si>
    <t>Game.AddToInventory("Items.TShirt_06_rich_02", 1)</t>
  </si>
  <si>
    <t>X Reinforced Polyamide Tank Top</t>
  </si>
  <si>
    <t>Game.AddToInventory("Items.TShirt_04_old_04", 1)</t>
  </si>
  <si>
    <t>Xx Punch! Armor-Coated Hooded Bomber</t>
  </si>
  <si>
    <t>Game.AddToInventory("Items.Jacket_13_rich_02", 1)</t>
  </si>
  <si>
    <t>Yamori Tungsten-Steel Biker Techgogs</t>
  </si>
  <si>
    <t>Game.AddToInventory("Items.Proficiency_Visor_02_rich_01_Crafting", 1)</t>
  </si>
  <si>
    <t>Game.AddToInventory("Items.Visor_02_rich_01", 1)</t>
  </si>
  <si>
    <t>Yellow Cobra Carbon-Reinforced Racing Suit</t>
  </si>
  <si>
    <t>Game.AddToInventory("Items.Jumpsuit_02_basic_01", 1)</t>
  </si>
  <si>
    <t>Yorinobu's Formal Shirt</t>
  </si>
  <si>
    <t>Game.AddToInventory("Items.Q005_Yorinobu_FormalShirt", 1)</t>
  </si>
  <si>
    <t>Yorinobu's Slacks</t>
  </si>
  <si>
    <t>Game.AddToInventory("Items.Q005_Yorinobu_FormalPants", 1)</t>
  </si>
  <si>
    <t>Yoru No Samurai Armored Knee-Pad Racers</t>
  </si>
  <si>
    <t>Game.AddToInventory("Items.Pants_05_rich_02", 1)</t>
  </si>
  <si>
    <t>Yoru No Samurai Gmo-Cotton T-Shirt</t>
  </si>
  <si>
    <t>Game.AddToInventory("Items.TShirt_02_rich_04", 1)</t>
  </si>
  <si>
    <t>Yoru No Samurai Kicks With Carbon-Fiber Layering</t>
  </si>
  <si>
    <t>Game.AddToInventory("Items.CasualShoes_07_rich_03", 1)</t>
  </si>
  <si>
    <t>Yoru No Samurai Padded Loose-Fits</t>
  </si>
  <si>
    <t>Game.AddToInventory("Items.Pants_02_basic_02", 1)</t>
  </si>
  <si>
    <t>Yoru No Samurai Yoros</t>
  </si>
  <si>
    <t>Game.AddToInventory("Items.Pants_14_old_02", 1)</t>
  </si>
  <si>
    <t>Yuki Snow Boots With Reinforced Lining</t>
  </si>
  <si>
    <t>Game.AddToInventory("Items.Boots_11_basic_02", 1)</t>
  </si>
  <si>
    <t>Yukihyo Polycarbonate Athletic Shoes</t>
  </si>
  <si>
    <t>Game.AddToInventory("Items.CasualShoes_05_basic_02", 1)</t>
  </si>
  <si>
    <t>Yunami Formal Hybrid Duoweave Jacket</t>
  </si>
  <si>
    <t>Game.AddToInventory("Items.FormalJacket_05_rich_02", 1)</t>
  </si>
  <si>
    <t>Zolotoy Uley Soviet-Style Fireproof Windbreaker</t>
  </si>
  <si>
    <t>Game.AddToInventory("Items.Jacket_07_rich_01", 1)</t>
  </si>
  <si>
    <t>Outfit Set</t>
  </si>
  <si>
    <t>Type</t>
  </si>
  <si>
    <t>Mod</t>
  </si>
  <si>
    <t>Ar / Smg / Lmg</t>
  </si>
  <si>
    <t>Game.AddToInventory("Items.ARSMGLMGMod1_Uncommon_Recipe", 1)</t>
  </si>
  <si>
    <t>Game.AddToInventory("Items.ARSMGLMGMod1_Rare_Recipe", 1)</t>
  </si>
  <si>
    <t>Game.AddToInventory("Items.ARSMGLMGMod1_Epic_Recipe", 1)</t>
  </si>
  <si>
    <t>Game.AddToInventory("Items.ARSMGLMGMod1_Legendary_Recipe", 1)</t>
  </si>
  <si>
    <t>Game.AddToInventory("Items.ARSMGLMGMod3_Uncommon_Recipe", 1)</t>
  </si>
  <si>
    <t>Game.AddToInventory("Items.ARSMGLMGMod3_Rare_Recipe", 1)</t>
  </si>
  <si>
    <t>Game.AddToInventory("Items.ARSMGLMGMod3_Epic_Recipe", 1)</t>
  </si>
  <si>
    <t>Game.AddToInventory("Items.ARSMGLMGMod3_Legendary_Recipe", 1)</t>
  </si>
  <si>
    <t>Game.AddToInventory("Items.ARSMGLMGMod2_Uncommon_Recipe", 1)</t>
  </si>
  <si>
    <t>Game.AddToInventory("Items.ARSMGLMGMod2_Rare_Recipe", 1)</t>
  </si>
  <si>
    <t>Game.AddToInventory("Items.ARSMGLMGMod2_Epic_Recipe", 1)</t>
  </si>
  <si>
    <t>Game.AddToInventory("Items.ARSMGLMGMod2_Legendary_Recipe", 1)</t>
  </si>
  <si>
    <t>Weapons</t>
  </si>
  <si>
    <t>Assault Rifle</t>
  </si>
  <si>
    <t>Game.AddToInventory("Items.CommonCopperheadRecipe", 1)</t>
  </si>
  <si>
    <t>Game.AddToInventory("Items.UncommonCopperheadRecipe_2", 1)</t>
  </si>
  <si>
    <t>Game.AddToInventory("Items.UncommonCopperheadRecipe", 1)</t>
  </si>
  <si>
    <t>Game.AddToInventory("Items.RareCopperheadRecipe", 1)</t>
  </si>
  <si>
    <t>Game.AddToInventory("Items.EpicCopperheadRecipe", 1)</t>
  </si>
  <si>
    <t>Game.AddToInventory("Items.LegendaryCopperheadRecipe", 1)</t>
  </si>
  <si>
    <t>Game.AddToInventory("Items.CommonSidewinderRecipe", 1)</t>
  </si>
  <si>
    <t>Game.AddToInventory("Items.UncommonSidewinderRecipe", 1)</t>
  </si>
  <si>
    <t>Game.AddToInventory("Items.RareSidewinderRecipe", 1)</t>
  </si>
  <si>
    <t>Game.AddToInventory("Items.EpicSidewinderRecipe", 1)</t>
  </si>
  <si>
    <t>Game.AddToInventory("Items.LegendarySidewinderRecipe", 1)</t>
  </si>
  <si>
    <t>Game.AddToInventory("Items.CommonUmbraRecipe", 1)</t>
  </si>
  <si>
    <t>Game.AddToInventory("Items.UncommonUmbraRecipe", 1)</t>
  </si>
  <si>
    <t>Game.AddToInventory("Items.RareUmbraRecipe", 1)</t>
  </si>
  <si>
    <t>Game.AddToInventory("Items.EpicUmbraRecipe", 1)</t>
  </si>
  <si>
    <t>Game.AddToInventory("Items.LegendaryUmbraRecipe", 1)</t>
  </si>
  <si>
    <t>Game.AddToInventory("Items.CommonMasamuneRecipe", 1)</t>
  </si>
  <si>
    <t>Game.AddToInventory("Items.UncommonMasamuneRecipe", 1)</t>
  </si>
  <si>
    <t>Game.AddToInventory("Items.RareMasamuneRecipe", 1)</t>
  </si>
  <si>
    <t>Game.AddToInventory("Items.EpicMasamuneRecipe", 1)</t>
  </si>
  <si>
    <t>Game.AddToInventory("Items.LegendaryMasamuneRecipe", 1)</t>
  </si>
  <si>
    <t>Game.AddToInventory("Items.CommonKyubiRecipe", 1)</t>
  </si>
  <si>
    <t>Game.AddToInventory("Items.UncommonKyubiRecipe", 1)</t>
  </si>
  <si>
    <t>Game.AddToInventory("Items.RareKyubiRecipe", 1)</t>
  </si>
  <si>
    <t>Game.AddToInventory("Items.EpicKyubiRecipe", 1)</t>
  </si>
  <si>
    <t>Game.AddToInventory("Items.LegendaryKyubiRecipe", 1)</t>
  </si>
  <si>
    <t>Game.AddToInventory("Items.CommonAjaxRecipe", 1)</t>
  </si>
  <si>
    <t>Game.AddToInventory("Items.UncommonAjaxRecipe", 1)</t>
  </si>
  <si>
    <t>Game.AddToInventory("Items.RareAjaxRecipe", 1)</t>
  </si>
  <si>
    <t>Game.AddToInventory("Items.EpicAjaxRecipe", 1)</t>
  </si>
  <si>
    <t>Game.AddToInventory("Items.LegendaryAjaxRecipe", 1)</t>
  </si>
  <si>
    <t>Game.AddToInventory("Items.Recipe_Common_Ajax_Moron", 1)</t>
  </si>
  <si>
    <t>Game.AddToInventory("Items.Recipe_Uncommon_Ajax_Moron", 1)</t>
  </si>
  <si>
    <t>Game.AddToInventory("Items.Recipe_Rare_Ajax_Moron", 1)</t>
  </si>
  <si>
    <t>Game.AddToInventory("Items.Recipe_Epic_Ajax_Moron", 1)</t>
  </si>
  <si>
    <t>Game.AddToInventory("Items.Recipe_Legendary_Ajax_Moron", 1)</t>
  </si>
  <si>
    <t>Game.AddToInventory("Items.Recipe_Common_Copperhead_Genesis", 1)</t>
  </si>
  <si>
    <t>Game.AddToInventory("Items.Recipe_Uncommon_Copperhead_Genesis", 1)</t>
  </si>
  <si>
    <t>Game.AddToInventory("Items.Recipe_Rare_Copperhead_Genesis", 1)</t>
  </si>
  <si>
    <t>Game.AddToInventory("Items.Recipe_Epic_Copperhead_Genesis", 1)</t>
  </si>
  <si>
    <t>Game.AddToInventory("Items.Recipe_Legendary_Copperhead_Genesis", 1)</t>
  </si>
  <si>
    <t>Blade</t>
  </si>
  <si>
    <t>Game.AddToInventory("Items.BladeMod1_Uncommon_Recipe", 1)</t>
  </si>
  <si>
    <t>Game.AddToInventory("Items.BladeMod1_Rare_Recipe", 1)</t>
  </si>
  <si>
    <t>Game.AddToInventory("Items.BladeMod1_Epic_Recipe", 1)</t>
  </si>
  <si>
    <t>Game.AddToInventory("Items.BladeMod1_Legendary_Recipe", 1)</t>
  </si>
  <si>
    <t>Game.AddToInventory("Items.BladeMod3_Uncommon_Recipe", 1)</t>
  </si>
  <si>
    <t>Game.AddToInventory("Items.BladeMod3_Rare_Recipe", 1)</t>
  </si>
  <si>
    <t>Game.AddToInventory("Items.BladeMod3_Epic_Recipe", 1)</t>
  </si>
  <si>
    <t>Game.AddToInventory("Items.BladeMod3_Legendary_Recipe", 1)</t>
  </si>
  <si>
    <t>Game.AddToInventory("Items.Recipe_Preset_Katana_GoG", 1)</t>
  </si>
  <si>
    <t>Game.AddToInventory("Items.Recipe_Preset_Katana_GoG_Epic", 1)</t>
  </si>
  <si>
    <t>Game.AddToInventory("Items.Recipe_Preset_Katana_GoG_Legendary", 1)</t>
  </si>
  <si>
    <t>Blue Fang</t>
  </si>
  <si>
    <t>Game.AddToInventory("Items.Recipe_Preset_Neurotoxin_Knife_Iconic_Epic", 1)</t>
  </si>
  <si>
    <t>Game.AddToInventory("Items.Recipe_Preset_Neurotoxin_Knife_Iconic_Legendary", 1)</t>
  </si>
  <si>
    <t>Game.AddToInventory("Items.CommonButchersKnifeRecipe", 1)</t>
  </si>
  <si>
    <t>Game.AddToInventory("Items.UncommonButchersKnifeRecipe", 1)</t>
  </si>
  <si>
    <t>Game.AddToInventory("Items.RareButchersKnifeRecipe", 1)</t>
  </si>
  <si>
    <t>Game.AddToInventory("Items.EpicButchersKnifeRecipe", 1)</t>
  </si>
  <si>
    <t>Game.AddToInventory("Items.Recipe_Preset_Butchers_Knife_Iconic_Epic", 1)</t>
  </si>
  <si>
    <t>Game.AddToInventory("Items.LegendaryButchersKnifeRecipe", 1)</t>
  </si>
  <si>
    <t>Game.AddToInventory("Items.Recipe_Preset_Butchers_Knife_Iconic_Legendary", 1)</t>
  </si>
  <si>
    <t>Game.AddToInventory("Items.Recipe_Preset_Katana_Wakako_Legendary", 1)</t>
  </si>
  <si>
    <t>Game.AddToInventory("Items.CommonChefsKnifeRecipe", 1)</t>
  </si>
  <si>
    <t>Game.AddToInventory("Items.UncommonChefsKnifeRecipe", 1)</t>
  </si>
  <si>
    <t>Game.AddToInventory("Items.RareChefsKnifeRecipe", 1)</t>
  </si>
  <si>
    <t>Game.AddToInventory("Items.EpicChefsKnifeRecipe", 1)</t>
  </si>
  <si>
    <t>Game.AddToInventory("Items.LegendaryChefsKnifeRecipe", 1)</t>
  </si>
  <si>
    <t>Game.AddToInventory("Items.CommonFangedAxeRecipe", 1)</t>
  </si>
  <si>
    <t>Game.AddToInventory("Items.UncommonFangedAxeRecipe", 1)</t>
  </si>
  <si>
    <t>Game.AddToInventory("Items.RareFangedAxeRecipe", 1)</t>
  </si>
  <si>
    <t>Game.AddToInventory("Items.EpicFangedAxeRecipe", 1)</t>
  </si>
  <si>
    <t>Game.AddToInventory("Items.LegendaryFangedAxeRecipe", 1)</t>
  </si>
  <si>
    <t>Game.AddToInventory("Items.CommonChainswordRecipe", 1)</t>
  </si>
  <si>
    <t>Game.AddToInventory("Items.UncommonChainswordRecipe", 1)</t>
  </si>
  <si>
    <t>Game.AddToInventory("Items.RareChainswordRecipe", 1)</t>
  </si>
  <si>
    <t>Game.AddToInventory("Items.EpicChainswordRecipe", 1)</t>
  </si>
  <si>
    <t>Game.AddToInventory("Items.LegendaryChainswordRecipe", 1)</t>
  </si>
  <si>
    <t>Headhunter</t>
  </si>
  <si>
    <t>Game.AddToInventory("Items.Recipe_Preset_Punk_Knife_Iconic_Epic", 1)</t>
  </si>
  <si>
    <t>Game.AddToInventory("Items.Recipe_Preset_Punk_Knife_Iconic_Legendary", 1)</t>
  </si>
  <si>
    <t>Game.AddToInventory("Items.CommonKatanaRecipe", 1)</t>
  </si>
  <si>
    <t>Game.AddToInventory("Items.UncommonKatanaRecipe", 1)</t>
  </si>
  <si>
    <t>Game.AddToInventory("Items.RareKatanaRecipe", 1)</t>
  </si>
  <si>
    <t>Game.AddToInventory("Items.EpicKatanaRecipe", 1)</t>
  </si>
  <si>
    <t>Game.AddToInventory("Items.LegendaryKatanaRecipe_2", 1)</t>
  </si>
  <si>
    <t>Game.AddToInventory("Items.LegendaryKatanaRecipe", 1)</t>
  </si>
  <si>
    <t>Katana [Miilitary Texture]</t>
  </si>
  <si>
    <t>Game.AddToInventory("Items.CommonKatanaMilitaryRecipe", 1)</t>
  </si>
  <si>
    <t>Game.AddToInventory("Items.UncommonKatanaMilitaryRecipe", 1)</t>
  </si>
  <si>
    <t>Game.AddToInventory("Items.RareKatanaMilitaryRecipe", 1)</t>
  </si>
  <si>
    <t>Game.AddToInventory("Items.EpicKatanaMilitaryRecipe", 1)</t>
  </si>
  <si>
    <t>Game.AddToInventory("Items.LegendaryKatanaMilitaryRecipe", 1)</t>
  </si>
  <si>
    <t>Game.AddToInventory("Items.CommonKnifeRecipe", 1)</t>
  </si>
  <si>
    <t>Game.AddToInventory("Items.UncommonKnifeRecipe", 1)</t>
  </si>
  <si>
    <t>Game.AddToInventory("Items.RareKnifeRecipe_2", 1)</t>
  </si>
  <si>
    <t>Game.AddToInventory("Items.RareKnifeRecipe", 1)</t>
  </si>
  <si>
    <t>Game.AddToInventory("Items.EpicKnifeRecipe", 1)</t>
  </si>
  <si>
    <t>Game.AddToInventory("Items.LegendaryKnifeRecipe", 1)</t>
  </si>
  <si>
    <t>Game.AddToInventory("Items.CommonKukriRecipe", 1)</t>
  </si>
  <si>
    <t>Game.AddToInventory("Items.UncommonKukriRecipe", 1)</t>
  </si>
  <si>
    <t>Game.AddToInventory("Items.RareKukriRecipe", 1)</t>
  </si>
  <si>
    <t>Game.AddToInventory("Items.EpicKukriRecipe", 1)</t>
  </si>
  <si>
    <t>Game.AddToInventory("Items.LegendaryKukriRecipe", 1)</t>
  </si>
  <si>
    <t>Game.AddToInventory("Items.CommonMacheteRecipe", 1)</t>
  </si>
  <si>
    <t>Game.AddToInventory("Items.UncommonMacheteRecipe", 1)</t>
  </si>
  <si>
    <t>Game.AddToInventory("Items.RareMacheteRecipe", 1)</t>
  </si>
  <si>
    <t>Game.AddToInventory("Items.EpicMacheteRecipe", 1)</t>
  </si>
  <si>
    <t>Game.AddToInventory("Items.LegendaryMacheteRecipe", 1)</t>
  </si>
  <si>
    <t>Game.AddToInventory("Items.CommonNeurotoxinKnifeRecipe", 1)</t>
  </si>
  <si>
    <t>Game.AddToInventory("Items.UncommonNeurotoxinKnifeRecipe", 1)</t>
  </si>
  <si>
    <t>Game.AddToInventory("Items.RareNeurotoxinKnifeRecipe", 1)</t>
  </si>
  <si>
    <t>Game.AddToInventory("Items.EpicNeurotoxinKnifeRecipe", 1)</t>
  </si>
  <si>
    <t>Game.AddToInventory("Items.LegendaryNeurotoxinKnifeRecipe", 1)</t>
  </si>
  <si>
    <t>Game.AddToInventory("Items.CommonPunkKnifeRecipe", 1)</t>
  </si>
  <si>
    <t>Game.AddToInventory("Items.UncommonPunkKnifeRecipe", 1)</t>
  </si>
  <si>
    <t>Game.AddToInventory("Items.RarePunkKnifeRecipe", 1)</t>
  </si>
  <si>
    <t>Game.AddToInventory("Items.EpicPunkKnifeRecipe", 1)</t>
  </si>
  <si>
    <t>Game.AddToInventory("Items.LegendaryPunkKnifeRecipe", 1)</t>
  </si>
  <si>
    <t>Game.AddToInventory("Items.CommonMacheteBorgRecipe", 1)</t>
  </si>
  <si>
    <t>Game.AddToInventory("Items.UncommonMacheteBorgRecipe", 1)</t>
  </si>
  <si>
    <t>Game.AddToInventory("Items.RareMacheteBorgRecipe", 1)</t>
  </si>
  <si>
    <t>Game.AddToInventory("Items.EpicMacheteBorgRecipe", 1)</t>
  </si>
  <si>
    <t>Game.AddToInventory("Items.LegendaryMacheteBorgRecipe", 1)</t>
  </si>
  <si>
    <t>Game.AddToInventory("Items.CommonTantoRecipe", 1)</t>
  </si>
  <si>
    <t>Game.AddToInventory("Items.UncommonTantoRecipe", 1)</t>
  </si>
  <si>
    <t>Game.AddToInventory("Items.RareTantoRecipe", 1)</t>
  </si>
  <si>
    <t>Game.AddToInventory("Items.EpicTantoRecipe", 1)</t>
  </si>
  <si>
    <t>Game.AddToInventory("Items.LegendaryTantoRecipe", 1)</t>
  </si>
  <si>
    <t>Game.AddToInventory("Items.CommonTomahawkRecipe", 1)</t>
  </si>
  <si>
    <t>Game.AddToInventory("Items.UncommonTomahawkRecipe", 1)</t>
  </si>
  <si>
    <t>Game.AddToInventory("Items.RareTomahawkRecipe", 1)</t>
  </si>
  <si>
    <t>Game.AddToInventory("Items.EpicTomahawkRecipe", 1)</t>
  </si>
  <si>
    <t>Game.AddToInventory("Items.LegendaryTomahawkRecipe", 1)</t>
  </si>
  <si>
    <t>Blunt</t>
  </si>
  <si>
    <t>Game.AddToInventory("Items.BluntMod3_Legendary_Recipe", 1)</t>
  </si>
  <si>
    <t>Game.AddToInventory("Items.BluntMod2_Uncommon_Recipe", 1)</t>
  </si>
  <si>
    <t>Game.AddToInventory("Items.BluntMod2_Rare_Recipe", 1)</t>
  </si>
  <si>
    <t>Game.AddToInventory("Items.BluntMod2_Epic_Recipe", 1)</t>
  </si>
  <si>
    <t>Game.AddToInventory("Items.BluntMod2_Legendary_Recipe", 1)</t>
  </si>
  <si>
    <t>Game.AddToInventory("Items.BluntMod1_Uncommon_Recipe", 1)</t>
  </si>
  <si>
    <t>Game.AddToInventory("Items.BluntMod1_Rare_Recipe", 1)</t>
  </si>
  <si>
    <t>Game.AddToInventory("Items.BluntMod1_Epic_Recipe", 1)</t>
  </si>
  <si>
    <t>Game.AddToInventory("Items.BluntMod1_Legendary_Recipe", 1)</t>
  </si>
  <si>
    <t>Game.AddToInventory("Items.CommonBatRecipe", 1)</t>
  </si>
  <si>
    <t>Game.AddToInventory("Items.UncommonBatRecipe", 1)</t>
  </si>
  <si>
    <t>Game.AddToInventory("Items.RareBatRecipe", 1)</t>
  </si>
  <si>
    <t>Game.AddToInventory("Items.EpicBatRecipe_2", 1)</t>
  </si>
  <si>
    <t>Game.AddToInventory("Items.EpicBatRecipe", 1)</t>
  </si>
  <si>
    <t>Game.AddToInventory("Items.LegendaryBatRecipe", 1)</t>
  </si>
  <si>
    <t>Game.AddToInventory("Items.CommonCrowbarRecipe", 1)</t>
  </si>
  <si>
    <t>Game.AddToInventory("Items.UncommonCrowbarRecipe", 1)</t>
  </si>
  <si>
    <t>Game.AddToInventory("Items.RareCrowbarRecipe", 1)</t>
  </si>
  <si>
    <t>Game.AddToInventory("Items.EpicCrowbarRecipe", 1)</t>
  </si>
  <si>
    <t>Game.AddToInventory("Items.LegendaryCrowbarRecipe", 1)</t>
  </si>
  <si>
    <t>Game.AddToInventory("Items.CommonBatonAlphaRecipe", 1)</t>
  </si>
  <si>
    <t>Game.AddToInventory("Items.UncommonBatonRecipe_2", 1)</t>
  </si>
  <si>
    <t>Game.AddToInventory("Items.UncommonBatonRecipe", 1)</t>
  </si>
  <si>
    <t>Game.AddToInventory("Items.RareBatonAlphaRecipe", 1)</t>
  </si>
  <si>
    <t>Game.AddToInventory("Items.EpicBatonAlphaRecipe", 1)</t>
  </si>
  <si>
    <t>Game.AddToInventory("Items.LegendaryBatonAlphaRecipe", 1)</t>
  </si>
  <si>
    <t>Game.AddToInventory("Items.CommonBatonBetaRecipe", 1)</t>
  </si>
  <si>
    <t>Game.AddToInventory("Items.UncommonBatonBetaRecipe", 1)</t>
  </si>
  <si>
    <t>Game.AddToInventory("Items.RareBatonBetaRecipe", 1)</t>
  </si>
  <si>
    <t>Game.AddToInventory("Items.EpicBatonBetaRecipe", 1)</t>
  </si>
  <si>
    <t>Game.AddToInventory("Items.LegendaryBatonBetaRecipe", 1)</t>
  </si>
  <si>
    <t>Game.AddToInventory("Items.CommonBatonGammaRecipe", 1)</t>
  </si>
  <si>
    <t>Game.AddToInventory("Items.UncommonBatonGammaRecipe", 1)</t>
  </si>
  <si>
    <t>Game.AddToInventory("Items.RareBatonGammaRecipe", 1)</t>
  </si>
  <si>
    <t>Game.AddToInventory("Items.EpicBatonGammaRecipe", 1)</t>
  </si>
  <si>
    <t>Game.AddToInventory("Items.LegendaryBatonGammaRecipe", 1)</t>
  </si>
  <si>
    <t>Game.AddToInventory("Items.CommonHammerRecipe", 1)</t>
  </si>
  <si>
    <t>Game.AddToInventory("Items.UncommonHammerRecipe", 1)</t>
  </si>
  <si>
    <t>Game.AddToInventory("Items.RareHammerRecipe", 1)</t>
  </si>
  <si>
    <t>Game.AddToInventory("Items.EpicHammerRecipe", 1)</t>
  </si>
  <si>
    <t>Game.AddToInventory("Items.LegendaryHammerRecipe", 1)</t>
  </si>
  <si>
    <t>Game.AddToInventory("Items.CommonKanaboRecipe", 1)</t>
  </si>
  <si>
    <t>Game.AddToInventory("Items.UncommonKanaboRecipe", 1)</t>
  </si>
  <si>
    <t>Game.AddToInventory("Items.RareKanaboRecipe", 1)</t>
  </si>
  <si>
    <t>Game.AddToInventory("Items.EpicKanaboRecipe", 1)</t>
  </si>
  <si>
    <t>Game.AddToInventory("Items.LegendaryKanaboRecipe", 1)</t>
  </si>
  <si>
    <t>Game.AddToInventory("Items.CommonPipeWrenchRecipe", 1)</t>
  </si>
  <si>
    <t>Game.AddToInventory("Items.UncommonPipeWrenchRecipe", 1)</t>
  </si>
  <si>
    <t>Game.AddToInventory("Items.RarePipeWrenchRecipe", 1)</t>
  </si>
  <si>
    <t>Game.AddToInventory("Items.LegendaryPipeWrenchRecipe", 1)</t>
  </si>
  <si>
    <t>Game.AddToInventory("Items.CommonIronPipeRecipe", 1)</t>
  </si>
  <si>
    <t>Game.AddToInventory("Items.UncommonIronPipeRecipe", 1)</t>
  </si>
  <si>
    <t>Game.AddToInventory("Items.RareIronPipeRecipe", 1)</t>
  </si>
  <si>
    <t>Game.AddToInventory("Items.EpicIronPipeRecipe", 1)</t>
  </si>
  <si>
    <t>Game.AddToInventory("Items.LegendaryIronPipeRecipe", 1)</t>
  </si>
  <si>
    <t>The Iron</t>
  </si>
  <si>
    <t>Game.AddToInventory("Items.CommonTireIronRecipe", 1)</t>
  </si>
  <si>
    <t>Game.AddToInventory("Items.UncommonTireIronRecipe", 1)</t>
  </si>
  <si>
    <t>Game.AddToInventory("Items.RareTireIronRecipe", 1)</t>
  </si>
  <si>
    <t>Game.AddToInventory("Items.EpicPipeWrenchRecipe", 1)</t>
  </si>
  <si>
    <t>Game.AddToInventory("Items.EpicTireIronRecipe", 1)</t>
  </si>
  <si>
    <t>Game.AddToInventory("Items.LegendaryTireIronRecipe", 1)</t>
  </si>
  <si>
    <t>Components</t>
  </si>
  <si>
    <t>Crafting Mats</t>
  </si>
  <si>
    <t>Materials - Cerberus’ Decoded Behavioral System Component (Read In The Console)</t>
  </si>
  <si>
    <t>if CerberusAdded then print(" \n\tRecipe already added... \n ") return end if not userWarned then print(" \n\t&lt;&lt;&lt; WARNING &gt;&gt;&gt; \n\t'' CERBERUS DECODED BEHAVIORAL SYSTEM COMPONENT '' \n\tThis IS NOT an existing recipe, I just made the script for convenience. \n \n\tIF YOU ARE REALLY SURE TO ADD IT, RE-ENTER THE COMMAND ONCE MORE. \n ") userWarned = true; else local CerberusID = "Items.Q305_Cerberus_core_cracked"; local CS = Game.GetScriptableSystemsContainer():Get('CraftingSystem'); local CB = CS:GetPlayerCraftBook(); CB:AddRecipe(CerberusID) print(" \n\tOK, Recipe Added.  -&gt;  "..CerberusID.." \n ") CerberusAdded = true; end;</t>
  </si>
  <si>
    <t>Materials - Militech Canto Mk.6</t>
  </si>
  <si>
    <t>Game.AddToInventory("Items.Recipe_Legendary_HauntedCyberdeck", 1)</t>
  </si>
  <si>
    <t>Materials - Erebus</t>
  </si>
  <si>
    <t>Game.AddToInventory("Items.Recipe_Legendary_Borg4a_HauntedGun", 1)</t>
  </si>
  <si>
    <t>Materials - Item Components</t>
  </si>
  <si>
    <t>Game.AddToInventory("Items.CommonMaterial1",5000)</t>
  </si>
  <si>
    <t>Game.AddToInventory("Items.UncommonMaterial1",5000)</t>
  </si>
  <si>
    <t>Game.AddToInventory("Items.RareMaterial1",5000)</t>
  </si>
  <si>
    <t>Game.AddToInventory("Items.EpicMaterial1",5000)</t>
  </si>
  <si>
    <t>Game.AddToInventory("Items.LegendaryMaterial1",5000)</t>
  </si>
  <si>
    <t>Materials - Quickhack Components</t>
  </si>
  <si>
    <t>Game.AddToInventory("Items.QuickHackUncommonMaterial1",5000)</t>
  </si>
  <si>
    <t>Game.AddToInventory("Items.QuickHackRareMaterial1",5000)</t>
  </si>
  <si>
    <t>Game.AddToInventory("Items.QuickHackEpicMaterial1",5000)</t>
  </si>
  <si>
    <t>Game.AddToInventory("Items.QuickHackLegendaryMaterial1",5000)</t>
  </si>
  <si>
    <t>Materials - Upgrade Components</t>
  </si>
  <si>
    <t>Game.AddToInventory("Items.RecipeUncommonCraftingMaterial", 1)</t>
  </si>
  <si>
    <t>Game.AddToInventory("Items.RecipeRareCraftingMaterial2", 1)</t>
  </si>
  <si>
    <t>Game.AddToInventory("Items.RecipeEpicCraftingMaterial2", 1)</t>
  </si>
  <si>
    <t>Game.AddToInventory("Items.RecipeLegendaryCraftingMaterial2", 1)</t>
  </si>
  <si>
    <t>Cyberware</t>
  </si>
  <si>
    <t>Armored Berserk</t>
  </si>
  <si>
    <t>Game.AddToInventory("Items.Recipe_BerserkFragment3", 1)</t>
  </si>
  <si>
    <t>Battery High Capacity</t>
  </si>
  <si>
    <t>Game.AddToInventory("Items.Recipe_HighChargedBattery", 1)</t>
  </si>
  <si>
    <t>Battery Low Capacity</t>
  </si>
  <si>
    <t>Game.AddToInventory("Items.Recipe_LowChargedBattery", 1)</t>
  </si>
  <si>
    <t>Battery Medium Capacity</t>
  </si>
  <si>
    <t>Game.AddToInventory("Items.Recipe_MediumChargedBattery", 1)</t>
  </si>
  <si>
    <t>Beast Mode</t>
  </si>
  <si>
    <t>Game.AddToInventory("Items.Recipe_AnimalsBerserkFragment1", 1)</t>
  </si>
  <si>
    <t>Blade Chemical</t>
  </si>
  <si>
    <t>Game.AddToInventory("Items.Recipe_ChemicalDamageEdge", 1)</t>
  </si>
  <si>
    <t>Blade Electric</t>
  </si>
  <si>
    <t>Game.AddToInventory("Items.Recipe_ElectricDamageEdge", 1)</t>
  </si>
  <si>
    <t>Blade Physical</t>
  </si>
  <si>
    <t>Game.AddToInventory("Items.Recipe_PhysicalDamageEdge", 1)</t>
  </si>
  <si>
    <t>Blade Thermal</t>
  </si>
  <si>
    <t>Game.AddToInventory("Items.Recipe_ThermalDamageEdge", 1)</t>
  </si>
  <si>
    <t>Bruising Berserk</t>
  </si>
  <si>
    <t>Game.AddToInventory("Items.Recipe_BerserkFragment4", 1)</t>
  </si>
  <si>
    <t>Chained Berserk</t>
  </si>
  <si>
    <t>Game.AddToInventory("Items.Recipe_BerserkFragment2", 1)</t>
  </si>
  <si>
    <t>Chemical Round</t>
  </si>
  <si>
    <t>Game.AddToInventory("Items.Recipe_ChemicalDamageRound", 1)</t>
  </si>
  <si>
    <t>Devastating Berserk</t>
  </si>
  <si>
    <t>Game.AddToInventory("Items.Recipe_BerserkFragment7", 1)</t>
  </si>
  <si>
    <t>Electrical Round</t>
  </si>
  <si>
    <t>Game.AddToInventory("Items.Recipe_ElectricDamageRound", 1)</t>
  </si>
  <si>
    <t>Explosive Analysis</t>
  </si>
  <si>
    <t>Game.AddToInventory("Items.Recipe_KiroshiOpticsFragment2", 1)</t>
  </si>
  <si>
    <t>Explosive Round</t>
  </si>
  <si>
    <t>Game.AddToInventory("Items.Recipe_ExplosiveDamageRound", 1)</t>
  </si>
  <si>
    <t>Extended Berserk</t>
  </si>
  <si>
    <t>Game.AddToInventory("Items.Recipe_BerserkFragment1", 1)</t>
  </si>
  <si>
    <t>Fast Rotor</t>
  </si>
  <si>
    <t>Game.AddToInventory("Items.Recipe_FastRotor", 1)</t>
  </si>
  <si>
    <t>Focused Berserk</t>
  </si>
  <si>
    <t>Game.AddToInventory("Items.Recipe_BerserkFragment5", 1)</t>
  </si>
  <si>
    <t>Invigorating Berserk</t>
  </si>
  <si>
    <t>Game.AddToInventory("Items.Recipe_BerserkFragment6", 1)</t>
  </si>
  <si>
    <t>Knuckles Chemical</t>
  </si>
  <si>
    <t>Game.AddToInventory("Items.Recipe_ChemicalDamageKnuckles", 1)</t>
  </si>
  <si>
    <t>Knuckles Electric</t>
  </si>
  <si>
    <t>Game.AddToInventory("Items.Recipe_ElectricDamageKnuckles", 1)</t>
  </si>
  <si>
    <t>Knuckles Physical</t>
  </si>
  <si>
    <t>Game.AddToInventory("Items.Recipe_PhysicalDamageKnuckles", 1)</t>
  </si>
  <si>
    <t>Knuckles Thermal</t>
  </si>
  <si>
    <t>Game.AddToInventory("Items.Recipe_ThermalDamageKnuckles", 1)</t>
  </si>
  <si>
    <t>Metal Plating</t>
  </si>
  <si>
    <t>Game.AddToInventory("Items.Recipe_MetalPlating", 1)</t>
  </si>
  <si>
    <t>Monowire Battery High Capacity</t>
  </si>
  <si>
    <t>Game.AddToInventory("Items.Recipe_HighChargedWiresBattery", 1)</t>
  </si>
  <si>
    <t>Monowire Battery Low Capacity</t>
  </si>
  <si>
    <t>Game.AddToInventory("Items.Recipe_LowChargedWiresBattery", 1)</t>
  </si>
  <si>
    <t>Monowire Battery Medium Capacity</t>
  </si>
  <si>
    <t>Game.AddToInventory("Items.Recipe_MediumChargedWiresBattery", 1)</t>
  </si>
  <si>
    <t>Monowire Chemical</t>
  </si>
  <si>
    <t>Game.AddToInventory("Items.Recipe_ChemicalDamageCable", 1)</t>
  </si>
  <si>
    <t>Monowire Electric</t>
  </si>
  <si>
    <t>Game.AddToInventory("Items.Recipe_ElectricDamageCable", 1)</t>
  </si>
  <si>
    <t>Monowire Physical</t>
  </si>
  <si>
    <t>Game.AddToInventory("Items.Recipe_PhysicalDamageCable", 1)</t>
  </si>
  <si>
    <t>Monowire Thermal</t>
  </si>
  <si>
    <t>Game.AddToInventory("Items.Recipe_ThermalDamageCable", 1)</t>
  </si>
  <si>
    <t>Neoplastic Plating</t>
  </si>
  <si>
    <t>Game.AddToInventory("Items.Recipe_NeoplasticPlating", 1)</t>
  </si>
  <si>
    <t>Sandevistan Arasaka Software</t>
  </si>
  <si>
    <t>Game.AddToInventory("Items.Recipe_ArasakaSandevistanFragment1", 1)</t>
  </si>
  <si>
    <t>Sandevistan Heatsink</t>
  </si>
  <si>
    <t>Game.AddToInventory("Items.Recipe_SandevistanFragment4", 1)</t>
  </si>
  <si>
    <t>Sandevistan Neurotransmitters</t>
  </si>
  <si>
    <t>Game.AddToInventory("Items.Recipe_SandevistanFragment3", 1)</t>
  </si>
  <si>
    <t>Sandevistan Overclocked Processor</t>
  </si>
  <si>
    <t>Game.AddToInventory("Items.Recipe_SandevistanFragment1", 1)</t>
  </si>
  <si>
    <t>Sandevistan Prototype Chip</t>
  </si>
  <si>
    <t>Game.AddToInventory("Items.Recipe_SandevistanFragment2", 1)</t>
  </si>
  <si>
    <t>Sandevistan Rabid Bull</t>
  </si>
  <si>
    <t>Game.AddToInventory("Items.Recipe_ValentinosSandevistanFragment1", 1)</t>
  </si>
  <si>
    <t>Sandevistan Tyger Paw</t>
  </si>
  <si>
    <t>Game.AddToInventory("Items.Recipe_TygerClawsSandevistanFragment1", 1)</t>
  </si>
  <si>
    <t>Sensory Amplifier</t>
  </si>
  <si>
    <t>Game.AddToInventory("Items.Recipe_ArmsCyberwareSharedFragment1", 1)</t>
  </si>
  <si>
    <t>Game.AddToInventory("Items.Recipe_ArmsCyberwareSharedFragment2", 1)</t>
  </si>
  <si>
    <t>Game.AddToInventory("Items.Recipe_ArmsCyberwareSharedFragment3", 1)</t>
  </si>
  <si>
    <t>Game.AddToInventory("Items.Recipe_ArmsCyberwareSharedFragment4", 1)</t>
  </si>
  <si>
    <t>Sharpened Berserk</t>
  </si>
  <si>
    <t>Game.AddToInventory("Items.Recipe_BerserkFragment8", 1)</t>
  </si>
  <si>
    <t>Slow Rotor</t>
  </si>
  <si>
    <t>Game.AddToInventory("Items.Recipe_SlowRotor", 1)</t>
  </si>
  <si>
    <t>Target Analysis</t>
  </si>
  <si>
    <t>Game.AddToInventory("Items.Recipe_KiroshiOpticsFragment1", 1)</t>
  </si>
  <si>
    <t>Game.AddToInventory("Items.Recipe_KiroshiOpticsFragment3", 1)</t>
  </si>
  <si>
    <t>Thermal Round</t>
  </si>
  <si>
    <t>Game.AddToInventory("Items.Recipe_ThermalDamageRound", 1)</t>
  </si>
  <si>
    <t>Threat Detector</t>
  </si>
  <si>
    <t>Game.AddToInventory("Items.Recipe_KiroshiOpticsFragment4", 1)</t>
  </si>
  <si>
    <t>Titanium Plating</t>
  </si>
  <si>
    <t>Game.AddToInventory("Items.Recipe_TitaniumPlating", 1)</t>
  </si>
  <si>
    <t>Trajectory Analysis</t>
  </si>
  <si>
    <t>Game.AddToInventory("Items.Recipe_KiroshiOpticsFragment5", 1)</t>
  </si>
  <si>
    <t>Db Shotgun</t>
  </si>
  <si>
    <t>Game.AddToInventory("Items.CommonSataraRecipe", 1)</t>
  </si>
  <si>
    <t>Game.AddToInventory("Items.UncommonSataraRecipe_2", 1)</t>
  </si>
  <si>
    <t>Game.AddToInventory("Items.UncommonSataraRecipe", 1)</t>
  </si>
  <si>
    <t>Game.AddToInventory("Items.RareSataraRecipe", 1)</t>
  </si>
  <si>
    <t>Game.AddToInventory("Items.EpicSataraRecipe", 1)</t>
  </si>
  <si>
    <t>Game.AddToInventory("Items.LegendarySataraRecipe", 1)</t>
  </si>
  <si>
    <t>Game.AddToInventory("Items.CommonTesteraRecipe", 1)</t>
  </si>
  <si>
    <t>Game.AddToInventory("Items.UncommonTesteraRecipe", 1)</t>
  </si>
  <si>
    <t>Game.AddToInventory("Items.RareTesteraRecipe", 1)</t>
  </si>
  <si>
    <t>Game.AddToInventory("Items.EpicTesteraRecipe", 1)</t>
  </si>
  <si>
    <t>Game.AddToInventory("Items.LegendaryTesteraRecipe", 1)</t>
  </si>
  <si>
    <t>Game.AddToInventory("Items.CommonIglaRecipe", 1)</t>
  </si>
  <si>
    <t>Game.AddToInventory("Items.UncommonIglaRecipe", 1)</t>
  </si>
  <si>
    <t>Game.AddToInventory("Items.RareIglaRecipe", 1)</t>
  </si>
  <si>
    <t>Game.AddToInventory("Items.EpicIglaRecipe", 1)</t>
  </si>
  <si>
    <t>Game.AddToInventory("Items.LegendaryIglaRecipe", 1)</t>
  </si>
  <si>
    <t>Game.AddToInventory("Items.CommonPalicaRecipe", 1)</t>
  </si>
  <si>
    <t>Game.AddToInventory("Items.UncommonPalicaRecipe", 1)</t>
  </si>
  <si>
    <t>Game.AddToInventory("Items.RarePalicaRecipe", 1)</t>
  </si>
  <si>
    <t>Game.AddToInventory("Items.EpicPalicaRecipe", 1)</t>
  </si>
  <si>
    <t>Game.AddToInventory("Items.LegendaryPalicaRecipe", 1)</t>
  </si>
  <si>
    <t>Game.AddToInventory("Items.Recipe_Common_Igla_Sovereign", 1)</t>
  </si>
  <si>
    <t>Game.AddToInventory("Items.Recipe_Uncommon_Igla_Sovereign", 1)</t>
  </si>
  <si>
    <t>Game.AddToInventory("Items.Recipe_Rare_Igla_Sovereign", 1)</t>
  </si>
  <si>
    <t>Game.AddToInventory("Items.Recipe_Epic_Igla_Sovereign", 1)</t>
  </si>
  <si>
    <t>Game.AddToInventory("Items.Recipe_Legendary_Igla_Sovereign", 1)</t>
  </si>
  <si>
    <t>Clothes</t>
  </si>
  <si>
    <t>Game.AddToInventory("Items.LegendaryTechRecipe", 1)</t>
  </si>
  <si>
    <t>Game.AddToInventory("Items.UncommonVisorRecipe", 1)</t>
  </si>
  <si>
    <t>Game.AddToInventory("Items.EpicGlassesRecipe", 1)</t>
  </si>
  <si>
    <t>Game.AddToInventory("Items.Recipe_Q005_Johnny_Glasses_Epic", 1)</t>
  </si>
  <si>
    <t>Game.AddToInventory("Items.Recipe_Q005_Johnny_Glasses_Legendary", 1)</t>
  </si>
  <si>
    <t>Game.AddToInventory("Items.UncommonTechRecipe", 1)</t>
  </si>
  <si>
    <t>Game.AddToInventory("Items.EpicMaskRecipe", 1)</t>
  </si>
  <si>
    <t>Game.AddToInventory("Items.UncommonMaskRecipe", 1)</t>
  </si>
  <si>
    <t>Game.AddToInventory("Items.RareGlassesRecipe", 1)</t>
  </si>
  <si>
    <t>Sun Spark Thermoset Infovisor</t>
  </si>
  <si>
    <t>Game.AddToInventory("Items.LegendaryVisorRecipe", 1)</t>
  </si>
  <si>
    <t>Syn-Leather Plastic Goggles</t>
  </si>
  <si>
    <t>Game.AddToInventory("Items.LegendaryGlassesRecipe", 1)</t>
  </si>
  <si>
    <t>Game.AddToInventory("Items.RareMaskRecipe", 1)</t>
  </si>
  <si>
    <t>Game.AddToInventory("Items.RareTechRecipe", 1)</t>
  </si>
  <si>
    <t>Game.AddToInventory("Items.EpicVisorRecipe", 1)</t>
  </si>
  <si>
    <t>Game.AddToInventory("Items.RareFormalShoesRecipe", 1)</t>
  </si>
  <si>
    <t>Classic Evening Pumps</t>
  </si>
  <si>
    <t>Game.AddToInventory("Items.UncommonFormalShoesRecipe", 1)</t>
  </si>
  <si>
    <t>Crystal Lyly Evening Pumps (Shoes) With Extra-Durable Soles</t>
  </si>
  <si>
    <t>Game.AddToInventory("Items.LegendaryFormalShoesRecipe", 1)</t>
  </si>
  <si>
    <t>Enhanced Daemon Hunter Tongues (Slip-On Sneakers)</t>
  </si>
  <si>
    <t>Game.AddToInventory("Items.LegendaryCasualShoesRecipe", 1)</t>
  </si>
  <si>
    <t>Game.AddToInventory("Items.RareBootsRecipe", 1)</t>
  </si>
  <si>
    <t>Game.AddToInventory("Items.EpicCasualShoesRecipe", 1)</t>
  </si>
  <si>
    <t>Game.AddToInventory("Items.Recipe_Q005_Johnny_Shoes_Epic", 1)</t>
  </si>
  <si>
    <t>Game.AddToInventory("Items.Recipe_Q005_Johnny_Shoes_Legendary", 1)</t>
  </si>
  <si>
    <t>Midday Glow Polycarbonate Formal Pumps (Dress Shoes)</t>
  </si>
  <si>
    <t>Game.AddToInventory("Items.EpicFormalShoesRecipe", 1)</t>
  </si>
  <si>
    <t>Game.AddToInventory("Items.LegendaryBootsRecipe", 1)</t>
  </si>
  <si>
    <t>Game.AddToInventory("Items.EpicBootsRecipe", 1)</t>
  </si>
  <si>
    <t>Game.AddToInventory("Items.UncommonBootsRecipe", 1)</t>
  </si>
  <si>
    <t>Game.AddToInventory("Items.RareCasualShoesRecipe", 1)</t>
  </si>
  <si>
    <t>Sunny Ammo Synt High-Hops</t>
  </si>
  <si>
    <t>Game.AddToInventory("Items.UncommonCasualShoesRecipe", 1)</t>
  </si>
  <si>
    <t>Game.AddToInventory("Items.RecipeGrenadeIncendiaryRare", 1)</t>
  </si>
  <si>
    <t>Game.AddToInventory("Items.RecipeGrenadeIncendiaryLegendary", 1)</t>
  </si>
  <si>
    <t>Char Incendiary Grenade [Homing]</t>
  </si>
  <si>
    <t>Game.AddToInventory("Items.RecipeGrenadeIncendiaryHoming", 1)</t>
  </si>
  <si>
    <t>Char Incendiary Grenade [Regular]</t>
  </si>
  <si>
    <t>Game.AddToInventory("Items.RecipeGrenadeIncendiaryRegular", 1)</t>
  </si>
  <si>
    <t>Char Incendiary Grenade [Sticky]</t>
  </si>
  <si>
    <t>Game.AddToInventory("Items.RecipeGrenadeIncendiarySticky", 1)</t>
  </si>
  <si>
    <t>Game.AddToInventory("Items.RecipeGrenadeEMPUncommon", 1)</t>
  </si>
  <si>
    <t>Game.AddToInventory("Items.RecipeGrenadeEMPRare", 1)</t>
  </si>
  <si>
    <t>Game.AddToInventory("Items.RecipeGrenadeEMPLegendary", 1)</t>
  </si>
  <si>
    <t>Emp Grenade [Homing]</t>
  </si>
  <si>
    <t>Game.AddToInventory("Items.RecipeGrenadeEMPHoming", 1)</t>
  </si>
  <si>
    <t>Emp Grenade [Regular]</t>
  </si>
  <si>
    <t>Game.AddToInventory("Items.RecipeGrenadeEMPRegular", 1)</t>
  </si>
  <si>
    <t>Emp Grenade [Sticky]</t>
  </si>
  <si>
    <t>Game.AddToInventory("Items.RecipeGrenadeEMPSticky", 1)</t>
  </si>
  <si>
    <t>Game.AddToInventory("Items.RecipeGrenadeFragUncommon", 1)</t>
  </si>
  <si>
    <t>Game.AddToInventory("Items.RecipeGrenadeFragEpic", 1)</t>
  </si>
  <si>
    <t>F-Gx Frag Grenade [Homing]</t>
  </si>
  <si>
    <t>Game.AddToInventory("Items.RecipeGrenadeFragHoming", 1)</t>
  </si>
  <si>
    <t>F-Gx Frag Grenade [Regular]</t>
  </si>
  <si>
    <t>Game.AddToInventory("Items.RecipeGrenadeFragRegular", 1)</t>
  </si>
  <si>
    <t>F-Gx Frag Grenade [Sticky]</t>
  </si>
  <si>
    <t>Game.AddToInventory("Items.RecipeGrenadeFragSticky", 1)</t>
  </si>
  <si>
    <t>Gash "Antipersonnel" Grenade</t>
  </si>
  <si>
    <t>Game.AddToInventory("Items.RecipeGrenadeCuttingRegular", 1)</t>
  </si>
  <si>
    <t>Molodets Bio Grenade [Homing]</t>
  </si>
  <si>
    <t>Game.AddToInventory("Items.RecipeGrenadeBiohazardHoming", 1)</t>
  </si>
  <si>
    <t>Molodets Bio Grenade [Regular]</t>
  </si>
  <si>
    <t>Game.AddToInventory("Items.RecipeGrenadeBiohazardRegular", 1)</t>
  </si>
  <si>
    <t>Game.AddToInventory("Items.RecipeGrenadeBiohazardLegendary", 1)</t>
  </si>
  <si>
    <t>Ozob's Nose [Regular]</t>
  </si>
  <si>
    <t>Game.AddToInventory("Items.RecipeGrenadeOzobsNose", 1)</t>
  </si>
  <si>
    <t>Game.AddToInventory("Items.RecipeGrenadeReconRare", 1)</t>
  </si>
  <si>
    <t>Game.AddToInventory("Items.RecipeGrenadeReconLegendary", 1)</t>
  </si>
  <si>
    <t>Recon Grenade [Regular]</t>
  </si>
  <si>
    <t>Game.AddToInventory("Items.RecipeGrenadeReconRegular", 1)</t>
  </si>
  <si>
    <t>Recon Grenade [Sticky]</t>
  </si>
  <si>
    <t>Game.AddToInventory("Items.RecipeGrenadeReconSticky", 1)</t>
  </si>
  <si>
    <t>Game.AddToInventory("Items.RecipeGrenadeSmokeRegular", 1)</t>
  </si>
  <si>
    <t>Game.AddToInventory("Items.RecipeGrenadeSmokeRare", 1)</t>
  </si>
  <si>
    <t>Game.AddToInventory("Items.RecipeGrenadeSmokeEpic", 1)</t>
  </si>
  <si>
    <t>Game.AddToInventory("Items.RecipeGrenadeSmokeLegendary", 1)</t>
  </si>
  <si>
    <t>X-22 Flashbang [Homing]</t>
  </si>
  <si>
    <t>Game.AddToInventory("Items.RecipeGrenadeFlashHoming", 1)</t>
  </si>
  <si>
    <t>X-22 Flashbang [Regular]</t>
  </si>
  <si>
    <t>Game.AddToInventory("Items.RecipeGrenadeFlashRegular", 1)</t>
  </si>
  <si>
    <t>Game.AddToInventory("Items.RecipeGrenadeFlashUncommon", 1)</t>
  </si>
  <si>
    <t>Game.AddToInventory("Items.RecipeGrenadeFlashEpic", 1)</t>
  </si>
  <si>
    <t>Game.AddToInventory("Items.RecipeGrenadeFlashLegendary", 1)</t>
  </si>
  <si>
    <t>Boss Mafioso Tribly</t>
  </si>
  <si>
    <t>Game.AddToInventory("Items.EpicHatRecipe", 1)</t>
  </si>
  <si>
    <t>Game.AddToInventory("Items.UncommonCapRecipe", 1)</t>
  </si>
  <si>
    <t>Game.AddToInventory("Items.UncommonBalaclavaRecipe", 1)</t>
  </si>
  <si>
    <t>Game.AddToInventory("Items.LegendaryCapRecipe", 1)</t>
  </si>
  <si>
    <t>Game.AddToInventory("Items.UncommonHelmetRecipe", 1)</t>
  </si>
  <si>
    <t>Graffiti Thermoset Syn-Weave Hijab (Keffiyeh)</t>
  </si>
  <si>
    <t>Game.AddToInventory("Items.EpicScarfRecipe", 1)</t>
  </si>
  <si>
    <t>Game.AddToInventory("Items.EpicHelmetRecipe", 1)</t>
  </si>
  <si>
    <t>Game.AddToInventory("Items.LegendaryHatRecipe", 1)</t>
  </si>
  <si>
    <t>Game.AddToInventory("Items.LegendaryScarfRecipe", 1)</t>
  </si>
  <si>
    <t>Game.AddToInventory("Items.RareHelmetRecipe", 1)</t>
  </si>
  <si>
    <t>Game.AddToInventory("Items.EpicCapRecipe", 1)</t>
  </si>
  <si>
    <t>Game.AddToInventory("Items.RareScarfRecipe", 1)</t>
  </si>
  <si>
    <t>Game.AddToInventory("Items.RareHatRecipe", 1)</t>
  </si>
  <si>
    <t>Game.AddToInventory("Items.Recipe_Preset_Overture_Cassidy_Legendary", 1)</t>
  </si>
  <si>
    <t>Game.AddToInventory("Items.Recipe_Preset_Kenshin_Frank_Legendary", 1)</t>
  </si>
  <si>
    <t>Game.AddToInventory("Items.Recipe_Preset_Overture_Kerry_Epic", 1)</t>
  </si>
  <si>
    <t>Game.AddToInventory("Items.Recipe_Preset_Overture_Kerry_Legendary", 1)</t>
  </si>
  <si>
    <t>Game.AddToInventory("Items.Recipe_Preset_Zhuo_Eight_Star", 1)</t>
  </si>
  <si>
    <t>Game.AddToInventory("Items.Recipe_Preset_Nekomata_Breakthrough", 1)</t>
  </si>
  <si>
    <t>Game.AddToInventory("Items.Recipe_Preset_Nekomata_Breakthrough_Legendary", 1)</t>
  </si>
  <si>
    <t>Game.AddToInventory("Items.Recipe_Preset_Pulsar_Buzzsaw", 1)</t>
  </si>
  <si>
    <t>Game.AddToInventory("Items.Recipe_Preset_Pulsar_Buzzsaw_Epic", 1)</t>
  </si>
  <si>
    <t>Game.AddToInventory("Items.Recipe_Preset_Pulsar_Buzzsaw_Legendary", 1)</t>
  </si>
  <si>
    <t>Game.AddToInventory("Items.Recipe_Preset_Kenshin_Royce_Epic", 1)</t>
  </si>
  <si>
    <t>Game.AddToInventory("Items.Recipe_Preset_Kenshin_Royce_Legendary", 1)</t>
  </si>
  <si>
    <t>Game.AddToInventory("Items.Recipe_Preset_Katana_Cocktail_Epic", 1)</t>
  </si>
  <si>
    <t>Game.AddToInventory("Items.Recipe_Preset_Katana_Cocktail_Legendary", 1)</t>
  </si>
  <si>
    <t>Game.AddToInventory("Items.Recipe_Preset_Burya_Comrade", 1)</t>
  </si>
  <si>
    <t>Game.AddToInventory("Items.Recipe_Preset_Burya_Comrade_Legendary", 1)</t>
  </si>
  <si>
    <t>Game.AddToInventory("Items.Recipe_Preset_Cane_Fingers_Epic", 1)</t>
  </si>
  <si>
    <t>Game.AddToInventory("Items.Recipe_Preset_Cane_Fingers_Legendary", 1)</t>
  </si>
  <si>
    <t>Game.AddToInventory("Items.Recipe_Preset_Overture_River_Legendary", 1)</t>
  </si>
  <si>
    <t>Game.AddToInventory("Items.Recipe_Preset_Nue_Maiko_Epic", 1)</t>
  </si>
  <si>
    <t>Game.AddToInventory("Items.Recipe_Preset_Nue_Maiko_Legendary", 1)</t>
  </si>
  <si>
    <t>Game.AddToInventory("Items.Recipe_Preset_Sidewinder_Divided_Epic", 1)</t>
  </si>
  <si>
    <t>Game.AddToInventory("Items.Recipe_Preset_Sidewinder_Divided_Legendary", 1)</t>
  </si>
  <si>
    <t>Game.AddToInventory("Items.Recipe_Preset_Nova_Doom_Doom_Epic", 1)</t>
  </si>
  <si>
    <t>Game.AddToInventory("Items.Recipe_Preset_Nova_Doom_Doom_Legendary", 1)</t>
  </si>
  <si>
    <t>Game.AddToInventory("Items.Recipe_Preset_Lexington_Wilson_Rare", 1)</t>
  </si>
  <si>
    <t>Game.AddToInventory("Items.Recipe_Preset_Lexington_Wilson_Epic", 1)</t>
  </si>
  <si>
    <t>Game.AddToInventory("Items.Recipe_Preset_Lexington_Wilson_Legendary", 1)</t>
  </si>
  <si>
    <t>Game.AddToInventory("Items.Recipe_Preset_Saratoga_Maelstrom_Epic", 1)</t>
  </si>
  <si>
    <t>Game.AddToInventory("Items.Recipe_Preset_Saratoga_Maelstrom_Legendary", 1)</t>
  </si>
  <si>
    <t>Game.AddToInventory("Items.Recipe_Preset_Yukimura_Kiji_Legendary", 1)</t>
  </si>
  <si>
    <t>Game.AddToInventory("Items.Recipe_Preset_Baseball_Bat_Denny_Epic", 1)</t>
  </si>
  <si>
    <t>Game.AddToInventory("Items.Recipe_Preset_Baseball_Bat_Denny_Legendary", 1)</t>
  </si>
  <si>
    <t>Game.AddToInventory("Items.Recipe_Preset_Katana_Takemura_Legendary", 1)</t>
  </si>
  <si>
    <t>Game.AddToInventory("Items.Recipe_Preset_Liberty_Yorinobu_Epic", 1)</t>
  </si>
  <si>
    <t>Game.AddToInventory("Items.Recipe_Preset_Liberty_Yorinobu_Legendary", 1)</t>
  </si>
  <si>
    <t>Game.AddToInventory("Items.Recipe_Preset_Nue_Jackie_Epic", 1)</t>
  </si>
  <si>
    <t>Game.AddToInventory("Items.Recipe_Preset_Nue_Jackie_Legendary", 1)</t>
  </si>
  <si>
    <t>Game.AddToInventory("Items.Recipe_Preset_Omaha_Suzie_Epic", 1)</t>
  </si>
  <si>
    <t>Game.AddToInventory("Items.Recipe_Preset_Omaha_Suzie_Legendary", 1)</t>
  </si>
  <si>
    <t>Game.AddToInventory("Items.Recipe_Preset_Ajax_Moron", 1)</t>
  </si>
  <si>
    <t>Game.AddToInventory("Items.Recipe_Preset_Ajax_Moron_Legendary", 1)</t>
  </si>
  <si>
    <t>Game.AddToInventory("Items.Recipe_Preset_Carnage_Mox_Epic", 1)</t>
  </si>
  <si>
    <t>Game.AddToInventory("Items.Recipe_Preset_Carnage_Mox_Legendary", 1)</t>
  </si>
  <si>
    <t>Game.AddToInventory("Items.Recipe_Preset_Grad_Buck_Legendary", 1)</t>
  </si>
  <si>
    <t>Game.AddToInventory("Items.Recipe_Preset_Grad_Panam", 1)</t>
  </si>
  <si>
    <t>Game.AddToInventory("Items.Recipe_Preset_Grad_Panam_Epic", 1)</t>
  </si>
  <si>
    <t>Game.AddToInventory("Items.Recipe_Preset_Grad_Panam_Legendary", 1)</t>
  </si>
  <si>
    <t>Game.AddToInventory("Items.Recipe_Preset_Liberty_Dex_Epic", 1)</t>
  </si>
  <si>
    <t>Game.AddToInventory("Items.Recipe_Preset_Liberty_Dex_Legendary", 1)</t>
  </si>
  <si>
    <t>Game.AddToInventory("Items.Recipe_Preset_Saratoga_Raffen_Epic", 1)</t>
  </si>
  <si>
    <t>Game.AddToInventory("Items.Recipe_Preset_Saratoga_Raffen_Legendary", 1)</t>
  </si>
  <si>
    <t>Psalm 11:16</t>
  </si>
  <si>
    <t>Game.AddToInventory("Items.Recipe_Preset_Copperhead_Genesis", 1)</t>
  </si>
  <si>
    <t>Game.AddToInventory("Items.Recipe_Preset_Copperhead_Genesis_Epic", 1)</t>
  </si>
  <si>
    <t>Game.AddToInventory("Items.Recipe_Preset_Copperhead_Genesis_Legendary", 1)</t>
  </si>
  <si>
    <t>Game.AddToInventory("Items.Recipe_Preset_Katana_Saburo_Epic", 1)</t>
  </si>
  <si>
    <t>Game.AddToInventory("Items.Recipe_Preset_Katana_Saburo_Legendary", 1)</t>
  </si>
  <si>
    <t>Game.AddToInventory("Items.Recipe_Preset_Katana_Surgeon_Epic", 1)</t>
  </si>
  <si>
    <t>Game.AddToInventory("Items.Recipe_Preset_Katana_Surgeon_Legendary", 1)</t>
  </si>
  <si>
    <t>Game.AddToInventory("Items.Recipe_Preset_Dildo_Stout_Epic", 1)</t>
  </si>
  <si>
    <t>Game.AddToInventory("Items.Recipe_Preset_Dildo_Stout_Legendary", 1)</t>
  </si>
  <si>
    <t>Game.AddToInventory("Items.Recipe_Preset_Igla_Sovereign", 1)</t>
  </si>
  <si>
    <t>Game.AddToInventory("Items.Recipe_Preset_Igla_Sovereign_Legendary", 1)</t>
  </si>
  <si>
    <t>Game.AddToInventory("Items.Recipe_Preset_Knife_Stinger_Epic", 1)</t>
  </si>
  <si>
    <t>Game.AddToInventory("Items.Recipe_Preset_Knife_Stinger_Legendary", 1)</t>
  </si>
  <si>
    <t>Game.AddToInventory("Items.Recipe_Preset_Tactician_Headsman", 1)</t>
  </si>
  <si>
    <t>Game.AddToInventory("Items.Recipe_Preset_Tactician_Headsman_Legendary", 1)</t>
  </si>
  <si>
    <t>Game.AddToInventory("Items.Recipe_Preset_Baton_Tinker_Bell_Epic", 1)</t>
  </si>
  <si>
    <t>Game.AddToInventory("Items.Recipe_Preset_Baton_Tinker_Bell_Legendary", 1)</t>
  </si>
  <si>
    <t>Game.AddToInventory("Items.Recipe_Preset_Katana_Hiromi_Epic", 1)</t>
  </si>
  <si>
    <t>Game.AddToInventory("Items.Recipe_Preset_Katana_Hiromi_Legendary", 1)</t>
  </si>
  <si>
    <t>Game.AddToInventory("Items.Recipe_Preset_Achilles_Nash_Epic", 1)</t>
  </si>
  <si>
    <t>Game.AddToInventory("Items.Recipe_Preset_Achilles_Nash_Legendary", 1)</t>
  </si>
  <si>
    <t>Game.AddToInventory("Items.Recipe_Preset_Dian_Yinglong", 1)</t>
  </si>
  <si>
    <t>Aqua Universe Luxe Aramid Weave Shirt</t>
  </si>
  <si>
    <t>Game.AddToInventory("Items.EpicLooseShirtRecipe", 1)</t>
  </si>
  <si>
    <t>Game.AddToInventory("Items.LegendaryShirtRecipe", 1)</t>
  </si>
  <si>
    <t>Game.AddToInventory("Items.LegendaryTShirtRecipe", 1)</t>
  </si>
  <si>
    <t>Galaxy Tshirt</t>
  </si>
  <si>
    <t>Game.AddToInventory("Items.Recipe_GOG_Galaxy_TShirt_Epic", 1)</t>
  </si>
  <si>
    <t>Game.AddToInventory("Items.Recipe_GOG_Galaxy_TShirt_Legendary", 1)</t>
  </si>
  <si>
    <t>Game.AddToInventory("Items.Recipe_GOG_Galaxy_TShirt", 1)</t>
  </si>
  <si>
    <t>Game.AddToInventory("Items.UncommonShirtLooseRecipe", 1)</t>
  </si>
  <si>
    <t>Game.AddToInventory("Items.Recipe_Q005_Johnny_Shirt_Epic", 1)</t>
  </si>
  <si>
    <t>Game.AddToInventory("Items.Recipe_Q005_Johnny_Shirt_Legendary", 1)</t>
  </si>
  <si>
    <t>Game.AddToInventory("Items.LegendaryJumpsuitRecipe", 1)</t>
  </si>
  <si>
    <t>Game.AddToInventory("Items.EpicUndershirtRecipe", 1)</t>
  </si>
  <si>
    <t>Game.AddToInventory("Items.EpicFormalShirtRecipe", 1)</t>
  </si>
  <si>
    <t>Game.AddToInventory("Items.RareShirtRecipe", 1)</t>
  </si>
  <si>
    <t>Game.AddToInventory("Items.RareTShirtRecipe", 1)</t>
  </si>
  <si>
    <t>Red Alert Anti Surge-Netrunning Suit</t>
  </si>
  <si>
    <t>Game.AddToInventory("Items.LegendaryTightJumpsuitRecipe", 1)</t>
  </si>
  <si>
    <t>Game.AddToInventory("Items.UncommonFormalShirtRecipe", 1)</t>
  </si>
  <si>
    <t>Game.AddToInventory("Items.UncommonShirtRecipe", 1)</t>
  </si>
  <si>
    <t>Game.AddToInventory("Items.UncommonUndershirtRecipe", 1)</t>
  </si>
  <si>
    <t>Stylish Atomc Blast Composite Bustier</t>
  </si>
  <si>
    <t>Game.AddToInventory("Items.RareUndershirtRecipe", 1)</t>
  </si>
  <si>
    <t>Game.AddToInventory("Items.EpicTShirtRecipe", 1)</t>
  </si>
  <si>
    <t>Wolf School Shirt</t>
  </si>
  <si>
    <t>Game.AddToInventory("Items.Recipe_GOG_DLC_TShirt_Epic", 1)</t>
  </si>
  <si>
    <t>Game.AddToInventory("Items.Recipe_GOG_DLC_TShirt_Legendary", 1)</t>
  </si>
  <si>
    <t>Game.AddToInventory("Items.Recipe_GOG_DLC_TShirt", 1)</t>
  </si>
  <si>
    <t>Bai Long Formal Pants</t>
  </si>
  <si>
    <t>Game.AddToInventory("Items.RareFormalPantsRecipe", 1)</t>
  </si>
  <si>
    <t>Blue Brick Hotpants</t>
  </si>
  <si>
    <t>Game.AddToInventory("Items.EpicShortsRecipe", 1)</t>
  </si>
  <si>
    <t>Chick Pink Dragon Skirt</t>
  </si>
  <si>
    <t>Game.AddToInventory("Items.LegendaryFormalSkirtRecipe", 1)</t>
  </si>
  <si>
    <t>Classic Arami-Weave Denim Shorts</t>
  </si>
  <si>
    <t>Game.AddToInventory("Items.RareShortsRecipe", 1)</t>
  </si>
  <si>
    <t>Game.AddToInventory("Items.LegendaryShortsRecipe", 1)</t>
  </si>
  <si>
    <t>Game.AddToInventory("Items.UncommonPantsRecipe", 1)</t>
  </si>
  <si>
    <t>Game.AddToInventory("Items.EpicPantsRecipe", 1)</t>
  </si>
  <si>
    <t>Game.AddToInventory("Items.LegendaryPantsRecipe", 1)</t>
  </si>
  <si>
    <t>Game.AddToInventory("Items.UncommonFormalSkirtRecipe", 1)</t>
  </si>
  <si>
    <t>Game.AddToInventory("Items.EpicFormalSkirtRecipe", 1)</t>
  </si>
  <si>
    <t>Game.AddToInventory("Items.Recipe_Q005_Johnny_Pants_Epic", 1)</t>
  </si>
  <si>
    <t>Game.AddToInventory("Items.Recipe_Q005_Johnny_Pants_Legendary", 1)</t>
  </si>
  <si>
    <t>Game.AddToInventory("Items.UncommonFormalPantsRecipe", 1)</t>
  </si>
  <si>
    <t>Game.AddToInventory("Items.LegendaryFormalPantsRecipe", 1)</t>
  </si>
  <si>
    <t>Game.AddToInventory("Items.RarePantsRecipe", 1)</t>
  </si>
  <si>
    <t>Lmg</t>
  </si>
  <si>
    <t>Game.AddToInventory("Items.CommonDefenderRecipe", 1)</t>
  </si>
  <si>
    <t>Game.AddToInventory("Items.UncommonDefenderRecipe", 1)</t>
  </si>
  <si>
    <t>Game.AddToInventory("Items.RareDefenderRecipe", 1)</t>
  </si>
  <si>
    <t>Game.AddToInventory("Items.EpicDefenderRecipe", 1)</t>
  </si>
  <si>
    <t>Game.AddToInventory("Items.LegendaryDefenderRecipe", 1)</t>
  </si>
  <si>
    <t>Game.AddToInventory("Items.CommonMA70Recipe", 1)</t>
  </si>
  <si>
    <t>Game.AddToInventory("Items.UncommonMA70Recipe", 1)</t>
  </si>
  <si>
    <t>Game.AddToInventory("Items.RareMA70Recipe", 1)</t>
  </si>
  <si>
    <t>Game.AddToInventory("Items.EpicMA70Recipe", 1)</t>
  </si>
  <si>
    <t>Game.AddToInventory("Items.LegendaryMA70Recipe", 1)</t>
  </si>
  <si>
    <t>Consumable</t>
  </si>
  <si>
    <t>Meds</t>
  </si>
  <si>
    <t>Bounce Back Mk.2</t>
  </si>
  <si>
    <t>Game.AddToInventory("Items.RecipeBonesMcCoy70VUncommon", 1)</t>
  </si>
  <si>
    <t>Bounce Back Mk.4</t>
  </si>
  <si>
    <t>Game.AddToInventory("Items.RecipeBonesMcCoy70VEpic", 1)</t>
  </si>
  <si>
    <t>Bounceback Mk.I</t>
  </si>
  <si>
    <t>Game.AddToInventory("Items.RecipeBonesMcCoy70V0", 1)</t>
  </si>
  <si>
    <t>Bounceback Mk.Iii</t>
  </si>
  <si>
    <t>Game.AddToInventory("Items.RecipeBonesMcCoy70V1", 1)</t>
  </si>
  <si>
    <t>Game.AddToInventory("Items.RecipeBonesMcCoy70V2", 1)</t>
  </si>
  <si>
    <t>Capacity Booster</t>
  </si>
  <si>
    <t>Game.AddToInventory("Items.RecipeCarryCapacityBooster", 1)</t>
  </si>
  <si>
    <t>Health Booster</t>
  </si>
  <si>
    <t>Game.AddToInventory("Items.RecipeHealthBooster", 1)</t>
  </si>
  <si>
    <t>Maxdoc Mk.2</t>
  </si>
  <si>
    <t>Game.AddToInventory("Items.RecipeFirstAidWhiffVUncommon", 1)</t>
  </si>
  <si>
    <t>Maxdoc Mk.4</t>
  </si>
  <si>
    <t>Game.AddToInventory("Items.RecipeFirstAidWhiffVEpic", 1)</t>
  </si>
  <si>
    <t>Maxdoc Mk.I</t>
  </si>
  <si>
    <t>Game.AddToInventory("Items.RecipeFirstAidWhiffV0", 1)</t>
  </si>
  <si>
    <t>Maxdoc Mk.Ii</t>
  </si>
  <si>
    <t>Game.AddToInventory("Items.RecipeFirstAidWhiffV1", 1)</t>
  </si>
  <si>
    <t>Maxdoc Mk.Iii</t>
  </si>
  <si>
    <t>Game.AddToInventory("Items.RecipeFirstAidWhiffV2", 1)</t>
  </si>
  <si>
    <t>Oxy Booster</t>
  </si>
  <si>
    <t>Game.AddToInventory("Items.RecipeOxyBooster", 1)</t>
  </si>
  <si>
    <t>Ram Jolt</t>
  </si>
  <si>
    <t>Game.AddToInventory("Items.RecipeMemoryBooster", 1)</t>
  </si>
  <si>
    <t>Stamina Booster</t>
  </si>
  <si>
    <t>Game.AddToInventory("Items.RecipeStaminaBooster", 1)</t>
  </si>
  <si>
    <t>Melee</t>
  </si>
  <si>
    <t>Game.AddToInventory("Items.MeleeMod1_Uncommon_Recipe", 1)</t>
  </si>
  <si>
    <t>Game.AddToInventory("Items.MeleeMod1_Rare_Recipe", 1)</t>
  </si>
  <si>
    <t>Game.AddToInventory("Items.MeleeMod1_Epic_Recipe", 1)</t>
  </si>
  <si>
    <t>Game.AddToInventory("Items.MeleeMod1_Legendary_Recipe", 1)</t>
  </si>
  <si>
    <t>Game.AddToInventory("Items.MeleeMod2_Uncommon_Recipe", 1)</t>
  </si>
  <si>
    <t>Game.AddToInventory("Items.MeleeMod2_Rare_Recipe", 1)</t>
  </si>
  <si>
    <t>Game.AddToInventory("Items.MeleeMod2_Epic_Recipe", 1)</t>
  </si>
  <si>
    <t>Game.AddToInventory("Items.MeleeMod2_Legendary_Recipe", 1)</t>
  </si>
  <si>
    <t>Severance</t>
  </si>
  <si>
    <t>Game.AddToInventory("Items.ChimeraMeleeMod_Recipe", 1)</t>
  </si>
  <si>
    <t>Game.AddToInventory("Items.MeleeMod3_Uncommon_Recipe", 1)</t>
  </si>
  <si>
    <t>Game.AddToInventory("Items.MeleeMod3_Rare_Recipe", 1)</t>
  </si>
  <si>
    <t>Game.AddToInventory("Items.MeleeMod3_Epic_Recipe", 1)</t>
  </si>
  <si>
    <t>Game.AddToInventory("Items.MeleeMod3_Legendary_Recipe", 1)</t>
  </si>
  <si>
    <t>Operative System</t>
  </si>
  <si>
    <t>Game.AddToInventory("Items.Recipe_HauntedCyberdeck", 1)</t>
  </si>
  <si>
    <t>Game.AddToInventory("Items.Recipe_Rare_HauntedCyberdeck", 1)</t>
  </si>
  <si>
    <t>Game.AddToInventory("Items.Recipe_Epic_HauntedCyberdeck", 1)</t>
  </si>
  <si>
    <t>5hi3ld Superb Breastplate</t>
  </si>
  <si>
    <t>Game.AddToInventory("Items.UncommonVestRecipe", 1)</t>
  </si>
  <si>
    <t>Game.AddToInventory("Items.EpicFormalJacketRecipe", 1)</t>
  </si>
  <si>
    <t>Game.AddToInventory("Items.LegendaryJacketRecipe", 1)</t>
  </si>
  <si>
    <t>Game.AddToInventory("Items.RareJacketRecipe", 1)</t>
  </si>
  <si>
    <t>Game.AddToInventory("Items.RareFormalJacketRecipe", 1)</t>
  </si>
  <si>
    <t>Green Viper Double Nanoweave Pencil Dress</t>
  </si>
  <si>
    <t>Game.AddToInventory("Items.UncommonDressRecipe", 1)</t>
  </si>
  <si>
    <t>Game.AddToInventory("Items.UncommonJacketRecipe", 1)</t>
  </si>
  <si>
    <t>Game.AddToInventory("Items.Recipe_Jacket_19_basic_04_DLC_Epic", 1)</t>
  </si>
  <si>
    <t>Game.AddToInventory("Items.Recipe_Jacket_19_basic_04_DLC_Legendary", 1)</t>
  </si>
  <si>
    <t>Game.AddToInventory("Items.Recipe_Jacket_19_basic_04_DLC", 1)</t>
  </si>
  <si>
    <t>Game.AddToInventory("Items.RareCoatRecipe", 1)</t>
  </si>
  <si>
    <t>Game.AddToInventory("Items.Recipe_Jacket_20_basic_01_DLC_Epic", 1)</t>
  </si>
  <si>
    <t>Game.AddToInventory("Items.Recipe_Jacket_20_basic_01_DLC_Legendary", 1)</t>
  </si>
  <si>
    <t>Game.AddToInventory("Items.Recipe_Jacket_20_basic_01_DLC", 1)</t>
  </si>
  <si>
    <t>Polycarbonate Westen Fringe Vest</t>
  </si>
  <si>
    <t>Game.AddToInventory("Items.RareVestRecipe", 1)</t>
  </si>
  <si>
    <t>Game.AddToInventory("Items.Recipe_SQ031_Samurai_Jacket_Epic", 1)</t>
  </si>
  <si>
    <t>Game.AddToInventory("Items.Recipe_SQ031_Samurai_Jacket_Legendary", 1)</t>
  </si>
  <si>
    <t>Game.AddToInventory("Items.LegendaryVestRecipe", 1)</t>
  </si>
  <si>
    <t>Game.AddToInventory("Items.EpicCoatRecipe", 1)</t>
  </si>
  <si>
    <t>Game.AddToInventory("Items.Recipe_GOG_DLC_Jacket", 1)</t>
  </si>
  <si>
    <t>Game.AddToInventory("Items.Recipe_GOG_DLC_Jacket_Epic", 1)</t>
  </si>
  <si>
    <t>Game.AddToInventory("Items.Recipe_GOG_DLC_Jacket_Legendary", 1)</t>
  </si>
  <si>
    <t>Pistol</t>
  </si>
  <si>
    <t>Game.AddToInventory("Items.CommonChaoRecipe", 1)</t>
  </si>
  <si>
    <t>Game.AddToInventory("Items.UncommonChaoRecipe", 1)</t>
  </si>
  <si>
    <t>Game.AddToInventory("Items.RareChaoRecipe", 1)</t>
  </si>
  <si>
    <t>Game.AddToInventory("Items.EpicChaoRecipe", 1)</t>
  </si>
  <si>
    <t>Game.AddToInventory("Items.LegendaryChaoRecipe", 1)</t>
  </si>
  <si>
    <t>Game.AddToInventory("Items.CommonGritRecipe", 1)</t>
  </si>
  <si>
    <t>Game.AddToInventory("Items.UncommonGritRecipe", 1)</t>
  </si>
  <si>
    <t>Game.AddToInventory("Items.RareGritRecipe", 1)</t>
  </si>
  <si>
    <t>Game.AddToInventory("Items.EpicGritRecipe", 1)</t>
  </si>
  <si>
    <t>Game.AddToInventory("Items.LegendaryGritRecipe", 1)</t>
  </si>
  <si>
    <t>Game.AddToInventory("Items.CommonYukimuraRecipe", 1)</t>
  </si>
  <si>
    <t>Game.AddToInventory("Items.UncommonYukimuraRecipe", 1)</t>
  </si>
  <si>
    <t>Game.AddToInventory("Items.RareYukimuraRecipe", 1)</t>
  </si>
  <si>
    <t>Game.AddToInventory("Items.EpicYukimuraRecipe_2", 1)</t>
  </si>
  <si>
    <t>Game.AddToInventory("Items.EpicYukimuraRecipe", 1)</t>
  </si>
  <si>
    <t>Game.AddToInventory("Items.LegendaryYukimuraRecipe", 1)</t>
  </si>
  <si>
    <t>Game.AddToInventory("Items.CommonKenshinRecipe", 1)</t>
  </si>
  <si>
    <t>Game.AddToInventory("Items.UncommonKenshinRecipe", 1)</t>
  </si>
  <si>
    <t>Game.AddToInventory("Items.RareKenshinRecipe", 1)</t>
  </si>
  <si>
    <t>Game.AddToInventory("Items.EpicKenshinRecipe", 1)</t>
  </si>
  <si>
    <t>Game.AddToInventory("Items.LegendaryKenshinRecipe", 1)</t>
  </si>
  <si>
    <t>Game.AddToInventory("Items.CommonKappaRecipe", 1)</t>
  </si>
  <si>
    <t>Game.AddToInventory("Items.UncommonKappaRecipe", 1)</t>
  </si>
  <si>
    <t>Game.AddToInventory("Items.RareKappaRecipe", 1)</t>
  </si>
  <si>
    <t>Game.AddToInventory("Items.EpicKappaRecipe", 1)</t>
  </si>
  <si>
    <t>Game.AddToInventory("Items.LegendaryKappaRecipe", 1)</t>
  </si>
  <si>
    <t>Game.AddToInventory("Items.CommonLibertyRecipe", 1)</t>
  </si>
  <si>
    <t>Game.AddToInventory("Items.UncommonLibertyRecipe", 1)</t>
  </si>
  <si>
    <t>Game.AddToInventory("Items.RareLibertyRecipe", 1)</t>
  </si>
  <si>
    <t>Game.AddToInventory("Items.EpicLibertyRecipe", 1)</t>
  </si>
  <si>
    <t>Game.AddToInventory("Items.LegendaryLibertyRecipe", 1)</t>
  </si>
  <si>
    <t>Game.AddToInventory("Items.CommonLexingtonRecipe", 1)</t>
  </si>
  <si>
    <t>Game.AddToInventory("Items.UncommonLexingtonRecipe", 1)</t>
  </si>
  <si>
    <t>Game.AddToInventory("Items.RareLexingtonRecipe", 1)</t>
  </si>
  <si>
    <t>Game.AddToInventory("Items.EpicLexingtonRecipe", 1)</t>
  </si>
  <si>
    <t>Game.AddToInventory("Items.LegendaryLexingtonRecipe", 1)</t>
  </si>
  <si>
    <t>Game.AddToInventory("Items.CommonOmahaRecipe", 1)</t>
  </si>
  <si>
    <t>Game.AddToInventory("Items.UncommonOmahaRecipe", 1)</t>
  </si>
  <si>
    <t>Game.AddToInventory("Items.RareOmahaRecipe", 1)</t>
  </si>
  <si>
    <t>Game.AddToInventory("Items.EpicOmahaRecipe", 1)</t>
  </si>
  <si>
    <t>Game.AddToInventory("Items.LegendaryOmahaRecipe", 1)</t>
  </si>
  <si>
    <t>Game.AddToInventory("Items.CommonTiconRecipe", 1)</t>
  </si>
  <si>
    <t>Game.AddToInventory("Items.UncommonTiconRecipe", 1)</t>
  </si>
  <si>
    <t>Game.AddToInventory("Items.RareTiconRecipe", 1)</t>
  </si>
  <si>
    <t>Game.AddToInventory("Items.EpicTiconRecipe", 1)</t>
  </si>
  <si>
    <t>Game.AddToInventory("Items.LegendaryTiconRecipe", 1)</t>
  </si>
  <si>
    <t>Game.AddToInventory("Items.CommonNueRecipe", 1)</t>
  </si>
  <si>
    <t>Game.AddToInventory("Items.UncommonNueRecipe_2", 1)</t>
  </si>
  <si>
    <t>Game.AddToInventory("Items.UncommonNueRecipe", 1)</t>
  </si>
  <si>
    <t>Game.AddToInventory("Items.RareNueRecipe", 1)</t>
  </si>
  <si>
    <t>Game.AddToInventory("Items.EpicNueRecipe", 1)</t>
  </si>
  <si>
    <t>Game.AddToInventory("Items.LegendaryNueRecipe", 1)</t>
  </si>
  <si>
    <t>Game.AddToInventory("Items.Recipe_Preset_Liberty_Padre_Legendary", 1)</t>
  </si>
  <si>
    <t>Game.AddToInventory("Items.CommonUnityRecipe", 1)</t>
  </si>
  <si>
    <t>Game.AddToInventory("Items.UncommonUnityRecipe", 1)</t>
  </si>
  <si>
    <t>Game.AddToInventory("Items.RareUnityRecipe", 1)</t>
  </si>
  <si>
    <t>Game.AddToInventory("Items.EpicUnityRecipe", 1)</t>
  </si>
  <si>
    <t>Game.AddToInventory("Items.LegendaryUnityRecipe", 1)</t>
  </si>
  <si>
    <t>Pistol / Revolver</t>
  </si>
  <si>
    <t>Game.AddToInventory("Items.HGMod3_Uncommon_Recipe", 1)</t>
  </si>
  <si>
    <t>Game.AddToInventory("Items.HGMod3_Rare_Recipe", 1)</t>
  </si>
  <si>
    <t>Game.AddToInventory("Items.HGMod3_Epic_Recipe", 1)</t>
  </si>
  <si>
    <t>Game.AddToInventory("Items.HGMod3_Legendary_Recipe", 1)</t>
  </si>
  <si>
    <t>Game.AddToInventory("Items.HGMod1_Uncommon_Recipe", 1)</t>
  </si>
  <si>
    <t>Game.AddToInventory("Items.HGMod1_Rare_Recipe", 1)</t>
  </si>
  <si>
    <t>Game.AddToInventory("Items.HGMod1_Epic_Recipe", 1)</t>
  </si>
  <si>
    <t>Game.AddToInventory("Items.HGMod1_Legendary_Recipe", 1)</t>
  </si>
  <si>
    <t>Game.AddToInventory("Items.HGMod2_Uncommon_Recipe", 1)</t>
  </si>
  <si>
    <t>Game.AddToInventory("Items.HGMod2_Rare_Recipe", 1)</t>
  </si>
  <si>
    <t>Game.AddToInventory("Items.HGMod2_Epic_Recipe", 1)</t>
  </si>
  <si>
    <t>Game.AddToInventory("Items.HGMod2_Legendary_Recipe", 1)</t>
  </si>
  <si>
    <t>Power Weapon</t>
  </si>
  <si>
    <t>Game.AddToInventory("Items.PowerMod3_Uncommon_Recipe_1", 1)</t>
  </si>
  <si>
    <t>Game.AddToInventory("Items.PowerMod3_Rare_Recipe", 1)</t>
  </si>
  <si>
    <t>Game.AddToInventory("Items.PowerMod3_Epic_Recipe", 1)</t>
  </si>
  <si>
    <t>Game.AddToInventory("Items.PowerMod3_Legendary_Recipe", 1)</t>
  </si>
  <si>
    <t>Firecracker</t>
  </si>
  <si>
    <t>Game.AddToInventory("Items.ChimeraPowerMod_Recipe", 1)</t>
  </si>
  <si>
    <t>Game.AddToInventory("Items.PowerMod1_Uncommon_Recipe", 1)</t>
  </si>
  <si>
    <t>Game.AddToInventory("Items.PowerMod1_Rare_Recipe", 1)</t>
  </si>
  <si>
    <t>Game.AddToInventory("Items.PowerMod1_Epic_Recipe", 1)</t>
  </si>
  <si>
    <t>Game.AddToInventory("Items.PowerMod1_Legendary_Recipe", 1)</t>
  </si>
  <si>
    <t>Game.AddToInventory("Items.PowerMod2_Rare_Recipe", 1)</t>
  </si>
  <si>
    <t>Game.AddToInventory("Items.PowerMod2_Epic_Recipe", 1)</t>
  </si>
  <si>
    <t>Game.AddToInventory("Items.PowerMod2_Legendary_Recipe", 1)</t>
  </si>
  <si>
    <t>Precision Rifle</t>
  </si>
  <si>
    <t>Game.AddToInventory("Items.Recipe_Preset_Kolac_Tiny_Mike_Legendary", 1)</t>
  </si>
  <si>
    <t>Game.AddToInventory("Items.CommonAchillesRecipe", 1)</t>
  </si>
  <si>
    <t>Game.AddToInventory("Items.UncommonAchillesRecipe", 1)</t>
  </si>
  <si>
    <t>Game.AddToInventory("Items.RareAchillesRecipe", 1)</t>
  </si>
  <si>
    <t>Game.AddToInventory("Items.EpicAchillesRecipe", 1)</t>
  </si>
  <si>
    <t>Game.AddToInventory("Items.LegendaryAchillesRecipe", 1)</t>
  </si>
  <si>
    <t>Game.AddToInventory("Items.CommonSor22Recipe", 1)</t>
  </si>
  <si>
    <t>Game.AddToInventory("Items.UncommonSor22Recipe", 1)</t>
  </si>
  <si>
    <t>Game.AddToInventory("Items.RareSor22Recipe", 1)</t>
  </si>
  <si>
    <t>Game.AddToInventory("Items.EpicSor22Recipe_2", 1)</t>
  </si>
  <si>
    <t>Game.AddToInventory("Items.EpicSor22Recipe", 1)</t>
  </si>
  <si>
    <t>Game.AddToInventory("Items.LegendarySor22Recipe", 1)</t>
  </si>
  <si>
    <t>Game.AddToInventory("Items.Recipe_WhistleLvl0Program", 1)</t>
  </si>
  <si>
    <t>Game.AddToInventory("Items.Recipe_WhistleLvl1Program", 1)</t>
  </si>
  <si>
    <t>Game.AddToInventory("Items.Recipe_WhistleLvl4Program", 1)</t>
  </si>
  <si>
    <t>Bait (Iconic)</t>
  </si>
  <si>
    <t>Game.AddToInventory("Items.Recipe_WhistleLvl4PlusPlusProgram", 1)</t>
  </si>
  <si>
    <t>Game.AddToInventory("Items.Recipe_ContagionProgram", 1)</t>
  </si>
  <si>
    <t>Game.AddToInventory("Items.Recipe_ContagionLvl2Program", 1)</t>
  </si>
  <si>
    <t>Game.AddToInventory("Items.Recipe_ContagionLvl3Program", 1)</t>
  </si>
  <si>
    <t>Game.AddToInventory("Items.Recipe_ContagionLvl4Program", 1)</t>
  </si>
  <si>
    <t>Contagion (Iconic)</t>
  </si>
  <si>
    <t>Game.AddToInventory("Items.Recipe_ContagionLvl4PlusPlusProgram", 1)</t>
  </si>
  <si>
    <t>Game.AddToInventory("Items.Recipe_LocomotionMalfunctionProgram", 1)</t>
  </si>
  <si>
    <t>Game.AddToInventory("Items.Recipe_LocomotionMalfunctionLvl2Program", 1)</t>
  </si>
  <si>
    <t>Game.AddToInventory("Items.Recipe_LocomotionMalfunctionLvl3Program", 1)</t>
  </si>
  <si>
    <t>Game.AddToInventory("Items.Recipe_LocomotionMalfunctionLvl4Program", 1)</t>
  </si>
  <si>
    <t>Cripple Movement (Iconic)</t>
  </si>
  <si>
    <t>Game.AddToInventory("Items.Recipe_LocomotionMalfunctionLvl4PlusPlusProgram", 1)</t>
  </si>
  <si>
    <t>Game.AddToInventory("Items.Recipe_MadnessLvl3Program", 1)</t>
  </si>
  <si>
    <t>Game.AddToInventory("Items.Recipe_MadnessLvl4Program", 1)</t>
  </si>
  <si>
    <t>Cyberpsychosis (Iconic)</t>
  </si>
  <si>
    <t>Game.AddToInventory("Items.Recipe_MadnessLvl4PlusPlusProgram", 1)</t>
  </si>
  <si>
    <t>Game.AddToInventory("Items.Recipe_DisableCyberwareProgram", 1)</t>
  </si>
  <si>
    <t>Game.AddToInventory("Items.Recipe_DisableCyberwareLvl2Program", 1)</t>
  </si>
  <si>
    <t>Game.AddToInventory("Items.Recipe_DisableCyberwareLvl3Program", 1)</t>
  </si>
  <si>
    <t>Game.AddToInventory("Items.Recipe_DisableCyberwareLvl4Program", 1)</t>
  </si>
  <si>
    <t>Cyberware Malfunction (Iconic)</t>
  </si>
  <si>
    <t>Game.AddToInventory("Items.Recipe_DisableCyberwareLvl4PlusPlusProgram", 1)</t>
  </si>
  <si>
    <t>Game.AddToInventory("Items.Recipe_GrenadeExplodeLvl3Program", 1)</t>
  </si>
  <si>
    <t>Game.AddToInventory("Items.Recipe_GrenadeExplodeLvl4Program", 1)</t>
  </si>
  <si>
    <t>Detonate Grenade (Iconic)</t>
  </si>
  <si>
    <t>Game.AddToInventory("Items.Recipe_GrenadeExplodeLvl4PlusPlusProgram", 1)</t>
  </si>
  <si>
    <t>Game.AddToInventory("Items.Recipe_MemoryWipeLvl2Program", 1)</t>
  </si>
  <si>
    <t>Game.AddToInventory("Items.Recipe_MemoryWipeLvl3Program", 1)</t>
  </si>
  <si>
    <t>Game.AddToInventory("Items.Recipe_MemoryWipeLvl4Program", 1)</t>
  </si>
  <si>
    <t>Memory Wipe (Iconic)</t>
  </si>
  <si>
    <t>Game.AddToInventory("Items.Recipe_MemoryWipeLvl4PlusPlusProgram", 1)</t>
  </si>
  <si>
    <t>Game.AddToInventory("Items.Recipe_OverheatProgram", 1)</t>
  </si>
  <si>
    <t>Game.AddToInventory("Items.Recipe_OverheatLvl1Program", 1)</t>
  </si>
  <si>
    <t>Game.AddToInventory("Items.Recipe_OverheatLvl2Program", 1)</t>
  </si>
  <si>
    <t>Game.AddToInventory("Items.Recipe_OverheatLvl3Program", 1)</t>
  </si>
  <si>
    <t>Game.AddToInventory("Items.Recipe_OverheatLvl4Program", 1)</t>
  </si>
  <si>
    <t>Overheat (Iconic)</t>
  </si>
  <si>
    <t>Game.AddToInventory("Items.Recipe_OverheatLvl4PlusPlusProgram", 1)</t>
  </si>
  <si>
    <t>Game.AddToInventory("Items.Recipe_PingProgram", 1)</t>
  </si>
  <si>
    <t>Game.AddToInventory("Items.Recipe_PingLvl2Program", 1)</t>
  </si>
  <si>
    <t>Game.AddToInventory("Items.Recipe_PingLvl3Program", 1)</t>
  </si>
  <si>
    <t>Game.AddToInventory("Items.Recipe_PingLvl4Program", 1)</t>
  </si>
  <si>
    <t>Ping (Iconic)</t>
  </si>
  <si>
    <t>Game.AddToInventory("Items.Recipe_PingLvl4PlusPlusProgram", 1)</t>
  </si>
  <si>
    <t>Game.AddToInventory("Items.Recipe_BlindProgram", 1)</t>
  </si>
  <si>
    <t>Game.AddToInventory("Items.Recipe_BlindLvl1Program", 1)</t>
  </si>
  <si>
    <t>Game.AddToInventory("Items.Recipe_BlindLvl2Program", 1)</t>
  </si>
  <si>
    <t>Game.AddToInventory("Items.Recipe_BlindLvl3Program", 1)</t>
  </si>
  <si>
    <t>Game.AddToInventory("Items.Recipe_BlindLvl4Program", 1)</t>
  </si>
  <si>
    <t>Reboot Optics (Iconic)</t>
  </si>
  <si>
    <t>Game.AddToInventory("Items.Recipe_BlindLvl4PlusPlusProgram", 1)</t>
  </si>
  <si>
    <t>Game.AddToInventory("Items.Recipe_CommsCallInProgram", 1)</t>
  </si>
  <si>
    <t>Game.AddToInventory("Items.Recipe_CommsCallInLvl1Program", 1)</t>
  </si>
  <si>
    <t>Game.AddToInventory("Items.Recipe_CommsCallInLvl2Program", 1)</t>
  </si>
  <si>
    <t>Game.AddToInventory("Items.Recipe_CommsCallInLvl3Program", 1)</t>
  </si>
  <si>
    <t>Game.AddToInventory("Items.Recipe_CommsCallInLvl4Program", 1)</t>
  </si>
  <si>
    <t>Request Backup (Iconic)</t>
  </si>
  <si>
    <t>Game.AddToInventory("Items.Recipe_CommsCallInLvl4PlusPlusProgram", 1)</t>
  </si>
  <si>
    <t>Game.AddToInventory("Items.Recipe_EMPOverloadProgram", 1)</t>
  </si>
  <si>
    <t>Game.AddToInventory("Items.Recipe_EMPOverloadLvl1Program", 1)</t>
  </si>
  <si>
    <t>Game.AddToInventory("Items.Recipe_EMPOverloadLvl2Program", 1)</t>
  </si>
  <si>
    <t>Game.AddToInventory("Items.Recipe_EMPOverloadLvl3Program", 1)</t>
  </si>
  <si>
    <t>Game.AddToInventory("Items.Recipe_EMPOverloadLvl4Program", 1)</t>
  </si>
  <si>
    <t>Short Circuit (Iconic)</t>
  </si>
  <si>
    <t>Game.AddToInventory("Items.Recipe_EMPOverloadLvl4PlusPlusProgram", 1)</t>
  </si>
  <si>
    <t>Game.AddToInventory("Items.Recipe_CommsNoiseProgram", 1)</t>
  </si>
  <si>
    <t>Game.AddToInventory("Items.Recipe_CommsNoiseLvl2Program", 1)</t>
  </si>
  <si>
    <t>Game.AddToInventory("Items.Recipe_CommsNoiseLvl3Program", 1)</t>
  </si>
  <si>
    <t>Game.AddToInventory("Items.Recipe_CommsNoiseLvl4Program", 1)</t>
  </si>
  <si>
    <t>Sonic Shock (Iconic)</t>
  </si>
  <si>
    <t>Game.AddToInventory("Items.Recipe_CommsNoiseLvl4PlusPlusProgram", 1)</t>
  </si>
  <si>
    <t>Game.AddToInventory("Items.Recipe_SuicideLvl3Program", 1)</t>
  </si>
  <si>
    <t>Game.AddToInventory("Items.Recipe_SuicideLvl4Program", 1)</t>
  </si>
  <si>
    <t>Suicide (Iconic)</t>
  </si>
  <si>
    <t>Game.AddToInventory("Items.Recipe_SuicideLvl4PlusPlusProgram", 1)</t>
  </si>
  <si>
    <t>Game.AddToInventory("Items.Recipe_BrainMeltLvl2Program", 1)</t>
  </si>
  <si>
    <t>Game.AddToInventory("Items.Recipe_BrainMeltLvl3Program", 1)</t>
  </si>
  <si>
    <t>Game.AddToInventory("Items.Recipe_BrainMeltLvl4Program", 1)</t>
  </si>
  <si>
    <t>Synapse Burnout (Iconic)</t>
  </si>
  <si>
    <t>Game.AddToInventory("Items.Recipe_BrainMeltLvl4PlusPlusProgram", 1)</t>
  </si>
  <si>
    <t>System Collapse (Iconic)</t>
  </si>
  <si>
    <t>Game.AddToInventory("Items.Recipe_SystemCollapseLvl4PlusPlusProgram", 1)</t>
  </si>
  <si>
    <t>System Reset</t>
  </si>
  <si>
    <t>Game.AddToInventory("Items.Recipe_SystemCollapseLvl3Program", 1)</t>
  </si>
  <si>
    <t>Game.AddToInventory("Items.Recipe_SystemCollapseLvl4Program", 1)</t>
  </si>
  <si>
    <t>Game.AddToInventory("Items.Recipe_WeaponMalfunctionProgram", 1)</t>
  </si>
  <si>
    <t>Game.AddToInventory("Items.Recipe_WeaponMalfunctionLvl2Program", 1)</t>
  </si>
  <si>
    <t>Game.AddToInventory("Items.Recipe_WeaponMalfunctionLvl3Program", 1)</t>
  </si>
  <si>
    <t>Game.AddToInventory("Items.Recipe_WeaponMalfunctionLvl4Program", 1)</t>
  </si>
  <si>
    <t>Weapon Glitch (Iconic)</t>
  </si>
  <si>
    <t>Game.AddToInventory("Items.Recipe_WeaponMalfunctionLvl4PlusPlusProgram", 1)</t>
  </si>
  <si>
    <t>Game.AddToInventory("Items.Recipe_WhistleProgram", 1)</t>
  </si>
  <si>
    <t>Game.AddToInventory("Items.Recipe_WhistleLvl2Program", 1)</t>
  </si>
  <si>
    <t>Game.AddToInventory("Items.Recipe_WhistleLvl3Program", 1)</t>
  </si>
  <si>
    <t>Ranged Weapon</t>
  </si>
  <si>
    <t>Game.AddToInventory("Items.RangedMod1_Legendary_Recipe", 1)</t>
  </si>
  <si>
    <t>Game.AddToInventory("Items.RangedMod3_Uncommon_Recipe", 1)</t>
  </si>
  <si>
    <t>Game.AddToInventory("Items.RangedMod3_Rare_Recipe", 1)</t>
  </si>
  <si>
    <t>Game.AddToInventory("Items.RangedMod3_Epic_Recipe", 1)</t>
  </si>
  <si>
    <t>Game.AddToInventory("Items.RangedMod3_Legendary_Recipe", 1)</t>
  </si>
  <si>
    <t>Game.AddToInventory("Items.RangedMod2_Uncommon_Recipe", 1)</t>
  </si>
  <si>
    <t>Game.AddToInventory("Items.RangedMod2_Rare_Recipe", 1)</t>
  </si>
  <si>
    <t>Game.AddToInventory("Items.RangedMod2_Epic_Recipe", 1)</t>
  </si>
  <si>
    <t>Game.AddToInventory("Items.RangedMod2_Legendary_Recipe", 1)</t>
  </si>
  <si>
    <t>Revolver</t>
  </si>
  <si>
    <t>Comrade’s Hammer</t>
  </si>
  <si>
    <t>Game.AddToInventory("Items.Recipe_Common_Burya_Comrade", 1)</t>
  </si>
  <si>
    <t>Game.AddToInventory("Items.Recipe_Uncommon_Burya_Comrade", 1)</t>
  </si>
  <si>
    <t>Game.AddToInventory("Items.Recipe_Rare_Burya_Comrade", 1)</t>
  </si>
  <si>
    <t>Game.AddToInventory("Items.Recipe_Epic_Burya_Comrade", 1)</t>
  </si>
  <si>
    <t>Game.AddToInventory("Items.Recipe_Legendary_Burya_Comrade", 1)</t>
  </si>
  <si>
    <t>Dr12 Quasar</t>
  </si>
  <si>
    <t>Game.AddToInventory("Items.CommonQuasarRecipe", 1)</t>
  </si>
  <si>
    <t>Game.AddToInventory("Items.UncommonQuasarRecipe", 1)</t>
  </si>
  <si>
    <t>Game.AddToInventory("Items.RareQuasarRecipe", 1)</t>
  </si>
  <si>
    <t>Game.AddToInventory("Items.EpicQuasarRecipe", 1)</t>
  </si>
  <si>
    <t>Game.AddToInventory("Items.LegendaryQuasarRecipe_2", 1)</t>
  </si>
  <si>
    <t>Game.AddToInventory("Items.LegendaryQuasarRecipe", 1)</t>
  </si>
  <si>
    <t>Game.AddToInventory("Items.CommonNovaRecipe", 1)</t>
  </si>
  <si>
    <t>Game.AddToInventory("Items.UncommonNovaRecipe", 1)</t>
  </si>
  <si>
    <t>Game.AddToInventory("Items.RareNovaRecipe_2", 1)</t>
  </si>
  <si>
    <t>Game.AddToInventory("Items.RareNovaRecipe", 1)</t>
  </si>
  <si>
    <t>Game.AddToInventory("Items.EpicNovaRecipe", 1)</t>
  </si>
  <si>
    <t>Game.AddToInventory("Items.LegendaryNovaRecipe", 1)</t>
  </si>
  <si>
    <t>Game.AddToInventory("Items.CommonMetelRecipe", 1)</t>
  </si>
  <si>
    <t>Game.AddToInventory("Items.UncommonMetelRecipe", 1)</t>
  </si>
  <si>
    <t>Game.AddToInventory("Items.RareMetelRecipe", 1)</t>
  </si>
  <si>
    <t>Game.AddToInventory("Items.EpicMetelRecipe", 1)</t>
  </si>
  <si>
    <t>Game.AddToInventory("Items.LegendaryMetelRecipe", 1)</t>
  </si>
  <si>
    <t>Game.AddToInventory("Items.CommonOvertureRecipe", 1)</t>
  </si>
  <si>
    <t>Game.AddToInventory("Items.UncommonOvertureRecipe", 1)</t>
  </si>
  <si>
    <t>Game.AddToInventory("Items.RareOvertureRecipe", 1)</t>
  </si>
  <si>
    <t>Game.AddToInventory("Items.EpicOvertureRecipe", 1)</t>
  </si>
  <si>
    <t>Game.AddToInventory("Items.LegendaryOvertureRecipe", 1)</t>
  </si>
  <si>
    <t>Game.AddToInventory("Items.CommonBuryaRecipe", 1)</t>
  </si>
  <si>
    <t>Game.AddToInventory("Items.UncommonBuryaRecipe", 1)</t>
  </si>
  <si>
    <t>Game.AddToInventory("Items.RareBuryaRecipe", 1)</t>
  </si>
  <si>
    <t>Game.AddToInventory("Items.EpicBuryaRecipe", 1)</t>
  </si>
  <si>
    <t>Game.AddToInventory("Items.LegendaryBuryaRecipe", 1)</t>
  </si>
  <si>
    <t>Shotgun</t>
  </si>
  <si>
    <t>Game.AddToInventory("Items.ShotgunMod3_Uncommon_Recipe", 1)</t>
  </si>
  <si>
    <t>Game.AddToInventory("Items.ShotgunMod3_Rare_Recipe", 1)</t>
  </si>
  <si>
    <t>Game.AddToInventory("Items.ShotgunMod3_Epic_Recipe", 1)</t>
  </si>
  <si>
    <t>Game.AddToInventory("Items.ShotgunMod3_Legendary_Recipe", 1)</t>
  </si>
  <si>
    <t>Game.AddToInventory("Items.ShotgunMod1_Uncommon_Recipe", 1)</t>
  </si>
  <si>
    <t>Game.AddToInventory("Items.ShotgunMod1_Rare_Recipe", 1)</t>
  </si>
  <si>
    <t>Game.AddToInventory("Items.ShotgunMod1_Epic_Recipe", 1)</t>
  </si>
  <si>
    <t>Game.AddToInventory("Items.ShotgunMod1_Legendary_Recipe", 1)</t>
  </si>
  <si>
    <t>Game.AddToInventory("Items.Recipe_Common_Zhuo_Eight_Star", 1)</t>
  </si>
  <si>
    <t>Game.AddToInventory("Items.Recipe_Uncommon_Zhuo_Eight_Star", 1)</t>
  </si>
  <si>
    <t>Game.AddToInventory("Items.Recipe_Rare_Zhuo_Eight_Star", 1)</t>
  </si>
  <si>
    <t>Game.AddToInventory("Items.Recipe_Epic_Zhuo_Eight_Star", 1)</t>
  </si>
  <si>
    <t>Game.AddToInventory("Items.Recipe_Legendary_Zhuo_Eight_Star", 1)</t>
  </si>
  <si>
    <t>Game.AddToInventory("Items.Recipe_Preset_Tactician_Dino_Legendary", 1)</t>
  </si>
  <si>
    <t>Game.AddToInventory("Items.CommonCarnageRecipe", 1)</t>
  </si>
  <si>
    <t>Game.AddToInventory("Items.UncommonCarnageRecipe", 1)</t>
  </si>
  <si>
    <t>Game.AddToInventory("Items.RareCarnageRecipe", 1)</t>
  </si>
  <si>
    <t>Game.AddToInventory("Items.EpicCarnageRecipe", 1)</t>
  </si>
  <si>
    <t>Game.AddToInventory("Items.LegendaryCarnageRecipe_2", 1)</t>
  </si>
  <si>
    <t>Game.AddToInventory("Items.LegendaryCarnageRecipe", 1)</t>
  </si>
  <si>
    <t>Game.AddToInventory("Items.CommonCrusherRecipe", 1)</t>
  </si>
  <si>
    <t>Game.AddToInventory("Items.UncommonCrusherRecipe", 1)</t>
  </si>
  <si>
    <t>Game.AddToInventory("Items.RareCrusherRecipe", 1)</t>
  </si>
  <si>
    <t>Game.AddToInventory("Items.EpicCrusherRecipe", 1)</t>
  </si>
  <si>
    <t>Game.AddToInventory("Items.LegendaryCrusherRecipe", 1)</t>
  </si>
  <si>
    <t>Game.AddToInventory("Items.Recipe_Preset_Carnage_Edgerunners_Legendary", 1)</t>
  </si>
  <si>
    <t>Game.AddToInventory("Items.CommonZhuoRecipe", 1)</t>
  </si>
  <si>
    <t>Game.AddToInventory("Items.UncommonZhuoRecipe", 1)</t>
  </si>
  <si>
    <t>Game.AddToInventory("Items.RareZhuoRecipe", 1)</t>
  </si>
  <si>
    <t>Game.AddToInventory("Items.EpicZhuoRecipe", 1)</t>
  </si>
  <si>
    <t>Game.AddToInventory("Items.LegendaryZhuoRecipe", 1)</t>
  </si>
  <si>
    <t>Game.AddToInventory("Items.CommonTacticianRecipe", 1)</t>
  </si>
  <si>
    <t>Game.AddToInventory("Items.UncommonTacticianRecipe", 1)</t>
  </si>
  <si>
    <t>Game.AddToInventory("Items.RareTacticianRecipe", 1)</t>
  </si>
  <si>
    <t>Game.AddToInventory("Items.EpicTacticianRecipe_2", 1)</t>
  </si>
  <si>
    <t>Game.AddToInventory("Items.EpicTacticianRecipe", 1)</t>
  </si>
  <si>
    <t>Game.AddToInventory("Items.LegendaryTacticianRecipe", 1)</t>
  </si>
  <si>
    <t>Game.AddToInventory("Items.Recipe_Common_Tactician_Headsman", 1)</t>
  </si>
  <si>
    <t>Game.AddToInventory("Items.Recipe_Uncommon_Tactician_Headsman", 1)</t>
  </si>
  <si>
    <t>Game.AddToInventory("Items.Recipe_Rare_Tactician_Headsman", 1)</t>
  </si>
  <si>
    <t>Game.AddToInventory("Items.Recipe_Epic_Tactician_Headsman", 1)</t>
  </si>
  <si>
    <t>Game.AddToInventory("Items.Recipe_Legendary_Tactician_Headsman", 1)</t>
  </si>
  <si>
    <t>Game.AddToInventory("Items.CommonPozharRecipe", 1)</t>
  </si>
  <si>
    <t>Game.AddToInventory("Items.UncommonPozharRecipe", 1)</t>
  </si>
  <si>
    <t>Game.AddToInventory("Items.RarePozharRecipe", 1)</t>
  </si>
  <si>
    <t>Game.AddToInventory("Items.EpicPozharRecipe", 1)</t>
  </si>
  <si>
    <t>Game.AddToInventory("Items.LegendaryPozharRecipe", 1)</t>
  </si>
  <si>
    <t>Smart Weapon</t>
  </si>
  <si>
    <t>Game.AddToInventory("Items.SmartMod2_Uncommon_Recipe", 1)</t>
  </si>
  <si>
    <t>Game.AddToInventory("Items.SmartMod2_Rare_Recipe", 1)</t>
  </si>
  <si>
    <t>Game.AddToInventory("Items.SmartMod2_Epic_Recipe", 1)</t>
  </si>
  <si>
    <t>Game.AddToInventory("Items.SmartMod1_Legendary_Recipe", 1)</t>
  </si>
  <si>
    <t>Game.AddToInventory("Items.SmartMod2_Legendary_Recipe", 1)</t>
  </si>
  <si>
    <t>Hackatomy</t>
  </si>
  <si>
    <t>Game.AddToInventory("Items.ChimeraSmartMod_Recipe", 1)</t>
  </si>
  <si>
    <t>Game.AddToInventory("Items.SmartMod3_Uncommon_Recipe", 1)</t>
  </si>
  <si>
    <t>Game.AddToInventory("Items.SmartMod3_Rare_Recipe", 1)</t>
  </si>
  <si>
    <t>Game.AddToInventory("Items.SmartMod3_Epic_Recipe", 1)</t>
  </si>
  <si>
    <t>Game.AddToInventory("Items.SmartMod3_Legendary_Recipe", 1)</t>
  </si>
  <si>
    <t>Smg</t>
  </si>
  <si>
    <t>Game.AddToInventory("Items.Recipe_Common_Pulsar_Buzzsaw", 1)</t>
  </si>
  <si>
    <t>Game.AddToInventory("Items.Recipe_Uncommon_Pulsar_Buzzsaw", 1)</t>
  </si>
  <si>
    <t>Game.AddToInventory("Items.Recipe_Rare_Pulsar_Buzzsaw", 1)</t>
  </si>
  <si>
    <t>Game.AddToInventory("Items.Recipe_Epic_Pulsar_Buzzsaw", 1)</t>
  </si>
  <si>
    <t>Game.AddToInventory("Items.Recipe_Legendary_Pulsar_Buzzsaw", 1)</t>
  </si>
  <si>
    <t>Game.AddToInventory("Items.CommonPulsarRecipe", 1)</t>
  </si>
  <si>
    <t>Game.AddToInventory("Items.UncommonPulsarRecipe", 1)</t>
  </si>
  <si>
    <t>Game.AddToInventory("Items.RarePulsarRecipe_2", 1)</t>
  </si>
  <si>
    <t>Game.AddToInventory("Items.RarePulsarRecipe", 1)</t>
  </si>
  <si>
    <t>Game.AddToInventory("Items.EpicPulsarRecipe", 1)</t>
  </si>
  <si>
    <t>Game.AddToInventory("Items.LegendaryPulsarRecipe", 1)</t>
  </si>
  <si>
    <t>Game.AddToInventory("Items.Recipe_Common_Borg4a_HauntedGun", 1)</t>
  </si>
  <si>
    <t>Game.AddToInventory("Items.Recipe_Preset_Borg4a_HauntedGun", 1)</t>
  </si>
  <si>
    <t>Game.AddToInventory("Items.Recipe_Uncommon_Borg4a_HauntedGun", 1)</t>
  </si>
  <si>
    <t>Game.AddToInventory("Items.Recipe_Rare_Borg4a_HauntedGun", 1)</t>
  </si>
  <si>
    <t>Game.AddToInventory("Items.Recipe_Epic_Borg4a_HauntedGun", 1)</t>
  </si>
  <si>
    <t>Game.AddToInventory("Items.CommonDianRecipe", 1)</t>
  </si>
  <si>
    <t>Game.AddToInventory("Items.UncommonDianRecipe", 1)</t>
  </si>
  <si>
    <t>Game.AddToInventory("Items.RareDianRecipe", 1)</t>
  </si>
  <si>
    <t>Game.AddToInventory("Items.EpicDianRecipe", 1)</t>
  </si>
  <si>
    <t>Game.AddToInventory("Items.LegendaryDianRecipe", 1)</t>
  </si>
  <si>
    <t>Game.AddToInventory("Items.CommonGuillotineRecipe", 1)</t>
  </si>
  <si>
    <t>Game.AddToInventory("Items.UncommonGuillotineRecipe", 1)</t>
  </si>
  <si>
    <t>Game.AddToInventory("Items.RareGuillotineRecipe", 1)</t>
  </si>
  <si>
    <t>Game.AddToInventory("Items.EpicGuillotineRecipe", 1)</t>
  </si>
  <si>
    <t>Game.AddToInventory("Items.LegendaryGuillotineRecipe", 1)</t>
  </si>
  <si>
    <t>Game.AddToInventory("Items.CommonSaratogaRecipe", 1)</t>
  </si>
  <si>
    <t>Game.AddToInventory("Items.UncommonSaratogaRecipe", 1)</t>
  </si>
  <si>
    <t>Game.AddToInventory("Items.RareSaratogaRecipe", 1)</t>
  </si>
  <si>
    <t>Game.AddToInventory("Items.EpicSaratogaRecipe", 1)</t>
  </si>
  <si>
    <t>Game.AddToInventory("Items.LegendarySaratogaRecipe", 1)</t>
  </si>
  <si>
    <t>Game.AddToInventory("Items.CommonSenkohRecipe", 1)</t>
  </si>
  <si>
    <t>Game.AddToInventory("Items.UncommonSenkohRecipe", 1)</t>
  </si>
  <si>
    <t>Game.AddToInventory("Items.RareSenkohRecipe", 1)</t>
  </si>
  <si>
    <t>Game.AddToInventory("Items.EpicSenkohRecipe", 1)</t>
  </si>
  <si>
    <t>Game.AddToInventory("Items.LegendarySenkohRecipe", 1)</t>
  </si>
  <si>
    <t>Game.AddToInventory("Items.CommonShingenRecipe", 1)</t>
  </si>
  <si>
    <t>Game.AddToInventory("Items.UncommonShingenRecipe", 1)</t>
  </si>
  <si>
    <t>Game.AddToInventory("Items.RareShingenRecipe", 1)</t>
  </si>
  <si>
    <t>Game.AddToInventory("Items.EpicShingenRecipe", 1)</t>
  </si>
  <si>
    <t>Game.AddToInventory("Items.LegendaryShingenRecipe", 1)</t>
  </si>
  <si>
    <t>Game.AddToInventory("Items.CommonWardenRecipe", 1)</t>
  </si>
  <si>
    <t>Game.AddToInventory("Items.UncommonWardenRecipe", 1)</t>
  </si>
  <si>
    <t>Game.AddToInventory("Items.RareWardenRecipe", 1)</t>
  </si>
  <si>
    <t>Game.AddToInventory("Items.EpicWardenRecipe", 1)</t>
  </si>
  <si>
    <t>Game.AddToInventory("Items.LegendaryWardenRecipe", 1)</t>
  </si>
  <si>
    <t>Game.AddToInventory("Items.Recipe_Common_Dian_Yinglong", 1)</t>
  </si>
  <si>
    <t>Game.AddToInventory("Items.Recipe_Uncommon_Dian_Yinglong", 1)</t>
  </si>
  <si>
    <t>Game.AddToInventory("Items.Recipe_Rare_Dian_Yinglong", 1)</t>
  </si>
  <si>
    <t>Game.AddToInventory("Items.Recipe_Epic_Dian_Yinglong", 1)</t>
  </si>
  <si>
    <t>Game.AddToInventory("Items.Recipe_Legendary_Dian_Yinglong", 1)</t>
  </si>
  <si>
    <t>Sniper</t>
  </si>
  <si>
    <t>Game.AddToInventory("Items.PRSRMod3_Uncommon_Recipe", 1)</t>
  </si>
  <si>
    <t>Game.AddToInventory("Items.PRSRMod3_Rare_Recipe", 1)</t>
  </si>
  <si>
    <t>Game.AddToInventory("Items.PRSRMod3_Epic_Recipe", 1)</t>
  </si>
  <si>
    <t>Game.AddToInventory("Items.PRSRMod3_Legendary_Recipe", 1)</t>
  </si>
  <si>
    <t>Game.AddToInventory("Items.PRSRMod2_Uncommon_Recipe", 1)</t>
  </si>
  <si>
    <t>Game.AddToInventory("Items.PRSRMod2_Rare_Recipe", 1)</t>
  </si>
  <si>
    <t>Game.AddToInventory("Items.PRSRMod2_Epic_Recipe", 1)</t>
  </si>
  <si>
    <t>Game.AddToInventory("Items.PRSRMod2_Legendary_Recipe", 1)</t>
  </si>
  <si>
    <t>Game.AddToInventory("Items.PRSRMod1_Uncommon_Recipe", 1)</t>
  </si>
  <si>
    <t>Game.AddToInventory("Items.PRSRMod1_Rare_Recipe", 1)</t>
  </si>
  <si>
    <t>Game.AddToInventory("Items.PRSRMod1_Epic_Recipe", 1)</t>
  </si>
  <si>
    <t>Game.AddToInventory("Items.PRSRMod1_Legendary_Recipe", 1)</t>
  </si>
  <si>
    <t>Sniper Rifle</t>
  </si>
  <si>
    <t>Game.AddToInventory("Items.CommonAshuraRecipe", 1)</t>
  </si>
  <si>
    <t>Game.AddToInventory("Items.UncommonAshuraRecipe", 1)</t>
  </si>
  <si>
    <t>Game.AddToInventory("Items.RareAshuraRecipe", 1)</t>
  </si>
  <si>
    <t>Game.AddToInventory("Items.EpicAshuraRecipe", 1)</t>
  </si>
  <si>
    <t>Game.AddToInventory("Items.LegendaryAshuraRecipe", 1)</t>
  </si>
  <si>
    <t>Game.AddToInventory("Items.Recipe_Common_Nekomata_Breakthrough", 1)</t>
  </si>
  <si>
    <t>Game.AddToInventory("Items.Recipe_Uncommon_Nekomata_Breakthrough", 1)</t>
  </si>
  <si>
    <t>Game.AddToInventory("Items.Recipe_Rare_Nekomata_Breakthrough", 1)</t>
  </si>
  <si>
    <t>Game.AddToInventory("Items.Recipe_Epic_Nekomata_Breakthrough", 1)</t>
  </si>
  <si>
    <t>Game.AddToInventory("Items.Recipe_Legendary_Nekomata_Breakthrough", 1)</t>
  </si>
  <si>
    <t>Game.AddToInventory("Items.CommonNekomataRecipe", 1)</t>
  </si>
  <si>
    <t>Game.AddToInventory("Items.UncommonNekomataRecipe", 1)</t>
  </si>
  <si>
    <t>Game.AddToInventory("Items.RareNekomataRecipe", 1)</t>
  </si>
  <si>
    <t>Game.AddToInventory("Items.EpicNekomataRecipe", 1)</t>
  </si>
  <si>
    <t>Game.AddToInventory("Items.LegendaryNekomataRecipe_2", 1)</t>
  </si>
  <si>
    <t>Game.AddToInventory("Items.LegendaryNekomataRecipe", 1)</t>
  </si>
  <si>
    <t>Game.AddToInventory("Items.CommonGradRecipe", 1)</t>
  </si>
  <si>
    <t>Game.AddToInventory("Items.UncommonGradRecipe", 1)</t>
  </si>
  <si>
    <t>Game.AddToInventory("Items.RareGradRecipe_2", 1)</t>
  </si>
  <si>
    <t>Game.AddToInventory("Items.RareGradRecipe", 1)</t>
  </si>
  <si>
    <t>Game.AddToInventory("Items.EpicGradRecipe", 1)</t>
  </si>
  <si>
    <t>Game.AddToInventory("Items.LegendaryGradRecipe", 1)</t>
  </si>
  <si>
    <t>Tech Weapon</t>
  </si>
  <si>
    <t>Game.AddToInventory("Items.TechMod2_Uncommon_Recipe", 1)</t>
  </si>
  <si>
    <t>Game.AddToInventory("Items.TechMod2_Rare_Recipe", 1)</t>
  </si>
  <si>
    <t>Game.AddToInventory("Items.TechMod2_Epic_Recipe", 1)</t>
  </si>
  <si>
    <t>Game.AddToInventory("Items.TechMod2_Legendary_Recipe", 1)</t>
  </si>
  <si>
    <t>Game.AddToInventory("Items.TechMod1_Uncommon_Recipe", 1)</t>
  </si>
  <si>
    <t>Game.AddToInventory("Items.TechMod1_Rare_Recipe", 1)</t>
  </si>
  <si>
    <t>Game.AddToInventory("Items.TechMod1_Epic_Recipe", 1)</t>
  </si>
  <si>
    <t>Game.AddToInventory("Items.TechMod1_Legendary_Recipe", 1)</t>
  </si>
  <si>
    <t>Game.AddToInventory("Items.TechMod3_Uncommon_Recipe", 1)</t>
  </si>
  <si>
    <t>Game.AddToInventory("Items.TechMod3_Rare_Recipe", 1)</t>
  </si>
  <si>
    <t>Game.AddToInventory("Items.TechMod3_Epic_Recipe", 1)</t>
  </si>
  <si>
    <t>Game.AddToInventory("Items.TechMod3_Legendary_Recipe", 1)</t>
  </si>
  <si>
    <t>Wallpuncher</t>
  </si>
  <si>
    <t>Game.AddToInventory("Items.ChimeraTechMod_Recipe", 1)</t>
  </si>
  <si>
    <t>Throwable</t>
  </si>
  <si>
    <t>Game.AddToInventory("Items.ThrowMod1_Uncommon_Recipe", 1)</t>
  </si>
  <si>
    <t>Game.AddToInventory("Items.ThrowMod1_Rare_Recipe", 1)</t>
  </si>
  <si>
    <t>Game.AddToInventory("Items.ThrowMod1_Epic_Recipe", 1)</t>
  </si>
  <si>
    <t>Game.AddToInventory("Items.ThrowMod1_Legendary_Recipe", 1)</t>
  </si>
  <si>
    <t>Game.AddToInventory("Items.ThrowMod3_Uncommon_Recipe", 1)</t>
  </si>
  <si>
    <t>Game.AddToInventory("Items.ThrowMod3_Rare_Recipe", 1)</t>
  </si>
  <si>
    <t>Game.AddToInventory("Items.ThrowMod3_Epic_Recipe", 1)</t>
  </si>
  <si>
    <t>Game.AddToInventory("Items.ThrowMod3_Legendary_Recipe", 1)</t>
  </si>
  <si>
    <t>Game.AddToInventory("Items.ThrowMod2_Epic_Recipe", 1)</t>
  </si>
  <si>
    <t>Game.AddToInventory("Items.ThrowMod2_Legendary_Recipe", 1)</t>
  </si>
  <si>
    <t>Game.AddToInventory("Items.GenericMod1_Uncommon_Recipe", 1)</t>
  </si>
  <si>
    <t>Game.AddToInventory("Items.GenericMod1_Rare_Recipe", 1)</t>
  </si>
  <si>
    <t>Game.AddToInventory("Items.GenericMod1_Epic_Recipe", 1)</t>
  </si>
  <si>
    <t>Game.AddToInventory("Items.GenericMod1_Legendary_Recipe", 1)</t>
  </si>
  <si>
    <t>Notes / Effect</t>
  </si>
  <si>
    <t>Alcohol</t>
  </si>
  <si>
    <t>Centzon Totochtin Indigo</t>
  </si>
  <si>
    <t>Game.AddToInventory("Items.KerryAlcohol1", 1)</t>
  </si>
  <si>
    <t>Movement Speed -10% | Weapon Accuracy -50% | Duration 30sec</t>
  </si>
  <si>
    <t>The David Martinez</t>
  </si>
  <si>
    <t>Game.AddToInventory("Items.TopQualityAlcohol10", 1)</t>
  </si>
  <si>
    <t>Johnny Silverhand</t>
  </si>
  <si>
    <t>Game.AddToInventory("Items.TopQualityAlcohol8", 1)</t>
  </si>
  <si>
    <t>Jackie Welles</t>
  </si>
  <si>
    <t>Game.AddToInventory("Items.TopQualityAlcohol9", 1)</t>
  </si>
  <si>
    <t>Donaghy's</t>
  </si>
  <si>
    <t>Game.AddToInventory("Items.GoodQualityAlcohol1", 1)</t>
  </si>
  <si>
    <t>Centzon Totochtin</t>
  </si>
  <si>
    <t>Game.AddToInventory("Items.GoodQualityAlcohol2", 1)</t>
  </si>
  <si>
    <t>Randver</t>
  </si>
  <si>
    <t>Game.AddToInventory("Items.GoodQualityAlcohol3", 1)</t>
  </si>
  <si>
    <t>Ab-Synth</t>
  </si>
  <si>
    <t>Game.AddToInventory("Items.GoodQualityAlcohol4", 1)</t>
  </si>
  <si>
    <t>Champaradise</t>
  </si>
  <si>
    <t>Game.AddToInventory("Items.GoodQualityAlcohol5", 1)</t>
  </si>
  <si>
    <t>La Perle Des Alpes</t>
  </si>
  <si>
    <t>Game.AddToInventory("Items.GoodQualityAlcohol6", 1)</t>
  </si>
  <si>
    <t>Abydos Classic</t>
  </si>
  <si>
    <t>Game.AddToInventory("Items.LowQualityAlcohol1", 1)</t>
  </si>
  <si>
    <t>Abydos King Size</t>
  </si>
  <si>
    <t>Game.AddToInventory("Items.LowQualityAlcohol2", 1)</t>
  </si>
  <si>
    <t>Broseph Ale</t>
  </si>
  <si>
    <t>Game.AddToInventory("Items.LowQualityAlcohol3", 1)</t>
  </si>
  <si>
    <t>Broseph Lager</t>
  </si>
  <si>
    <t>Game.AddToInventory("Items.LowQualityAlcohol4", 1)</t>
  </si>
  <si>
    <t>21st Stout</t>
  </si>
  <si>
    <t>Game.AddToInventory("Items.LowQualityAlcohol5", 1)</t>
  </si>
  <si>
    <t>Bumelant</t>
  </si>
  <si>
    <t>Game.AddToInventory("Items.LowQualityAlcohol6", 1)</t>
  </si>
  <si>
    <t>Chirrisco</t>
  </si>
  <si>
    <t>Game.AddToInventory("Items.LowQualityAlcohol7", 1)</t>
  </si>
  <si>
    <t>Pitorro</t>
  </si>
  <si>
    <t>Game.AddToInventory("Items.LowQualityAlcohol8", 1)</t>
  </si>
  <si>
    <t>Tequila Especial</t>
  </si>
  <si>
    <t>Game.AddToInventory("Items.LowQualityAlcohol9", 1)</t>
  </si>
  <si>
    <t>Pingo Palido</t>
  </si>
  <si>
    <t>Game.AddToInventory("Items.MediumQualityAlcohol1", 1)</t>
  </si>
  <si>
    <t>O'dickin Whiskey</t>
  </si>
  <si>
    <t>Game.AddToInventory("Items.MediumQualityAlcohol2", 1)</t>
  </si>
  <si>
    <t>Bolshevik Vodka</t>
  </si>
  <si>
    <t>Game.AddToInventory("Items.MediumQualityAlcohol3", 1)</t>
  </si>
  <si>
    <t>Conine</t>
  </si>
  <si>
    <t>Game.AddToInventory("Items.MediumQualityAlcohol4", 1)</t>
  </si>
  <si>
    <t>Joe Tiel's Okie Hooch</t>
  </si>
  <si>
    <t>Game.AddToInventory("Items.MediumQualityAlcohol5", 1)</t>
  </si>
  <si>
    <t>Papa Garcin</t>
  </si>
  <si>
    <t>Game.AddToInventory("Items.MediumQualityAlcohol6", 1)</t>
  </si>
  <si>
    <t>Blue Grass</t>
  </si>
  <si>
    <t>Game.AddToInventory("Items.MediumQualityAlcohol7", 1)</t>
  </si>
  <si>
    <t>Moonshine</t>
  </si>
  <si>
    <t>Game.AddToInventory("Items.NomadsAlcohol1", 1)</t>
  </si>
  <si>
    <t>Trailerbreew Beer</t>
  </si>
  <si>
    <t>Game.AddToInventory("Items.NomadsAlcohol2", 1)</t>
  </si>
  <si>
    <t>Calavera Feliz</t>
  </si>
  <si>
    <t>Game.AddToInventory("Items.TopQualityAlcohol1", 1)</t>
  </si>
  <si>
    <t>Chateau Delen 2012</t>
  </si>
  <si>
    <t>Game.AddToInventory("Items.TopQualityAlcohol2", 1)</t>
  </si>
  <si>
    <t>Armagnac Massy</t>
  </si>
  <si>
    <t>Game.AddToInventory("Items.TopQualityAlcohol3", 1)</t>
  </si>
  <si>
    <t>Sake Utagawa</t>
  </si>
  <si>
    <t>Game.AddToInventory("Items.TopQualityAlcohol4", 1)</t>
  </si>
  <si>
    <t>Baalbek Arak</t>
  </si>
  <si>
    <t>Game.AddToInventory("Items.TopQualityAlcohol5", 1)</t>
  </si>
  <si>
    <t>Romvlvs Gin</t>
  </si>
  <si>
    <t>Game.AddToInventory("Items.TopQualityAlcohol6", 1)</t>
  </si>
  <si>
    <t>Paul Night</t>
  </si>
  <si>
    <t>Game.AddToInventory("Items.TopQualityAlcohol7", 1)</t>
  </si>
  <si>
    <t>Buffs</t>
  </si>
  <si>
    <t>+ 100  Asskick</t>
  </si>
  <si>
    <t>Game.AddToInventory("Items.Blackmarket_HealthBooster", 100)</t>
  </si>
  <si>
    <t>For 1800 Sec: +20% Max Health | -50% Stamina Regen</t>
  </si>
  <si>
    <t>+ 100  Black Lace Mk.1</t>
  </si>
  <si>
    <t>Game.AddToInventory("Items.BlackLaceV0", 100)</t>
  </si>
  <si>
    <t>For 300 Secs: Armor +20 | +15% Stamina Regen | + 5% Damage | +5% Crit Chance | +15% Crit Damage | -35% Max Health</t>
  </si>
  <si>
    <t>+ 100  Black Lace Mk.2</t>
  </si>
  <si>
    <t>Game.AddToInventory("Items.BlackLaceV1", 100)</t>
  </si>
  <si>
    <t>For 300 Secs: Armor +30 | +25% Stamina Regen | + 15% Damage | +15% Crit Chance | +25% Crit Damage | -50% Max Health</t>
  </si>
  <si>
    <t>+ 100  Bzzzzt! Energy Drink (Recalled)</t>
  </si>
  <si>
    <t>Game.AddToInventory("Items.NetrunnerFood1", 100)</t>
  </si>
  <si>
    <t>For 600 Sec: +4 Max Ram | -50% Ram Recovery Rate</t>
  </si>
  <si>
    <t>+ 100  Capacity Booster</t>
  </si>
  <si>
    <t>Game.AddToInventory("Items.CarryCapacityBooster", 100)</t>
  </si>
  <si>
    <t>For 1800 Sec: Max Carry Capacity +50%</t>
  </si>
  <si>
    <t>+ 100  Comrade Kolya's Premium Black Caviar</t>
  </si>
  <si>
    <t>Game.AddToInventory("Items.HealthFood1", 100)</t>
  </si>
  <si>
    <t>For 600 Sec: +25 Health Items Effects | -20% Max Health</t>
  </si>
  <si>
    <t>+ 100  Creatine-Loaded Protein Log</t>
  </si>
  <si>
    <t>Game.AddToInventory("Items.CombatFood2", 100)</t>
  </si>
  <si>
    <t>For 600 Sec: +30% Crit Damage | -15% Crit Chance</t>
  </si>
  <si>
    <t>+ 100  Stamina Booster</t>
  </si>
  <si>
    <t>Game.AddToInventory("Items.CombatFood1", 100)</t>
  </si>
  <si>
    <t>For 600 Sec: +30% Melee Damage | +30% Damage Recived</t>
  </si>
  <si>
    <t>+ 100  Devildick Pepper Chips</t>
  </si>
  <si>
    <t>Game.AddToInventory("Items.CombatFood3", 100)</t>
  </si>
  <si>
    <t>For 600 Sec: +5% Damage | +10% Crit Chance | +20% Crit Damage | -35% Max Health</t>
  </si>
  <si>
    <t>+ 100  Dolphin Jerky</t>
  </si>
  <si>
    <t>Game.AddToInventory("Items.StealthFood1", 100)</t>
  </si>
  <si>
    <t>For 600 Sec: -30% Visibility | -30% Max Health</t>
  </si>
  <si>
    <t>+ 100  Exotic Flora And Fungi Mystery Bag</t>
  </si>
  <si>
    <t>Game.AddToInventory("Items.HealthBooster", 100)</t>
  </si>
  <si>
    <t>For 1800 Sec: Max Health +20%</t>
  </si>
  <si>
    <t>+ 100  Health Booster</t>
  </si>
  <si>
    <t>Game.AddToInventory("Items.HealthFood3", 100)</t>
  </si>
  <si>
    <t>For 600 Sec: +25% Max Health | Deactivated Athletics Abilities</t>
  </si>
  <si>
    <t>+ 100  Hefty Chef Fettuccine Alfredo Xxl (Discontinued)</t>
  </si>
  <si>
    <t>Game.AddToInventory("Items.CarFood1", 100)</t>
  </si>
  <si>
    <t>For 600 Sec: +20% Damage While Driving | +25% Damage Received While Driving</t>
  </si>
  <si>
    <t>+ 100  Hot Roddy's Road-Ready Coffee (Recalled)</t>
  </si>
  <si>
    <t>Game.AddToInventory("Items.Blackmarket_StaminaBooster", 100)</t>
  </si>
  <si>
    <t>For 1800 Sec: +20% Stamina Regen Rate | -15% Max Health</t>
  </si>
  <si>
    <t>+ 100  Jellytricity</t>
  </si>
  <si>
    <t>Game.AddToInventory("Items.HealthFood2", 100)</t>
  </si>
  <si>
    <t>For 600 Sec: +20% Max Health | -25% Hiealt Items Effects</t>
  </si>
  <si>
    <t>+ 100  Militech Mre (Expired)</t>
  </si>
  <si>
    <t>Game.AddToInventory("Items.Blackmarket_CarryCapacityBooster", 100)</t>
  </si>
  <si>
    <t>For 1800 Sec: +100% Carry Capacity | -20% Max Health</t>
  </si>
  <si>
    <t>+ 100  Ol' Donkey</t>
  </si>
  <si>
    <t>Game.AddToInventory("Items.OxyBooster", 100)</t>
  </si>
  <si>
    <t>For 1800 Sec: Breathe Underwater</t>
  </si>
  <si>
    <t>+ 100  Oxy Booster</t>
  </si>
  <si>
    <t>Game.AddToInventory("Items.NetrunnerFood2", 100)</t>
  </si>
  <si>
    <t>For 600 Sec: +25% Ram Recovery Rate | -50% Health Item Effects</t>
  </si>
  <si>
    <t>+ 100  Phish &amp; Chips</t>
  </si>
  <si>
    <t>Game.AddToInventory("Items.Blackmarket_MemoryBooster", 100)</t>
  </si>
  <si>
    <t>For 1800 Sec: +4 Max Ram | -20% Max Health</t>
  </si>
  <si>
    <t>+ 100  Ram Nugs</t>
  </si>
  <si>
    <t>Game.AddToInventory("Items.MemoryBooster", 100)</t>
  </si>
  <si>
    <t>For 1800 Sec: Max Ram Units +2</t>
  </si>
  <si>
    <t>+ 100  Ram Jolt</t>
  </si>
  <si>
    <t>Game.AddToInventory("Items.StaminaBooster", 100)</t>
  </si>
  <si>
    <t>For 1800 Sec: Max Stamina +50%</t>
  </si>
  <si>
    <t>Drink</t>
  </si>
  <si>
    <t>Chromanticore Ultraviolet</t>
  </si>
  <si>
    <t>Game.AddToInventory("Items.JudyDrink1", 1)</t>
  </si>
  <si>
    <t>Stamina Regen +5% | Duration 450sec</t>
  </si>
  <si>
    <t>Kopi Kadal Coffee</t>
  </si>
  <si>
    <t>Game.AddToInventory("Items.RiverDrink1", 1)</t>
  </si>
  <si>
    <t>Cup Of Coffee</t>
  </si>
  <si>
    <t>Game.AddToInventory("Items.sq026_judy_coffee", 1)</t>
  </si>
  <si>
    <t>Sain Ruisseau</t>
  </si>
  <si>
    <t>Game.AddToInventory("Items.GoodQualityDrink1", 1)</t>
  </si>
  <si>
    <t>Hydration Status: Max Stamina +10% | Stamina Regen +50% Per Sec | Duration 450sec</t>
  </si>
  <si>
    <t>Water</t>
  </si>
  <si>
    <t>Game.AddToInventory("Items.GoodQualityDrink10", 1)</t>
  </si>
  <si>
    <t>Tomato Juice</t>
  </si>
  <si>
    <t>Game.AddToInventory("Items.GoodQualityDrink11", 1)</t>
  </si>
  <si>
    <t>Chromanticore Lime</t>
  </si>
  <si>
    <t>Game.AddToInventory("Items.GoodQualityDrink2", 1)</t>
  </si>
  <si>
    <t>Vitamine</t>
  </si>
  <si>
    <t>Game.AddToInventory("Items.GoodQualityDrink3", 1)</t>
  </si>
  <si>
    <t>Chromanticore Carnival</t>
  </si>
  <si>
    <t>Game.AddToInventory("Items.GoodQualityDrink4", 1)</t>
  </si>
  <si>
    <t>Te Matcha</t>
  </si>
  <si>
    <t>Game.AddToInventory("Items.GoodQualityDrink5", 1)</t>
  </si>
  <si>
    <t>Te Sencha</t>
  </si>
  <si>
    <t>Game.AddToInventory("Items.GoodQualityDrink6", 1)</t>
  </si>
  <si>
    <t>Te Oolong</t>
  </si>
  <si>
    <t>Game.AddToInventory("Items.GoodQualityDrink7", 1)</t>
  </si>
  <si>
    <t>Vatnojokull</t>
  </si>
  <si>
    <t>Game.AddToInventory("Items.GoodQualityDrink8", 1)</t>
  </si>
  <si>
    <t>Game.AddToInventory("Items.GoodQualityDrink9", 1)</t>
  </si>
  <si>
    <t>Matapang Coffee</t>
  </si>
  <si>
    <t>Game.AddToInventory("Items.LowQualityDrink1", 1)</t>
  </si>
  <si>
    <t>Nicola</t>
  </si>
  <si>
    <t>Game.AddToInventory("Items.LowQualityDrink10", 1)</t>
  </si>
  <si>
    <t>Coffee</t>
  </si>
  <si>
    <t>Game.AddToInventory("Items.LowQualityDrink11", 1)</t>
  </si>
  <si>
    <t>Coffee Synmilk</t>
  </si>
  <si>
    <t>Game.AddToInventory("Items.LowQualityDrink12", 1)</t>
  </si>
  <si>
    <t>Latte</t>
  </si>
  <si>
    <t>Game.AddToInventory("Items.LowQualityDrink13", 1)</t>
  </si>
  <si>
    <t>Matapang Deca</t>
  </si>
  <si>
    <t>Game.AddToInventory("Items.LowQualityDrink2", 1)</t>
  </si>
  <si>
    <t>Dairing Dairy</t>
  </si>
  <si>
    <t>Game.AddToInventory("Items.LowQualityDrink3", 1)</t>
  </si>
  <si>
    <t>Spunky Monkey</t>
  </si>
  <si>
    <t>Game.AddToInventory("Items.LowQualityDrink4", 1)</t>
  </si>
  <si>
    <t>Spunky Monkey Mint</t>
  </si>
  <si>
    <t>Game.AddToInventory("Items.LowQualityDrink5", 1)</t>
  </si>
  <si>
    <t>Cirrus Cola 1</t>
  </si>
  <si>
    <t>Game.AddToInventory("Items.LowQualityDrink6", 1)</t>
  </si>
  <si>
    <t>Cirrus Cola 2</t>
  </si>
  <si>
    <t>Game.AddToInventory("Items.LowQualityDrink7", 1)</t>
  </si>
  <si>
    <t>Cirrus Cola 3</t>
  </si>
  <si>
    <t>Game.AddToInventory("Items.LowQualityDrink8", 1)</t>
  </si>
  <si>
    <t>Nicola Blue</t>
  </si>
  <si>
    <t>Game.AddToInventory("Items.LowQualityDrink9", 1)</t>
  </si>
  <si>
    <t>Nicola Fire</t>
  </si>
  <si>
    <t>Game.AddToInventory("Items.MediumQualityDrink1", 1)</t>
  </si>
  <si>
    <t>Soulhiker</t>
  </si>
  <si>
    <t>Game.AddToInventory("Items.MediumQualityDrink10", 1)</t>
  </si>
  <si>
    <t>Oolong Tea</t>
  </si>
  <si>
    <t>Game.AddToInventory("Items.MediumQualityDrink11", 1)</t>
  </si>
  <si>
    <t>Tiancha 1</t>
  </si>
  <si>
    <t>Game.AddToInventory("Items.MediumQualityDrink12", 1)</t>
  </si>
  <si>
    <t>Tiancha 2</t>
  </si>
  <si>
    <t>Game.AddToInventory("Items.MediumQualityDrink13", 1)</t>
  </si>
  <si>
    <t>Soop</t>
  </si>
  <si>
    <t>Game.AddToInventory("Items.MediumQualityDrink14", 1)</t>
  </si>
  <si>
    <t>Nicola Sakura</t>
  </si>
  <si>
    <t>Game.AddToInventory("Items.MediumQualityDrink2", 1)</t>
  </si>
  <si>
    <t>Real Water 1</t>
  </si>
  <si>
    <t>Game.AddToInventory("Items.MediumQualityDrink3", 1)</t>
  </si>
  <si>
    <t>Real Water 2</t>
  </si>
  <si>
    <t>Game.AddToInventory("Items.MediumQualityDrink4", 1)</t>
  </si>
  <si>
    <t>Naranjita Classic</t>
  </si>
  <si>
    <t>Game.AddToInventory("Items.MediumQualityDrink5", 1)</t>
  </si>
  <si>
    <t>Naranjita Zero</t>
  </si>
  <si>
    <t>Game.AddToInventory("Items.MediumQualityDrink6", 1)</t>
  </si>
  <si>
    <t>Chromanticore</t>
  </si>
  <si>
    <t>Game.AddToInventory("Items.MediumQualityDrink7", 1)</t>
  </si>
  <si>
    <t>Tiancha Kumquat</t>
  </si>
  <si>
    <t>Game.AddToInventory("Items.MediumQualityDrink8", 1)</t>
  </si>
  <si>
    <t>Tiancha Pomelo</t>
  </si>
  <si>
    <t>Game.AddToInventory("Items.MediumQualityDrink9", 1)</t>
  </si>
  <si>
    <t>Filtered Rainwater</t>
  </si>
  <si>
    <t>Game.AddToInventory("Items.NomadsDrink1", 1)</t>
  </si>
  <si>
    <t>Cactus Juice</t>
  </si>
  <si>
    <t>Game.AddToInventory("Items.NomadsDrink2", 1)</t>
  </si>
  <si>
    <t>Food</t>
  </si>
  <si>
    <t>Cat Food (Quest item)</t>
  </si>
  <si>
    <t>Game.AddToInventory("Items.LowQualityFood11",1)</t>
  </si>
  <si>
    <t>Nourishment Status: Max Health +5% | Health Regen +0.5% Per Sec Outside Of Combat | Duration 450sec</t>
  </si>
  <si>
    <t>Cheese Hawtdawg</t>
  </si>
  <si>
    <t>Game.AddToInventory("Items.HawtDawgCheese", 1)</t>
  </si>
  <si>
    <t>Chilli Hawtdawg</t>
  </si>
  <si>
    <t>Game.AddToInventory("Items.HawtDawgChilli", 1)</t>
  </si>
  <si>
    <t>Hawt Dawg</t>
  </si>
  <si>
    <t>Game.AddToInventory("Items.HawtDawgClassic", 1)</t>
  </si>
  <si>
    <t>Premium Hawtdawg</t>
  </si>
  <si>
    <t>Game.AddToInventory("Items.HawtDawgKabanos", 1)</t>
  </si>
  <si>
    <t>Ham And Mushroom Pizza</t>
  </si>
  <si>
    <t>Game.AddToInventory("Items.JudyFood1", 1)</t>
  </si>
  <si>
    <t>Galician Pierogi</t>
  </si>
  <si>
    <t>Game.AddToInventory("Items.PanamFood1", 1)</t>
  </si>
  <si>
    <t>Sweets For Sweetie Cupcake</t>
  </si>
  <si>
    <t>Game.AddToInventory("Items.RiverFood1", 1)</t>
  </si>
  <si>
    <t>Ham And Cheese Sandwich</t>
  </si>
  <si>
    <t>Game.AddToInventory("Items.sq026_judy_sandwich", 1)</t>
  </si>
  <si>
    <t>Realfruit</t>
  </si>
  <si>
    <t>Game.AddToInventory("Items.GoodQualityFood1", 1)</t>
  </si>
  <si>
    <t>Locust Pepperoni Pizza</t>
  </si>
  <si>
    <t>Game.AddToInventory("Items.GoodQualityFood10", 1)</t>
  </si>
  <si>
    <t>Artichoke Avacado Pizza</t>
  </si>
  <si>
    <t>Game.AddToInventory("Items.GoodQualityFood11", 1)</t>
  </si>
  <si>
    <t>Tofu'd Tuna Pineapple Pizza</t>
  </si>
  <si>
    <t>Game.AddToInventory("Items.GoodQualityFood12", 1)</t>
  </si>
  <si>
    <t>Loaded Tamale</t>
  </si>
  <si>
    <t>Game.AddToInventory("Items.GoodQualityFood13", 1)</t>
  </si>
  <si>
    <t>Tajine</t>
  </si>
  <si>
    <t>Game.AddToInventory("Items.GoodQualityFood2", 1)</t>
  </si>
  <si>
    <t>Dark Chocolate</t>
  </si>
  <si>
    <t>Game.AddToInventory("Items.GoodQualityFood3", 1)</t>
  </si>
  <si>
    <t>Milk Chocolate</t>
  </si>
  <si>
    <t>Game.AddToInventory("Items.GoodQualityFood4", 1)</t>
  </si>
  <si>
    <t>Norimaki</t>
  </si>
  <si>
    <t>Game.AddToInventory("Items.GoodQualityFood5", 1)</t>
  </si>
  <si>
    <t>Nigiri</t>
  </si>
  <si>
    <t>Game.AddToInventory("Items.GoodQualityFood6", 1)</t>
  </si>
  <si>
    <t>Pierre's Croissants</t>
  </si>
  <si>
    <t>Game.AddToInventory("Items.GoodQualityFood7", 1)</t>
  </si>
  <si>
    <t>Got Escargot</t>
  </si>
  <si>
    <t>Game.AddToInventory("Items.GoodQualityFood8", 1)</t>
  </si>
  <si>
    <t>Gojilla</t>
  </si>
  <si>
    <t>Game.AddToInventory("Items.GoodQualityFood9", 1)</t>
  </si>
  <si>
    <t>Eezybeef</t>
  </si>
  <si>
    <t>Game.AddToInventory("Items.LowQualityFood1", 1)</t>
  </si>
  <si>
    <t>Wontons</t>
  </si>
  <si>
    <t>Game.AddToInventory("Items.LowQualityFood10", 1)</t>
  </si>
  <si>
    <t>Holobites Grape</t>
  </si>
  <si>
    <t>Game.AddToInventory("Items.LowQualityFood12", 1)</t>
  </si>
  <si>
    <t>Holobites Mint</t>
  </si>
  <si>
    <t>Game.AddToInventory("Items.LowQualityFood13", 1)</t>
  </si>
  <si>
    <t>Holobites Peach</t>
  </si>
  <si>
    <t>Game.AddToInventory("Items.LowQualityFood14", 1)</t>
  </si>
  <si>
    <t>Orgiatic Salsa Agave</t>
  </si>
  <si>
    <t>Game.AddToInventory("Items.LowQualityFood15", 1)</t>
  </si>
  <si>
    <t>Orgiatic Vinegar Chili</t>
  </si>
  <si>
    <t>Game.AddToInventory("Items.LowQualityFood16", 1)</t>
  </si>
  <si>
    <t>Moonchies Andromeda</t>
  </si>
  <si>
    <t>Game.AddToInventory("Items.LowQualityFood17", 1)</t>
  </si>
  <si>
    <t>Moonchies Pulsar</t>
  </si>
  <si>
    <t>Game.AddToInventory("Items.LowQualityFood18", 1)</t>
  </si>
  <si>
    <t>Moonchies Sour Planet</t>
  </si>
  <si>
    <t>Game.AddToInventory("Items.LowQualityFood19", 1)</t>
  </si>
  <si>
    <t>Leelou Beans Lagoon</t>
  </si>
  <si>
    <t>Game.AddToInventory("Items.LowQualityFood20", 1)</t>
  </si>
  <si>
    <t>Leelou Beans Meyer Lemon</t>
  </si>
  <si>
    <t>Game.AddToInventory("Items.LowQualityFood21", 1)</t>
  </si>
  <si>
    <t>Leelou Beans Plantain</t>
  </si>
  <si>
    <t>Game.AddToInventory("Items.LowQualityFood22", 1)</t>
  </si>
  <si>
    <t>Leelou Beans Tropical</t>
  </si>
  <si>
    <t>Game.AddToInventory("Items.LowQualityFood23", 1)</t>
  </si>
  <si>
    <t>Sojasil Eruption</t>
  </si>
  <si>
    <t>Game.AddToInventory("Items.LowQualityFood24", 1)</t>
  </si>
  <si>
    <t>Sojasil Molotov Cocktail</t>
  </si>
  <si>
    <t>Game.AddToInventory("Items.LowQualityFood25", 1)</t>
  </si>
  <si>
    <t>Sojasil Nitroglycerin</t>
  </si>
  <si>
    <t>Game.AddToInventory("Items.LowQualityFood26", 1)</t>
  </si>
  <si>
    <t>Sojasil Radioactive</t>
  </si>
  <si>
    <t>Game.AddToInventory("Items.LowQualityFood27", 1)</t>
  </si>
  <si>
    <t>Sojasil Second Impact</t>
  </si>
  <si>
    <t>Game.AddToInventory("Items.LowQualityFood28", 1)</t>
  </si>
  <si>
    <t>Game.AddToInventory("Items.LowQualityFood3", 1)</t>
  </si>
  <si>
    <t>Moonchies</t>
  </si>
  <si>
    <t>Game.AddToInventory("Items.LowQualityFood5", 1)</t>
  </si>
  <si>
    <t>Mr. Whitey</t>
  </si>
  <si>
    <t>Game.AddToInventory("Items.LowQualityFood6", 1)</t>
  </si>
  <si>
    <t>Orgiatic Omniflave</t>
  </si>
  <si>
    <t>Game.AddToInventory("Items.LowQualityFood7", 1)</t>
  </si>
  <si>
    <t>Pop-Turd</t>
  </si>
  <si>
    <t>Game.AddToInventory("Items.LowQualityFood8", 1)</t>
  </si>
  <si>
    <t>Sojasil Dynamite</t>
  </si>
  <si>
    <t>Game.AddToInventory("Items.LowQualityFood9", 1)</t>
  </si>
  <si>
    <t>Synthsnack</t>
  </si>
  <si>
    <t>Game.AddToInventory("Items.MediumQualityFood1", 1)</t>
  </si>
  <si>
    <t>Jambalaya</t>
  </si>
  <si>
    <t>Game.AddToInventory("Items.MediumQualityFood10", 1)</t>
  </si>
  <si>
    <t>Mr. Whitey Mint</t>
  </si>
  <si>
    <t>Game.AddToInventory("Items.MediumQualityFood11", 1)</t>
  </si>
  <si>
    <t>Burrito Xxl 1</t>
  </si>
  <si>
    <t>Game.AddToInventory("Items.MediumQualityFood12", 1)</t>
  </si>
  <si>
    <t>Burrito Xxl 2</t>
  </si>
  <si>
    <t>Game.AddToInventory("Items.MediumQualityFood13", 1)</t>
  </si>
  <si>
    <t>Mr. Whitey Crystal</t>
  </si>
  <si>
    <t>Game.AddToInventory("Items.MediumQualityFood14", 1)</t>
  </si>
  <si>
    <t>Mr. Whitey Spiced</t>
  </si>
  <si>
    <t>Game.AddToInventory("Items.MediumQualityFood15", 1)</t>
  </si>
  <si>
    <t>Taco</t>
  </si>
  <si>
    <t>Game.AddToInventory("Items.MediumQualityFood16", 1)</t>
  </si>
  <si>
    <t>Shwabshwab Grape</t>
  </si>
  <si>
    <t>Game.AddToInventory("Items.MediumQualityFood17", 1)</t>
  </si>
  <si>
    <t>Shwabshwab Ketchup</t>
  </si>
  <si>
    <t>Game.AddToInventory("Items.MediumQualityFood18", 1)</t>
  </si>
  <si>
    <t>Shwabshwab Blue</t>
  </si>
  <si>
    <t>Game.AddToInventory("Items.MediumQualityFood19", 1)</t>
  </si>
  <si>
    <t>Rammmmen</t>
  </si>
  <si>
    <t>Game.AddToInventory("Items.MediumQualityFood2", 1)</t>
  </si>
  <si>
    <t>Slaughterhouse Veggie</t>
  </si>
  <si>
    <t>Game.AddToInventory("Items.MediumQualityFood20", 1)</t>
  </si>
  <si>
    <t>Slaughterhouse Jerky</t>
  </si>
  <si>
    <t>Game.AddToInventory("Items.MediumQualityFood3", 1)</t>
  </si>
  <si>
    <t>Burrito Xxl</t>
  </si>
  <si>
    <t>Game.AddToInventory("Items.MediumQualityFood4", 1)</t>
  </si>
  <si>
    <t>All Foods Meat Delight</t>
  </si>
  <si>
    <t>Game.AddToInventory("Items.MediumQualityFood5", 1)</t>
  </si>
  <si>
    <t>All Foods Veggie Delight</t>
  </si>
  <si>
    <t>Game.AddToInventory("Items.MediumQualityFood6", 1)</t>
  </si>
  <si>
    <t>Slaughterhouse Prime</t>
  </si>
  <si>
    <t>Game.AddToInventory("Items.MediumQualityFood7", 1)</t>
  </si>
  <si>
    <t>Yikes Tofu</t>
  </si>
  <si>
    <t>Game.AddToInventory("Items.MediumQualityFood8", 1)</t>
  </si>
  <si>
    <t>Ave Saitan</t>
  </si>
  <si>
    <t>Game.AddToInventory("Items.MediumQualityFood9", 1)</t>
  </si>
  <si>
    <t>Soy Paste</t>
  </si>
  <si>
    <t>Game.AddToInventory("Items.NomadsFood1", 1)</t>
  </si>
  <si>
    <t>Dried Meat</t>
  </si>
  <si>
    <t>Game.AddToInventory("Items.NomadsFood2", 1)</t>
  </si>
  <si>
    <t>Maxdoc Mk.1</t>
  </si>
  <si>
    <t>Game.AddToInventory("Items.FirstAidWhiffV0", 1)</t>
  </si>
  <si>
    <t>Instantly Restores 50 Health</t>
  </si>
  <si>
    <t>Maxdoc Mk.1+</t>
  </si>
  <si>
    <t>Game.AddToInventory("Items.FirstAidWhiffVCommonPlus", 1)</t>
  </si>
  <si>
    <t>Instantly Restores 58 Health</t>
  </si>
  <si>
    <t>Game.AddToInventory("Items.FirstAidWhiffVUncommon", 1)</t>
  </si>
  <si>
    <t>Instantly Restores 65 Health</t>
  </si>
  <si>
    <t>Maxdoc Mk.2+</t>
  </si>
  <si>
    <t>Game.AddToInventory("Items.FirstAidWhiffVUncommonPlus", 1)</t>
  </si>
  <si>
    <t>Instantly Restores 72 Health</t>
  </si>
  <si>
    <t>Maxdoc Mk.3</t>
  </si>
  <si>
    <t>Game.AddToInventory("Items.FirstAidWhiffV1", 1)</t>
  </si>
  <si>
    <t>Instantly Restores 84 Health</t>
  </si>
  <si>
    <t>Maxdoc Mk.3+</t>
  </si>
  <si>
    <t>Game.AddToInventory("Items.FirstAidWhiffVRarePlus", 1)</t>
  </si>
  <si>
    <t>Instantly Restores 92 Health</t>
  </si>
  <si>
    <t>Game.AddToInventory("Items.FirstAidWhiffVEpic", 1)</t>
  </si>
  <si>
    <t>Instantly Restores 100 Health</t>
  </si>
  <si>
    <t>Maxdoc Mk.4+</t>
  </si>
  <si>
    <t>Game.AddToInventory("Items.FirstAidWhiffVEpicPlus", 1)</t>
  </si>
  <si>
    <t>Instantly Restores 107 Health</t>
  </si>
  <si>
    <t>Maxdoc Mk.5</t>
  </si>
  <si>
    <t>Game.AddToInventory("Items.FirstAidWhiffV2", 1)</t>
  </si>
  <si>
    <t>Instantly Restores 116 Health</t>
  </si>
  <si>
    <t>Maxdoc Mk.5+</t>
  </si>
  <si>
    <t>Game.AddToInventory("Items.FirstAidWhiffVLegendaryPlus", 1)</t>
  </si>
  <si>
    <t>Instantly Restores 126 Health</t>
  </si>
  <si>
    <t>Bounce Back Mk.1</t>
  </si>
  <si>
    <t>Game.AddToInventory("Items.BonesMcCoy70V0", 1)</t>
  </si>
  <si>
    <t>Instantly Restores 10 Health | Then 6 Health Per Sec For 10sec</t>
  </si>
  <si>
    <t>Bounce Back Mk.1+</t>
  </si>
  <si>
    <t>Game.AddToInventory("Items.BonesMcCoy70VCommonPlus", 1)</t>
  </si>
  <si>
    <t>Instantly Restores 10 Health | Then 7 Health Per Sec For 10sec</t>
  </si>
  <si>
    <t>Game.AddToInventory("Items.BonesMcCoy70VUncommon", 1)</t>
  </si>
  <si>
    <t>Instantly Restores 10 Health | Then 8 Health Per Sec For 10sec</t>
  </si>
  <si>
    <t>Bounce Back Mk.2+</t>
  </si>
  <si>
    <t>Game.AddToInventory("Items.BonesMcCoy70VUncommonPlus", 1)</t>
  </si>
  <si>
    <t>Instantly Restores 12 Health | Then 9 Health Per Sec For 10sec</t>
  </si>
  <si>
    <t>Bounce Back Mk.3</t>
  </si>
  <si>
    <t>Game.AddToInventory("Items.BonesMcCoy70V1", 1)</t>
  </si>
  <si>
    <t>Instantly Restores 12 Health | Then 11 Health Per Sec For 10sec</t>
  </si>
  <si>
    <t>Bounce Back Mk.3+</t>
  </si>
  <si>
    <t>Game.AddToInventory("Items.BonesMcCoy70VRarePlus", 1)</t>
  </si>
  <si>
    <t>Instantly Restores 18 Health | Then 12 Health Per Sec For 10sec</t>
  </si>
  <si>
    <t>Game.AddToInventory("Items.BonesMcCoy70VEpic", 1)</t>
  </si>
  <si>
    <t>Instantly Restores 20 Health | Then 13 Health Per Sec For 10sec</t>
  </si>
  <si>
    <t>Bounce Back Mk.4+</t>
  </si>
  <si>
    <t>Game.AddToInventory("Items.BonesMcCoy70VEpicPlus", 1)</t>
  </si>
  <si>
    <t>Instantly Restores 22 Health | Then 14 Health Per Sec For 10sec</t>
  </si>
  <si>
    <t>Bounce Back Mk.5</t>
  </si>
  <si>
    <t>Game.AddToInventory("Items.BonesMcCoy70V2", 1)</t>
  </si>
  <si>
    <t>Instantly Restores 25 Health | Then 15 Health Per Sec For 10sec</t>
  </si>
  <si>
    <t>Bounce Back Mk.5+</t>
  </si>
  <si>
    <t>Game.AddToInventory("Items.BonesMcCoy70VLegendaryPlus", 1)</t>
  </si>
  <si>
    <t>Instantly Restores 30 Health | Then 17 Health Per Sec For 10sec</t>
  </si>
  <si>
    <t xml:space="preserve">Debug Inhaler </t>
  </si>
  <si>
    <t>Game.AddToInventory("TEST.InstantFullHealInhaler", 1)</t>
  </si>
  <si>
    <t>Left By Cdpr Without Cooldown - They Might Remove It With An Update</t>
  </si>
  <si>
    <t>Game.AddToInventory("TEST.OverPoweredInhaler", 1)</t>
  </si>
  <si>
    <t>Menu</t>
  </si>
  <si>
    <t>Mfr.</t>
  </si>
  <si>
    <t>Misc Info</t>
  </si>
  <si>
    <t>Column 7</t>
  </si>
  <si>
    <t>Column 8</t>
  </si>
  <si>
    <t>Column 9</t>
  </si>
  <si>
    <t>Column 10</t>
  </si>
  <si>
    <t>Column 11</t>
  </si>
  <si>
    <t>Column 12</t>
  </si>
  <si>
    <t>Column 13</t>
  </si>
  <si>
    <t>Column 14</t>
  </si>
  <si>
    <t>Column 15</t>
  </si>
  <si>
    <t>Column 16</t>
  </si>
  <si>
    <t>Column 17</t>
  </si>
  <si>
    <t>Column 18</t>
  </si>
  <si>
    <t>Column 19</t>
  </si>
  <si>
    <t>Unlock</t>
  </si>
  <si>
    <t>Motorcycle</t>
  </si>
  <si>
    <t>Brennan</t>
  </si>
  <si>
    <t>Apollo "Scorpion"</t>
  </si>
  <si>
    <t>Vehicle = "Vehicle.v_sportbike3_brennan_apollo_nomad_player";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</si>
  <si>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Remove</t>
  </si>
  <si>
    <t>Vehicle = "Vehicle.v_sportbike3_brennan_apollo_nomad_player";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</si>
  <si>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Apollo</t>
  </si>
  <si>
    <t>Vehicle = "Vehicle.v_sportbike3_brennan_apollo_player";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</si>
  <si>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"Vehicle.v_sportbike3_brennan_apollo_player";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</si>
  <si>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Apollo 650-S</t>
  </si>
  <si>
    <t>Vehicle = "Vehicle.v_sportbike3_brennan_apollo_player_02";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</si>
  <si>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Patch 2.1</t>
  </si>
  <si>
    <t>Vehicle = "Vehicle.v_sportbike3_brennan_apollo_player_02";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</si>
  <si>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Economy</t>
  </si>
  <si>
    <t>Mahir</t>
  </si>
  <si>
    <t>Supron Fs3</t>
  </si>
  <si>
    <t>Vehicle = "Vehicle.v_standard25_mahir_supron_player";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</si>
  <si>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"Vehicle.v_standard25_mahir_supron_player";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</si>
  <si>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Makigai</t>
  </si>
  <si>
    <t>Maimai P126 ♥</t>
  </si>
  <si>
    <t>Vehicle = "Vehicle.v_standard2_makigai_maimai_player";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</si>
  <si>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"Vehicle.v_standard2_makigai_maimai_player";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</si>
  <si>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Thorton</t>
  </si>
  <si>
    <t>Galena Ga32t</t>
  </si>
  <si>
    <t>Vehicle = "Vehicle.v_standard2_thorton_galena_gt_player";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</si>
  <si>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Patch 2.2</t>
  </si>
  <si>
    <t>Vehicle = "Vehicle.v_standard2_thorton_galena_gt_player";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</si>
  <si>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Vehicle = "Vehicle.v_standard2_thorton_galena_player";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</si>
  <si>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"Vehicle.v_standard2_thorton_galena_player";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</si>
  <si>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Supron Fs3-T</t>
  </si>
  <si>
    <t>Vehicle = "Vehicle.v_standard25_mahir_supron_gt_player";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</si>
  <si>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"Vehicle.v_standard25_mahir_supron_gt_player";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</si>
  <si>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Sport</t>
  </si>
  <si>
    <t>Archer</t>
  </si>
  <si>
    <t>Quartz Ec-L R275</t>
  </si>
  <si>
    <t>Vehicle = "Vehicle.v_standard2_archer_quartz_base_player";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</si>
  <si>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"Vehicle.v_standard2_archer_quartz_base_player";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</si>
  <si>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Arch</t>
  </si>
  <si>
    <t>Jackie's Arch</t>
  </si>
  <si>
    <t>Vehicle = "Vehicle.v_sportbike2_arch_jackie_player";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</si>
  <si>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Jackie's</t>
  </si>
  <si>
    <t>Vehicle = "Vehicle.v_sportbike2_arch_jackie_player";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</si>
  <si>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Malina-Mobile</t>
  </si>
  <si>
    <t>Vehicle = "Vehicle.v_sportbike2_arch_linas_player";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</si>
  <si>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Patch 2.0</t>
  </si>
  <si>
    <t>Vehicle = "Vehicle.v_sportbike2_arch_linas_player";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</si>
  <si>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Nazaré</t>
  </si>
  <si>
    <t>Vehicle = "Vehicle.v_sportbike2_arch_player";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</si>
  <si>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"Vehicle.v_sportbike2_arch_player";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</si>
  <si>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Nazaré "Racer"</t>
  </si>
  <si>
    <t>Vehicle = "Vehicle.v_sportbike2_arch_player_02";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</si>
  <si>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"Vehicle.v_sportbike2_arch_player_02";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</si>
  <si>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Nazaré "Kobold"</t>
  </si>
  <si>
    <t>Vehicle = "Vehicle.v_sportbike2_arch_player_03";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</si>
  <si>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"Vehicle.v_sportbike2_arch_player_03";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</si>
  <si>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Nazaré "Itsumade"</t>
  </si>
  <si>
    <t>Vehicle = "Vehicle.v_sportbike2_arch_tyger_player";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</si>
  <si>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"Vehicle.v_sportbike2_arch_tyger_player";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</si>
  <si>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C125</t>
  </si>
  <si>
    <t>Vehicle = "Vehicle.v_standard2_thorton_colby_player";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</si>
  <si>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"Vehicle.v_standard2_thorton_colby_player";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</si>
  <si>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Yaiba</t>
  </si>
  <si>
    <t>Kusanagi Ct-3x</t>
  </si>
  <si>
    <t>Vehicle = "Vehicle.v_sportbike1_yaiba_kusanagi_player";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</si>
  <si>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"Vehicle.v_sportbike1_yaiba_kusanagi_player";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</si>
  <si>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Kusanagi "Peacekeeper"</t>
  </si>
  <si>
    <t>Vehicle = "Vehicle.v_sportbike1_yaiba_kusanagi_player_02";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</si>
  <si>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"Vehicle.v_sportbike1_yaiba_kusanagi_player_02";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</si>
  <si>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Kusanagi "Akashita"</t>
  </si>
  <si>
    <t>Vehicle = "Vehicle.v_sportbike1_yaiba_kusanagi_player_03";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</si>
  <si>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"Vehicle.v_sportbike1_yaiba_kusanagi_player_03";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</si>
  <si>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Kusanagi "Mizuchi"</t>
  </si>
  <si>
    <t>Vehicle = "Vehicle.v_sportbike1_yaiba_kusanagi_tyger_player";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</si>
  <si>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"Vehicle.v_sportbike1_yaiba_kusanagi_tyger_player";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</si>
  <si>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Jackie's Tuned Arch</t>
  </si>
  <si>
    <t>Vehicle = "Vehicle.v_sportbike2_arch_jackie_tuned_player";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</si>
  <si>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"Vehicle.v_sportbike2_arch_jackie_tuned_player";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</si>
  <si>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Executive</t>
  </si>
  <si>
    <t>Villefort</t>
  </si>
  <si>
    <t>Columbus V340-F Freight</t>
  </si>
  <si>
    <t>Vehicle = "Vehicle.v_standard25_villefort_columbus_player";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</si>
  <si>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"Vehicle.v_standard25_villefort_columbus_player";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</si>
  <si>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Quartz Ec-T2 R660</t>
  </si>
  <si>
    <t>Vehicle = "Vehicle.v_standard2_archer_quartz_player";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</si>
  <si>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"Vehicle.v_standard2_archer_quartz_player";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</si>
  <si>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Hella Ec-D I360</t>
  </si>
  <si>
    <t>Vehicle = "Vehicle.v_standard2_archer_hella_player";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</si>
  <si>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V’s Car</t>
  </si>
  <si>
    <t>Vehicle = "Vehicle.v_standard2_archer_hella_player";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</si>
  <si>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Tanishi T400</t>
  </si>
  <si>
    <t>Vehicle = "Vehicle.v_standard3_makigai_tanishi_player_mr_hands";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</si>
  <si>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"Vehicle.v_standard3_makigai_tanishi_player_mr_hands";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</si>
  <si>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Cx 410 Butte   [ Red ]</t>
  </si>
  <si>
    <t>Vehicle = "Vehicle.v_standard25_thorton_colby_pickup_02_player";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</si>
  <si>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Red</t>
  </si>
  <si>
    <t>Vehicle = "Vehicle.v_standard25_thorton_colby_pickup_02_player";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</si>
  <si>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Cx 410 Butte   [ Green ]</t>
  </si>
  <si>
    <t>Vehicle = "Vehicle.v_standard25_thorton_colby_pickup_player";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</si>
  <si>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Green</t>
  </si>
  <si>
    <t>Vehicle = "Vehicle.v_standard25_thorton_colby_pickup_player";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</si>
  <si>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Cst40</t>
  </si>
  <si>
    <t>Vehicle = "Vehicle.v_standard2_thorton_colby_gt_player";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</si>
  <si>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"Vehicle.v_standard2_thorton_colby_gt_player";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</si>
  <si>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Mizutani</t>
  </si>
  <si>
    <t>Hozuki Mh2</t>
  </si>
  <si>
    <t>Vehicle = "Vehicle.v_standard2_mizutani_hozuki_gt_player";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</si>
  <si>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"Vehicle.v_standard2_mizutani_hozuki_gt_player";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</si>
  <si>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Tanishi “Kuma”</t>
  </si>
  <si>
    <t>Vehicle = "Vehicle.v_standard3_makigai_tanishi_player";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</si>
  <si>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"Vehicle.v_standard3_makigai_tanishi_player";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</si>
  <si>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Heavy Duty</t>
  </si>
  <si>
    <t>Colby Barghest</t>
  </si>
  <si>
    <t>Vehicle = "Vehicle.v_standard25_thorton_colby_pickup_kurtz_player";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</si>
  <si>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"Vehicle.v_standard25_thorton_colby_pickup_kurtz_player";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</si>
  <si>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Galena "Rattler"</t>
  </si>
  <si>
    <t>Vehicle = "Vehicle.v_standard2_thorton_galena_bobas_player";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</si>
  <si>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"Vehicle.v_standard2_thorton_galena_bobas_player";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</si>
  <si>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Porsche</t>
  </si>
  <si>
    <t>911 Turbo Cabriolet (930)</t>
  </si>
  <si>
    <t>Vehicle = "Vehicle.v_sport2_porsche_911turbo_cabrio_player";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</si>
  <si>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"Vehicle.v_sport2_porsche_911turbo_cabrio_player";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</si>
  <si>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911 Ii (930) Turbo</t>
  </si>
  <si>
    <t>Vehicle = "Vehicle.v_sport2_porsche_911turbo_player";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</si>
  <si>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"Vehicle.v_sport2_porsche_911turbo_player";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</si>
  <si>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Mz1</t>
  </si>
  <si>
    <t>Vehicle = "Vehicle.v_sport2_mizutani_shion_base_player";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</si>
  <si>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</si>
  <si>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Delamain No.21</t>
  </si>
  <si>
    <t>Vehicle = "Vehicle.v_standard2_villefort_cortes_delamain_player";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</si>
  <si>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"Vehicle.v_standard2_villefort_cortes_delamain_player";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</si>
  <si>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Cortes V5000 Valor</t>
  </si>
  <si>
    <t>Vehicle = "Vehicle.v_standard2_villefort_cortes_player";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</si>
  <si>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Pink</t>
  </si>
  <si>
    <t>Vehicle = "Vehicle.v_standard2_villefort_cortes_player";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</si>
  <si>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Supron “Trailbruiser”</t>
  </si>
  <si>
    <t>Vehicle = "Vehicle.v_standard3_mahir_supron_kurtz_player";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</si>
  <si>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"Vehicle.v_standard3_mahir_supron_kurtz_player";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</si>
  <si>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Hozuki “Hoseki”</t>
  </si>
  <si>
    <t>Vehicle = "Vehicle.v_standard2_mizutani_hozuki_player";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</si>
  <si>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"Vehicle.v_standard2_mizutani_hozuki_player";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</si>
  <si>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Quartz "Bandit"</t>
  </si>
  <si>
    <t>Vehicle = "Vehicle.v_standard2_archer_bandit_player";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</si>
  <si>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Dlc</t>
  </si>
  <si>
    <t>Vehicle = "Vehicle.v_standard2_archer_bandit_player";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</si>
  <si>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Galena "Gecko"</t>
  </si>
  <si>
    <t>Vehicle = "Vehicle.v_standard2_thorton_galena_nomad_player";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</si>
  <si>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"Vehicle.v_standard2_thorton_galena_nomad_player";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</si>
  <si>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Galena "Locust"</t>
  </si>
  <si>
    <t>Vehicle = "Vehicle.v_standard2_thorton_galena_nomad_player_missiles";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</si>
  <si>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"Vehicle.v_standard2_thorton_galena_nomad_player_missiles";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</si>
  <si>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"Little Mule"</t>
  </si>
  <si>
    <t>Vehicle = "Vehicle.v_standard25_thorton_colby_nomad_player";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</si>
  <si>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"Vehicle.v_standard25_thorton_colby_nomad_player";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</si>
  <si>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Colby “Vulture”</t>
  </si>
  <si>
    <t>Vehicle = "Vehicle.v_standard25_thorton_colby_nomad_player_missiles";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</si>
  <si>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"Vehicle.v_standard25_thorton_colby_nomad_player_missiles";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</si>
  <si>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Chevillion</t>
  </si>
  <si>
    <t>Thrax 338 Jefferson</t>
  </si>
  <si>
    <t>Vehicle = "Vehicle.v_standard2_chevalier_thrax_player";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</si>
  <si>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"Vehicle.v_standard2_chevalier_thrax_player";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</si>
  <si>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Deleon V410-S Coupe</t>
  </si>
  <si>
    <t>Vehicle = "Vehicle.v_sport2_villefort_deleon_sport_player";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</si>
  <si>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"Vehicle.v_sport2_villefort_deleon_sport_player";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</si>
  <si>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Alvarado V4fh 570 Herman</t>
  </si>
  <si>
    <t>Vehicle = "Vehicle.v_sport2_villefort_alvarado_hearse_player";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</si>
  <si>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"Vehicle.v_sport2_villefort_alvarado_hearse_player";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</si>
  <si>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Alvarado V4f 570 Delegate</t>
  </si>
  <si>
    <t>Vehicle = "Vehicle.v_sport2_villefort_alvarado_player";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</si>
  <si>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"Vehicle.v_sport2_villefort_alvarado_player";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</si>
  <si>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Alvarado "Vato"</t>
  </si>
  <si>
    <t>Vehicle = "Vehicle.v_sport2_villefort_alvarado_valentinos_player";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</si>
  <si>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"Vehicle.v_sport2_villefort_alvarado_valentinos_player";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</si>
  <si>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Mackinaw Mtl1</t>
  </si>
  <si>
    <t>Vehicle = "Vehicle.v_standard3_thorton_mackinaw_player";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</si>
  <si>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"Vehicle.v_standard3_thorton_mackinaw_player";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</si>
  <si>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Deleon “Vindicator”</t>
  </si>
  <si>
    <t>Vehicle = "Vehicle.v_sport2_villefort_deleon_player";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</si>
  <si>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"Vehicle.v_sport2_villefort_deleon_player";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</si>
  <si>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"Bonewrecker"</t>
  </si>
  <si>
    <t>Vehicle = "Vehicle.v_sport2_mizutani_shion_nomad_02_player";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</si>
  <si>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"Vehicle.v_sport2_mizutani_shion_nomad_02_player";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</si>
  <si>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“Samum”</t>
  </si>
  <si>
    <t>Vehicle = "Vehicle.v_sport2_mizutani_shion_nomad_player_missiles";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</si>
  <si>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"Vehicle.v_sport2_mizutani_shion_nomad_player_missiles";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</si>
  <si>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Quadra</t>
  </si>
  <si>
    <t>Sport R-7 “Charon”</t>
  </si>
  <si>
    <t>Vehicle = "Vehicle.v_sport1_quadra_sport_r7_netrunner";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</si>
  <si>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"Vehicle.v_sport1_quadra_sport_r7_netrunner";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</si>
  <si>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Turbo-R 740</t>
  </si>
  <si>
    <t>Vehicle = "Vehicle.v_sport1_quadra_turbo_player";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</si>
  <si>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"Vehicle.v_sport1_quadra_turbo_player";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</si>
  <si>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Mz2</t>
  </si>
  <si>
    <t>Vehicle = "Vehicle.v_sport2_mizutani_shion_player";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</si>
  <si>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</si>
  <si>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Targa Mzt</t>
  </si>
  <si>
    <t>Vehicle = "Vehicle.v_sport2_mizutani_shion_targa_player";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</si>
  <si>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"Vehicle.v_sport2_mizutani_shion_targa_player";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</si>
  <si>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Quartz “Sidewinter”</t>
  </si>
  <si>
    <t>Vehicle = "Vehicle.v_standard2_archer_quartz_nomad_player";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</si>
  <si>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"Vehicle.v_standard2_archer_quartz_nomad_player";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</si>
  <si>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Quartz “Specter”</t>
  </si>
  <si>
    <t>Vehicle = "Vehicle.v_standard2_archer_quartz_nomad_player_02";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</si>
  <si>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"Vehicle.v_standard2_archer_quartz_nomad_player_02";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</si>
  <si>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Emperor 620 Ragnar</t>
  </si>
  <si>
    <t>Vehicle = "Vehicle.v_standard3_chevalier_emperor_player";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</si>
  <si>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"Vehicle.v_standard3_chevalier_emperor_player";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</si>
  <si>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Sport R-7 “Sterling”</t>
  </si>
  <si>
    <t>Vehicle = "Vehicle.v_sport1_quadra_sport_r7_mrhands";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</si>
  <si>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"Vehicle.v_sport1_quadra_sport_r7_mrhands";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</si>
  <si>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Type-66 640 Ts</t>
  </si>
  <si>
    <t>Vehicle = "Vehicle.v_sport2_quadra_type66_02_player";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</si>
  <si>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</si>
  <si>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Vehicle = "Vehicle.v_sport2_quadra_type66_base_player";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</si>
  <si>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"Vehicle.v_sport2_quadra_type66_base_player";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</si>
  <si>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Mackinaw "Saguaro"</t>
  </si>
  <si>
    <t>Vehicle = "Vehicle.v_standard3_thorton_mackinaw_02_player";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</si>
  <si>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"Vehicle.v_standard3_thorton_mackinaw_02_player";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</si>
  <si>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Mackinaw "Beast"</t>
  </si>
  <si>
    <t>Vehicle = "Vehicle.v_standard3_thorton_mackinaw_ncu_player";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</si>
  <si>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"Vehicle.v_standard3_thorton_mackinaw_ncu_player";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</si>
  <si>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Shion "Coyote"</t>
  </si>
  <si>
    <t>Vehicle = "Vehicle.v_sport2_mizutani_shion_nomad_player";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</si>
  <si>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"Vehicle.v_sport2_mizutani_shion_nomad_player";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</si>
  <si>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Type-66 680 Ts</t>
  </si>
  <si>
    <t>Vehicle = "Vehicle.v_sport2_quadra_type66_gt_player";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</si>
  <si>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"Vehicle.v_sport2_quadra_type66_gt_player";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</si>
  <si>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"Jen Rowley"</t>
  </si>
  <si>
    <t>Vehicle = "Vehicle.v_sport2_quadra_type66_player";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</si>
  <si>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</si>
  <si>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Merrimac “Warlock”</t>
  </si>
  <si>
    <t>Vehicle = "Vehicle.v_standard25_thorton_merrimac_player";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</si>
  <si>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"Vehicle.v_standard25_thorton_merrimac_player";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</si>
  <si>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"Cthulhu"</t>
  </si>
  <si>
    <t>Vehicle = "Vehicle.v_sport2_quadra_type66_nomad_ncu_player";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</si>
  <si>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"Vehicle.v_sport2_quadra_type66_nomad_ncu_player";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</si>
  <si>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Sport R-7 “Chiaroscuro”</t>
  </si>
  <si>
    <t>Vehicle = "Vehicle.v_sport1_quadra_sport_r7_player";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</si>
  <si>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"Vehicle.v_sport1_quadra_sport_r7_player";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</si>
  <si>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Sport R-7 “Vigilante”</t>
  </si>
  <si>
    <t>Vehicle = "Vehicle.v_sport1_quadra_sport_r7_player_02";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</si>
  <si>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"Vehicle.v_sport1_quadra_sport_r7_player_02";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</si>
  <si>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Turbo-R V-Tech</t>
  </si>
  <si>
    <t>Vehicle = "Vehicle.v_sport1_quadra_turbo_r_player";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</si>
  <si>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"Vehicle.v_sport1_quadra_turbo_r_player";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</si>
  <si>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Hypercar</t>
  </si>
  <si>
    <t>Herrera</t>
  </si>
  <si>
    <t>Outlaw “Weiler”</t>
  </si>
  <si>
    <t>Vehicle = "Vehicle.v_sport1_herrera_outlaw_heist_player";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</si>
  <si>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"Vehicle.v_sport1_herrera_outlaw_heist_player";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</si>
  <si>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Outlaw</t>
  </si>
  <si>
    <t>Vehicle = "Vehicle.v_sport1_herrera_outlaw_player";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</si>
  <si>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"Vehicle.v_sport1_herrera_outlaw_player";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</si>
  <si>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Avenger</t>
  </si>
  <si>
    <t>Vehicle = "Vehicle.v_sport2_quadra_type66_avenger_player";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</si>
  <si>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"Vehicle.v_sport2_quadra_type66_avenger_player";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</si>
  <si>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Riptide “Terrier”</t>
  </si>
  <si>
    <t>Vehicle = "Vehicle.v_sport1_herrera_riptide_player";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</si>
  <si>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"Vehicle.v_sport1_herrera_riptide_player";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</si>
  <si>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Hellhound</t>
  </si>
  <si>
    <t>Vehicle = "Vehicle.v_standard3_militech_hellhound_player";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</si>
  <si>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"Vehicle.v_standard3_militech_hellhound_player";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</si>
  <si>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“Hoon”</t>
  </si>
  <si>
    <t>Vehicle = "Vehicle.v_sport2_quadra_type66_nomad_tribute";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</si>
  <si>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"Vehicle.v_sport2_quadra_type66_nomad_tribute";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</si>
  <si>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Rayfield</t>
  </si>
  <si>
    <t>Aerondight "Guinevere"</t>
  </si>
  <si>
    <t>Vehicle = "Vehicle.v_sport1_rayfield_aerondight_player";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</si>
  <si>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"Vehicle.v_sport1_rayfield_aerondight_player";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</si>
  <si>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"Javelina"</t>
  </si>
  <si>
    <t>Vehicle = "Vehicle.v_sport2_quadra_type66_nomad_player";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</si>
  <si>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"Vehicle.v_sport2_quadra_type66_nomad_player";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</si>
  <si>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Type-66 “Wingate”</t>
  </si>
  <si>
    <t>Vehicle = "Vehicle.v_sport2_quadra_type66_nomad_player_03";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</si>
  <si>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"Vehicle.v_sport2_quadra_type66_nomad_player_03";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</si>
  <si>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Mackinaw "Demiurge"</t>
  </si>
  <si>
    <t>Vehicle = "Vehicle.v_utility4_thorton_mackinaw_bmf_player";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</si>
  <si>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"Vehicle.v_utility4_thorton_mackinaw_bmf_player";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</si>
  <si>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Caliburn  "Murkmobile"</t>
  </si>
  <si>
    <t>Vehicle = "Vehicle.v_sport1_rayfield_caliburn_02_player";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</si>
  <si>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Black</t>
  </si>
  <si>
    <t>Vehicle = "Vehicle.v_sport1_rayfield_caliburn_02_player";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</si>
  <si>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Caliburn</t>
  </si>
  <si>
    <t>Vehicle = "Vehicle.v_sport1_rayfield_caliburn_player";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</si>
  <si>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"Vehicle.v_sport1_rayfield_caliburn_player";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</si>
  <si>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UNLOCK</t>
  </si>
  <si>
    <t>Caliburn "Mordred"</t>
  </si>
  <si>
    <t>Vehicle = "Vehicle.v_sport1_rayfield_caliburn_mordred_player";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</si>
  <si>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Patch 2.3</t>
  </si>
  <si>
    <t>REMOVE</t>
  </si>
  <si>
    <t>Vehicle = "Vehicle.v_sport1_rayfield_caliburn_mordred_player";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</si>
  <si>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V1]</t>
  </si>
  <si>
    <t>Vehicle = "Vehicle.v_sportbike1_yaiba_muramasa_naked";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</si>
  <si>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</si>
  <si>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V2]</t>
  </si>
  <si>
    <t>Vehicle = "Vehicle.v_sportbike1_yaiba_muramasa_naked_as";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</si>
  <si>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"Vehicle.v_sportbike1_yaiba_muramasa_naked_as";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</si>
  <si>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V3]</t>
  </si>
  <si>
    <t>Vehicle = "Vehicle.v_sportbike1_yaiba_muramasa_naked_as_nr";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</si>
  <si>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"Vehicle.v_sportbike1_yaiba_muramasa_naked_as_nr";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</si>
  <si>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V4]</t>
  </si>
  <si>
    <t>Vehicle = "Vehicle.v_sportbike1_yaiba_muramasa_naked_as_ns";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</si>
  <si>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"Vehicle.v_sportbike1_yaiba_muramasa_naked_as_ns";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</si>
  <si>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V5]</t>
  </si>
  <si>
    <t>Vehicle = "Vehicle.v_sportbike1_yaiba_muramasa_naked_as_ns_nr";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</si>
  <si>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"Vehicle.v_sportbike1_yaiba_muramasa_naked_as_ns_nr";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</si>
  <si>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V6]</t>
  </si>
  <si>
    <t>Vehicle = "Vehicle.v_sportbike1_yaiba_muramasa_naked_nr";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</si>
  <si>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</si>
  <si>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V7]</t>
  </si>
  <si>
    <t>Vehicle = "Vehicle.v_sportbike1_yaiba_muramasa_naked_ns";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</si>
  <si>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</si>
  <si>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[Naked V8]</t>
  </si>
  <si>
    <t>Vehicle = "Vehicle.v_sportbike1_yaiba_muramasa_naked_ns_nr";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</si>
  <si>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"Vehicle.v_sportbike1_yaiba_muramasa_naked_ns_nr";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</si>
  <si>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V1]</t>
  </si>
  <si>
    <t>Vehicle = "Vehicle.v_sportbike1_yaiba_muramasa_regular";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</si>
  <si>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</si>
  <si>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V2]</t>
  </si>
  <si>
    <t>Vehicle = "Vehicle.v_sportbike1_yaiba_muramasa_regular_as";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</si>
  <si>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"Vehicle.v_sportbike1_yaiba_muramasa_regular_as";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</si>
  <si>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V3]</t>
  </si>
  <si>
    <t>Vehicle = "Vehicle.v_sportbike1_yaiba_muramasa_regular_as_nr";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</si>
  <si>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"Vehicle.v_sportbike1_yaiba_muramasa_regular_as_nr";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</si>
  <si>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V4]</t>
  </si>
  <si>
    <t>Vehicle = "Vehicle.v_sportbike1_yaiba_muramasa_regular_as_ns";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</si>
  <si>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"Vehicle.v_sportbike1_yaiba_muramasa_regular_as_ns";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</si>
  <si>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V5]</t>
  </si>
  <si>
    <t>Vehicle = "Vehicle.v_sportbike1_yaiba_muramasa_regular_as_ns_nr";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</si>
  <si>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"Vehicle.v_sportbike1_yaiba_muramasa_regular_as_ns_nr";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</si>
  <si>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V6]</t>
  </si>
  <si>
    <t>Vehicle = "Vehicle.v_sportbike1_yaiba_muramasa_regular_nr";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</si>
  <si>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</si>
  <si>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V7]</t>
  </si>
  <si>
    <t>Vehicle = "Vehicle.v_sportbike1_yaiba_muramasa_regular_ns";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</si>
  <si>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"Vehicle.v_sportbike1_yaiba_muramasa_regular_ns";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</si>
  <si>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ASM-R250 Muramasa  [Regular V8]</t>
  </si>
  <si>
    <t>Vehicle = "Vehicle.v_sportbike1_yaiba_muramasa_regular_ns_nr";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</si>
  <si>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"Vehicle.v_sportbike1_yaiba_muramasa_regular_ns_nr";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</si>
  <si>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Chevillon</t>
  </si>
  <si>
    <t>Legatus 450 Aquila</t>
  </si>
  <si>
    <t>Vehicle = "Vehicle.v_utility4_chevalier_legatus_player";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</si>
  <si>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"Vehicle.v_utility4_chevalier_legatus_player";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</si>
  <si>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Arv-Q340 Semimaru</t>
  </si>
  <si>
    <t>Vehicle = "Vehicle.v_sport1_yaiba_semimaru_player";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then alert(vehManufact..' - '..vehName..'\nALREADY IN THE GARAGE.') print(' \n\tALREADY IN THE GARAGE : '..vehManufact..' - '..vehName..'\n ') else VS:EnablePlayerVehicle(veh, true, false) alert('ADDED TO THE GARAGE :\n'..vehManufact..' - '..vehName) print(' \n\tADDED TO THE GARAGE : '..vehManufact..' - '..vehName..'\n ') end else local notValid = 'VEHICLE ID NOT VALID.'; print(' \n\t'..notValid..'\n ') alert(notValid) end vehCheck = nil; end addVehicle(Vehicle)</t>
  </si>
  <si>
    <t>Vehicle = "Vehicle.v_sport1_yaiba_semimaru_player"; function addVehicle(veh) local VS = Game.GetVehicleSystem(); local function alert(txt) PreventionSystem.ShowMessage(txt, 5.0) end if TweakDB:GetRecord(veh) then local vehManufact = TweakDB:GetRecord(veh):Manufacturer():EnumName(); local vehName = Game.GetLocalizedTextByKey(TDB.GetLocKey(veh..'.displayName')); if VS:IsVehiclePlayerUnlocked(veh) == false then alert(vehManufact..' - '..vehName..'\nVEHICLE NOT FOUND IN THE GARAGE.') print(' \n\tVEHICLE NOT FOUND IN THE GARAGE :  '..vehManufact..'  -  '..vehName..'\n ') else VS:EnablePlayerVehicle(veh, false, false) alert('VEHICLE REMOVED FROM THE GARAGE :\n'..vehManufact..'  -  '..vehName) print(' \n\tVEHICLE REMOVED FROM TO THE GARAGE :  '..vehManufact..'  -  '..vehName..'\n ') end else local notValid = 'VEHICLE ID NOT VALID.'; print(' \n\t'..notValid..'\n ') alert(notValid) end vehCheck = nil; end addVehicle(Vehicle)</t>
  </si>
  <si>
    <t>DISTRICT</t>
  </si>
  <si>
    <t>SUB-DISTRICT</t>
  </si>
  <si>
    <t>NOTES</t>
  </si>
  <si>
    <t>Home</t>
  </si>
  <si>
    <t>V's Apartment  [ Megabuilding H10 ]</t>
  </si>
  <si>
    <t>local loc = {x = -1386.554688, y = 1271.295044, z = 123.064896, rot = -93}; local name = '[ WATSON - LITTLE CHINA ]\nV\'s APARTMENT  [ MEGABUILDING H10 ]';  Game.GetTeleportationFacility():Teleport(Game.GetPlayer(), Vector4.new(loc.x, loc.y, loc.z, 1), EulerAngles.new(0, 0, loc.rot)) PreventionSystem.ShowMessage(name, 10.0)</t>
  </si>
  <si>
    <t>WATSON</t>
  </si>
  <si>
    <t>LITTLE CHINA</t>
  </si>
  <si>
    <t>V's Apartment  [ The Glen ]</t>
  </si>
  <si>
    <t>local loc = {x = -1524.962158, y = -969.364868, z = 86.970001, rot = -178}; local name = '[ HEYWOOD - THE GLEN ]\nV\'s APARTMENT';  Game.GetTeleportationFacility():Teleport(Game.GetPlayer(), Vector4.new(loc.x, loc.y, loc.z, 1), EulerAngles.new(0, 0, loc.rot)) PreventionSystem.ShowMessage(name, 10.0)</t>
  </si>
  <si>
    <t>HEYWOOD</t>
  </si>
  <si>
    <t>THE GLEN</t>
  </si>
  <si>
    <t>V's Apartment  [ Northside ]</t>
  </si>
  <si>
    <t>local loc = {x = -1504.432861, y = 2227.191895, z = 22.231918, rot = 12}; local name = '[ WATSON - NORTHSIDE ]\nV\'s APARTMENT';  Game.GetTeleportationFacility():Teleport(Game.GetPlayer(), Vector4.new(loc.x, loc.y, loc.z, 1), EulerAngles.new(0, 0, loc.rot)) PreventionSystem.ShowMessage(name, 10.0)</t>
  </si>
  <si>
    <t>NORTHSIDE</t>
  </si>
  <si>
    <t>V's Apartment  [ Japantown ]</t>
  </si>
  <si>
    <t>local loc = {x = -784.456055, y = 978.770142, z = 28.209541, rot = 124}; local name = '[ WESTBROOK - JAPANTOWN ]\nV\'s APARTMENT';  Game.GetTeleportationFacility():Teleport(Game.GetPlayer(), Vector4.new(loc.x, loc.y, loc.z, 1), EulerAngles.new(0, 0, loc.rot)) PreventionSystem.ShowMessage(name, 10.0)</t>
  </si>
  <si>
    <t>WESTBROOK</t>
  </si>
  <si>
    <t>JAPANTOWN</t>
  </si>
  <si>
    <t>V's Apartment  [ Corpo Plaza ]</t>
  </si>
  <si>
    <t>local loc = {x = -1599.058105, y = 353.415619, z = 49.200005, rot = 78}; local name = '[ CITY CENTER - CORPO PLAZA ]\nV\'s APARTMENT';  Game.GetTeleportationFacility():Teleport(Game.GetPlayer(), Vector4.new(loc.x, loc.y, loc.z, 1), EulerAngles.new(0, 0, loc.rot)) PreventionSystem.ShowMessage(name, 10.0)</t>
  </si>
  <si>
    <t>CITY CENTER</t>
  </si>
  <si>
    <t>CORPO PLAZA</t>
  </si>
  <si>
    <t>V's Apartment  [ Dogtown - Phantom Liberty ]</t>
  </si>
  <si>
    <t>local loc = {x = -2236.989746, y = -2556.452881, z = 80.300980, rot = -132}; local name = '[ PACIFICA - DOGTOWN ]\nV\'s APARTMENT';  Game.GetTeleportationFacility():Teleport(Game.GetPlayer(), Vector4.new(loc.x, loc.y, loc.z, 1), EulerAngles.new(0, 0, loc.rot)) PreventionSystem.ShowMessage(name, 10.0)</t>
  </si>
  <si>
    <t>PACIFICA</t>
  </si>
  <si>
    <t>DOGTOWN</t>
  </si>
  <si>
    <t>V's Mansion  [ Inside ]</t>
  </si>
  <si>
    <t>local loc = {x = -1340.657349, y = 1188.979004, z = 115.007172, rot = -1}; local name = '[ WATSON - LITTLE CHINA ]\nV\'s MANSION  [ INSIDE ]';  Game.GetTeleportationFacility():Teleport(Game.GetPlayer(), Vector4.new(loc.x, loc.y, loc.z, 1), EulerAngles.new(0, 0, loc.rot)) PreventionSystem.ShowMessage(name, 10.0)</t>
  </si>
  <si>
    <t>V's Mansion  [ Outside ]</t>
  </si>
  <si>
    <t>local loc = {x = -1340.912598, y = 1244.929443, z = 111.100006, rot = 176}; local name = '[ WATSON - LITTLE CHINA ]\nV\'s MANSION  [ OUTSIDE ]';  Game.GetTeleportationFacility():Teleport(Game.GetPlayer(), Vector4.new(loc.x, loc.y, loc.z, 1), EulerAngles.new(0, 0, loc.rot)) PreventionSystem.ShowMessage(name, 10.0)</t>
  </si>
  <si>
    <t>Npc - Fixer</t>
  </si>
  <si>
    <t>Dakota Smith</t>
  </si>
  <si>
    <t>local loc = {x = 2419.131836, y = -795.221985, z = 66.996750}; Game.GetTeleportationFacility():Teleport(Game.GetPlayer(), Vector4.new(loc.x, loc.y, loc.z, 1), EulerAngles.new(0, 0, 0)) PreventionSystem.ShowMessage("FIXER - DAKOTA SMITH  [BADLANDS - ROCKY RIDGE]", 10.0)</t>
  </si>
  <si>
    <t>BADLANDS</t>
  </si>
  <si>
    <t>ROCKY RIDGE</t>
  </si>
  <si>
    <t>Dino Dinovic</t>
  </si>
  <si>
    <t>local loc = {x = -1967.008423, y = 369.847382, z = 8.040825}; Game.GetTeleportationFacility():Teleport(Game.GetPlayer(), Vector4.new(loc.x, loc.y, loc.z, 1), EulerAngles.new(0, 0, 0)) PreventionSystem.ShowMessage("FIXER - DINO DINOVIC  [CITY CENTER - DOWNTOWN]", 10.0)</t>
  </si>
  <si>
    <t>DOWNTOWN</t>
  </si>
  <si>
    <t>Muamar "El Caliptan" Reyes</t>
  </si>
  <si>
    <t>local loc = {x = 405.594482, y = -2352.642578, z = 182.027740}; Game.GetTeleportationFacility():Teleport(Game.GetPlayer(), Vector4.new(loc.x, loc.y, loc.z, 1), EulerAngles.new(0, 0, 0)) PreventionSystem.ShowMessage("FIXER - MUMAR EL CALIPTAN REYES  [SANTO DOMINGO - RANCHO CORONADO]", 10.0)</t>
  </si>
  <si>
    <t>SANTO DOMINGO</t>
  </si>
  <si>
    <t>RANCHO CORONADO</t>
  </si>
  <si>
    <t>Regina Jones</t>
  </si>
  <si>
    <t>local loc = {x = -1149.433105, y = 1581.234619, z = 71.712402}; Game.GetTeleportationFacility():Teleport(Game.GetPlayer(), Vector4.new(loc.x, loc.y, loc.z, 1), EulerAngles.new(0, 0, 0)) PreventionSystem.ShowMessage("FIXER - REGINA JONES  [WATSON - KABUKI]", 10.0)</t>
  </si>
  <si>
    <t>KABUKI</t>
  </si>
  <si>
    <t>Wakako Okada</t>
  </si>
  <si>
    <t>local loc = {x = -668.265747, y = 823.310669, z = 19.566063}; Game.GetTeleportationFacility():Teleport(Game.GetPlayer(), Vector4.new(loc.x, loc.y, loc.z, 1), EulerAngles.new(0, 0, 0)) PreventionSystem.ShowMessage("FIXER - WAKAKO OKADA  [WESTBROOK - JAPANTOWN]", 10.0)</t>
  </si>
  <si>
    <t>Sebastian "Padre" Ibarra</t>
  </si>
  <si>
    <t>local loc = {x = -1803.299805, y = -1279.714111, z = 21.837990}; Game.GetTeleportationFacility():Teleport(Game.GetPlayer(), Vector4.new(loc.x, loc.y, loc.z, 1), EulerAngles.new(0, 0, 0)) PreventionSystem.ShowMessage("FIXER - SEBASTIAN PADRE IBARRA  [HEYWOOD - THE GLEN]", 10.0)</t>
  </si>
  <si>
    <t>Mr. Hands  [ Phantom Liberty ]</t>
  </si>
  <si>
    <t>local loc = {x = -1581.493896, y = -2340.116211, z = 57.894585, rot = 126}; local name = 'FIXER - MR. HANDS  [PACIFICA - DOGTOWN]';  Game.GetTeleportationFacility():Teleport(Game.GetPlayer(), Vector4.new(loc.x, loc.y, loc.z, 1), EulerAngles.new(0, 0, loc.rot)) PreventionSystem.ShowMessage(name, 10.0)</t>
  </si>
  <si>
    <t>Npc - Generic</t>
  </si>
  <si>
    <t>Judy's House</t>
  </si>
  <si>
    <t>local loc = {x = -906.306396, y = 1868.635620, z = 42.360016}; Game.GetTeleportationFacility():Teleport(Game.GetPlayer(), Vector4.new(loc.x, loc.y, loc.z, 1), EulerAngles.new(0, 0, 0)) PreventionSystem.ShowMessage("NPC - JUDY'S HOUSE  [WATSON - KABUKI]", 10.0)</t>
  </si>
  <si>
    <t>River's House</t>
  </si>
  <si>
    <t>local loc = {x = 1235.896606, y = -504.580139, z = 36.427094}; Game.GetTeleportationFacility():Teleport(Game.GetPlayer(), Vector4.new(loc.x, loc.y, loc.z, 1), EulerAngles.new(0, 0, 0)) PreventionSystem.ShowMessage("NPC - RIVER'S HOUSE  [BADLANDS - RED PEAKS]", 10.0)</t>
  </si>
  <si>
    <t>RED PEAKS</t>
  </si>
  <si>
    <t>Misty's Esoterica</t>
  </si>
  <si>
    <t>local loc = {x = -1546.295776, y = 1194.164063, z = 16.260002}; Game.GetTeleportationFacility():Teleport(Game.GetPlayer(), Vector4.new(loc.x, loc.y, loc.z, 1), EulerAngles.new(0, 0, 0)) PreventionSystem.ShowMessage("NPC - MISTY'S ESOTERICA  [WATSON - LITTLE CHINA]", 10.0)</t>
  </si>
  <si>
    <t>Claire's Garage</t>
  </si>
  <si>
    <t>local loc = {x = -645.418945, y = -1260.975586, z = 9.376778}; Game.GetTeleportationFacility():Teleport(Game.GetPlayer(), Vector4.new(loc.x, loc.y, loc.z, 1), EulerAngles.new(0, 0, 0)) PreventionSystem.ShowMessage("NPC - CLAIRE'S GARAGE  [SANTO DOMINGO - ARROYO]", 10.0)</t>
  </si>
  <si>
    <t>ARROYO</t>
  </si>
  <si>
    <t>Kerry  [ Residence ]</t>
  </si>
  <si>
    <t>local loc = {x = 152.792022, y = 1068.36730, z = 203.005966}; Game.GetTeleportationFacility():Teleport(Game.GetPlayer(), Vector4.new(loc.x, loc.y, loc.z, 1), EulerAngles.new(0, 0, 0)) PreventionSystem.ShowMessage("NPC - KERRY [RESIDENCE]  [WESTBROOK - NORTH OAK]", 10.0)</t>
  </si>
  <si>
    <t>NORTH OAK</t>
  </si>
  <si>
    <t>Rogue Amendiares</t>
  </si>
  <si>
    <t>local loc = {x = -1427.401245, y = 1014.764099, z = 16.901749}; Game.GetTeleportationFacility():Teleport(Game.GetPlayer(), Vector4.new(loc.x, loc.y, loc.z, 1), EulerAngles.new(0, 0, 0)) PreventionSystem.ShowMessage("NPC - ROGUE AMENDIARES  [WATSON - LITTLE CHINA]", 10.0)</t>
  </si>
  <si>
    <t>Sandra Dorsett  [ Apartment ]</t>
  </si>
  <si>
    <t>local loc = {x = -1282.49267, y = 1518.7532958984, z = 45.0}; Game.GetTeleportationFacility():Teleport(Game.GetPlayer(), Vector4.new(loc.x, loc.y, loc.z, 1), EulerAngles.new(0, 0, 0)) PreventionSystem.ShowMessage("NPC - SANDRA DORSETT [APARTMENT]  [WATSON - LITTLE CHINA]", 10.0)</t>
  </si>
  <si>
    <t>Dexter Deshawn  [ Dead Body ]</t>
  </si>
  <si>
    <t>local loc = {x = 1544.395996, y = -1971.859009, z = 73.342407}; Game.GetTeleportationFacility():Teleport(Game.GetPlayer(), Vector4.new(loc.x, loc.y, loc.z, 1), EulerAngles.new(0, 0, 0)) PreventionSystem.ShowMessage("NPC - DEXTER DESHAWN [Dead Body]  [BADLANDS - RED PEAKS]", 10.0)</t>
  </si>
  <si>
    <t>Generic</t>
  </si>
  <si>
    <t>No-Tell Motel</t>
  </si>
  <si>
    <t>local loc = {x = -1158.889404, y = 1342.452271, z = 19.943626}; Game.GetTeleportationFacility():Teleport(Game.GetPlayer(), Vector4.new(loc.x, loc.y, loc.z, 1), EulerAngles.new(0, 0, 0)) PreventionSystem.ShowMessage("NO-TELL MOTEL  [WATSON - KABUKI]", 10.0)</t>
  </si>
  <si>
    <t>Sunset Motel</t>
  </si>
  <si>
    <t>local loc = {x = 1628.261475, y = -775.431030, z = 49.980309}; Game.GetTeleportationFacility():Teleport(Game.GetPlayer(), Vector4.new(loc.x, loc.y, loc.z, 1), EulerAngles.new(0, 0, 0)) PreventionSystem.ShowMessage("SUNSET MOTEL  [BADLANDS - RED PEAKS]", 10.0)</t>
  </si>
  <si>
    <t>Sunshine Motel</t>
  </si>
  <si>
    <t>local loc = {x = 3602.863037, y = -879.516479, z = 119.546600}; Game.GetTeleportationFacility():Teleport(Game.GetPlayer(), Vector4.new(loc.x, loc.y, loc.z, 1), EulerAngles.new(0, 0, 0)) PreventionSystem.ShowMessage("SUNSHINE MOTEL  [BADLANDS - ROCKY RIDGE]", 10.0)</t>
  </si>
  <si>
    <t>Nomad Starting Location</t>
  </si>
  <si>
    <t>local loc = {x = -3972.60131, y = -6495.14794, z = 75.73356}; Game.GetTeleportationFacility():Teleport(Game.GetPlayer(), Vector4.new(loc.x, loc.y, loc.z, 1), EulerAngles.new(0, 0, 0)) PreventionSystem.ShowMessage("NOMAD STARTING LOCATION - AWACS ZONE  [BADLANDS - BIOTECHNICA FLATS]", 10.0)</t>
  </si>
  <si>
    <t>BIOTECHNICA FLATS</t>
  </si>
  <si>
    <t>Mobile Camp</t>
  </si>
  <si>
    <t>local loc = {x = 3444.628174, y = -365.633270, z = 133.852707}; Game.GetTeleportationFacility():Teleport(Game.GetPlayer(), Vector4.new(loc.x, loc.y, loc.z, 1), EulerAngles.new(0, 0, 0)) PreventionSystem.ShowMessage("MOBILE CAMP  [BADLANDS - ROCKY RIDGE]", 10.0)</t>
  </si>
  <si>
    <t>Nomad Camp</t>
  </si>
  <si>
    <t>local loc = {x = 1816.382324, y = 2256.925781, z = 180.260223}; Game.GetTeleportationFacility():Teleport(Game.GetPlayer(), Vector4.new(loc.x, loc.y, loc.z, 1), EulerAngles.new(0, 0, 0)) PreventionSystem.ShowMessage("NOMAD CAMP  [BADLANDS - ROCKY RIDGE]", 10.0)</t>
  </si>
  <si>
    <t>Jig Jig Street</t>
  </si>
  <si>
    <t>local loc = {x = -640.769165, y = 886.267151, z = 19.888809}; Game.GetTeleportationFacility():Teleport(Game.GetPlayer(), Vector4.new(loc.x, loc.y, loc.z, 1), EulerAngles.new(0, 0, 0)) PreventionSystem.ShowMessage("JIG JIG STREET  [WESTBROOK - JAPANTOWN]", 10.0)</t>
  </si>
  <si>
    <t>Pacifica District</t>
  </si>
  <si>
    <t>local loc = {x = -1751.548462, y = -1933.493042, z = 61.524582}; Game.GetTeleportationFacility():Teleport(Game.GetPlayer(), Vector4.new(loc.x, loc.y, loc.z, 1), EulerAngles.new(0, 0, 0)) PreventionSystem.ShowMessage("PACIFICA DISTRICT  [PACIFICA - COASTVIEW]", 10.0)</t>
  </si>
  <si>
    <t>COASTVIEW</t>
  </si>
  <si>
    <t>Grand Imperial Mall</t>
  </si>
  <si>
    <t>local loc = {x = -2265.841309, y = -2112.402588, z = 13.296661}; Game.GetTeleportationFacility():Teleport(Game.GetPlayer(), Vector4.new(loc.x, loc.y, loc.z, 1), EulerAngles.new(0, 0, 0)) PreventionSystem.ShowMessage("GRAND IMPERIAL MALL  [PACIFICA - COASTVIEW]", 10.0)</t>
  </si>
  <si>
    <t>Delamain's Hq</t>
  </si>
  <si>
    <t>local loc = {x = -940.837341, y = -77.526871, z = 7.509773}; Game.GetTeleportationFacility():Teleport(Game.GetPlayer(), Vector4.new(loc.x, loc.y, loc.z, 1), EulerAngles.new(0, 0, 0)) PreventionSystem.ShowMessage("DELAMAIN'S HQ  [HEYWOOD - VISTA DEL REY]", 10.0)</t>
  </si>
  <si>
    <t>VISTA DEL REY</t>
  </si>
  <si>
    <t>Reconciliation Park</t>
  </si>
  <si>
    <t>local loc = {x = -1782.537598, y = -390.172638, z = -4.015121}; Game.GetTeleportationFacility():Teleport(Game.GetPlayer(), Vector4.new(loc.x, loc.y, loc.z, 1), EulerAngles.new(0, 0, 0)) PreventionSystem.ShowMessage("RECONCILIATION PARK  [HEYWOOD - THE GLEN]", 10.0)</t>
  </si>
  <si>
    <t>Rocky Ridge</t>
  </si>
  <si>
    <t>local loc = {x = 2599.074707, y = -33.218079, z = 80.714417}; Game.GetTeleportationFacility():Teleport(Game.GetPlayer(), Vector4.new(loc.x, loc.y, loc.z, 1), EulerAngles.new(0, 0, 0)) PreventionSystem.ShowMessage("ROCKY RIDGE  [BADLANDS - ROCKY RIDGE]", 10.0)</t>
  </si>
  <si>
    <t>Black Market  [ Phantom Liberty ]</t>
  </si>
  <si>
    <t>local loc = {x = -1396.849854, y = -1986.944824, z = 71.882187, rot = 164};  Game.GetTeleportationFacility():Teleport(Game.GetPlayer(), Vector4.new(loc.x, loc.y, loc.z, 1), EulerAngles.new(0, 0, loc.rot)) PreventionSystem.ShowMessage("DOGTOWN MARKET  [PACIFICA - DOGTOWN]", 10.0)</t>
  </si>
  <si>
    <t>Stadium Entrance  [ Phantom Liberty ]</t>
  </si>
  <si>
    <t>local loc = {x = -1483.989746, y = -2174.524902, z = 68.220749, rot = -60}; local name = 'STADIUM ENTRANCE  [PACIFICA - DOGTOWN]';  Game.GetTeleportationFacility():Teleport(Game.GetPlayer(), Vector4.new(loc.x, loc.y, loc.z, 1), EulerAngles.new(0, 0, loc.rot)) PreventionSystem.ShowMessage(name, 10.0)</t>
  </si>
  <si>
    <t>Longshore Stacks  [ Phantom Liberty ]</t>
  </si>
  <si>
    <t>local loc = {x = -2363.778809, y = -2667.771973, z = 34.330391, rot = 103}; local name = 'LONGSHORE STACKS  [PACIFICA - DOGTOWN]';  Game.GetTeleportationFacility():Teleport(Game.GetPlayer(), Vector4.new(loc.x, loc.y, loc.z, 1), EulerAngles.new(0, 0, loc.rot)) PreventionSystem.ShowMessage(name, 10.0)</t>
  </si>
  <si>
    <t>Terra Cognita  [ Phantom Liberty ]</t>
  </si>
  <si>
    <t>local loc = {x = -2136.930664, y = -2958.810059, z = 108.014877, rot = 81}; local name = 'TERRA COGNITA  [PACIFICA - DOGTOWN]';  Game.GetTeleportationFacility():Teleport(Game.GetPlayer(), Vector4.new(loc.x, loc.y, loc.z, 1), EulerAngles.new(0, 0, loc.rot)) PreventionSystem.ShowMessage(name, 10.0)</t>
  </si>
  <si>
    <t>Eventide Resort &amp; Spa  [ Phantom Liberty ]</t>
  </si>
  <si>
    <t>local loc = {x = -1701.484131, y = -2712.335449, z = 100.967300, rot = -139}; local name = 'EVENTIDE RESORT &amp; SPA  [PACIFICA - DOGTOWN]';  Game.GetTeleportationFacility():Teleport(Game.GetPlayer(), Vector4.new(loc.x, loc.y, loc.z, 1), EulerAngles.new(0, 0, loc.rot)) PreventionSystem.ShowMessage(name, 10.0)</t>
  </si>
  <si>
    <t>Minigame</t>
  </si>
  <si>
    <t>Minigame - Arasaka Tower 3d</t>
  </si>
  <si>
    <t>local loc = {x = -3464.4904790, y = -4035.856445, z = 75.650391} Game.GetTeleportationFacility():Teleport(Game.GetPlayer(), Vector4.new(loc.x, loc.y, loc.z, 1), EulerAngles.new(0, 0, 310)) PreventionSystem.ShowMessage("MINIGAME: ARASAKA TOWER 3D \n[ BADLANDS - BIOTECHNICA FLATS ]", 10.0)</t>
  </si>
  <si>
    <t>Minigame - Trauma Drama</t>
  </si>
  <si>
    <t>local loc = {x = -1248.717896, y = 1986.144653, z = 7.966248} Game.GetTeleportationFacility():Teleport(Game.GetPlayer(), Vector4.new(loc.x, loc.y, loc.z, 1), EulerAngles.new(0, 0, 330)) PreventionSystem.ShowMessage("MINIGAME: TRAUMA DRAMA \n[ WATSON - KABUKI ]", 10.0)</t>
  </si>
  <si>
    <t>Minigame - Roach Race</t>
  </si>
  <si>
    <t>local loc = {x = -1249.318970, y = 1986.609253, z = 7.966248} Game.GetTeleportationFacility():Teleport(Game.GetPlayer(), Vector4.new(loc.x, loc.y, loc.z, 1), EulerAngles.new(0, 0, 330)) PreventionSystem.ShowMessage("MINIGAME: ROACH RACE \n[ WATSON - KABUKI ]", 10.0)</t>
  </si>
  <si>
    <t>Club</t>
  </si>
  <si>
    <t>7th Hell  [ Inside ]</t>
  </si>
  <si>
    <t>local loc = {x = -1941.699097, y = -43.114662, z = -1.532372}; Game.GetTeleportationFacility():Teleport(Game.GetPlayer(), Vector4.new(loc.x, loc.y, loc.z, 1), EulerAngles.new(0, 0, 0)) PreventionSystem.ShowMessage("CLUB - 7TH HELL  [CITY CENTER - DOWNTOWN]", 10.0)</t>
  </si>
  <si>
    <t>7th Hell  [ Office ]</t>
  </si>
  <si>
    <t>local loc = {x = -1923.03979, y = -31.430084, z = 3.528388}; Game.GetTeleportationFacility():Teleport(Game.GetPlayer(), Vector4.new(loc.x, loc.y, loc.z, 1), EulerAngles.new(0, 0, 0)) PreventionSystem.ShowMessage("CLUB - 7TH HELL [OFFICE]  [CITY CENTER - DOWNTOWN]", 10.0)</t>
  </si>
  <si>
    <t>Afterlife  [ Inside ]</t>
  </si>
  <si>
    <t>local loc = {x = -1456.893433, y = 1038.277222, z = 16.825035}; Game.GetTeleportationFacility():Teleport(Game.GetPlayer(), Vector4.new(loc.x, loc.y, loc.z, 1), EulerAngles.new(0, 0, 0)) PreventionSystem.ShowMessage("CLUB - AFTERLIFE  [WATSON - LITTLE CHINA]", 10.0)</t>
  </si>
  <si>
    <t>Clouds  [ Inside ]</t>
  </si>
  <si>
    <t>local loc = {x = -652.481812, y = 790.145996, z = 128.252228}; Game.GetTeleportationFacility():Teleport(Game.GetPlayer(), Vector4.new(loc.x, loc.y, loc.z, 1), EulerAngles.new(0, 0, 0)) PreventionSystem.ShowMessage("CLUB - CLOUDS [INSIDE]  [WESTBROOK - JAPANTOWN]", 10.0)</t>
  </si>
  <si>
    <t>Clouds  [ Outside ]</t>
  </si>
  <si>
    <t>local loc = {x = -665.472961, y = 810.591492, z = 128.273163}; Game.GetTeleportationFacility():Teleport(Game.GetPlayer(), Vector4.new(loc.x, loc.y, loc.z, 1), EulerAngles.new(0, 0, 0)) PreventionSystem.ShowMessage("CLUB - CLOUDS [OUTSIDE]  [WESTBROOK - JAPANTOWN]", 10.0)</t>
  </si>
  <si>
    <t>Dark Matter  [ Inside ]</t>
  </si>
  <si>
    <t>local loc = {x = -346.081238, y = 221.274918, z = 191.086502}; Game.GetTeleportationFacility():Teleport(Game.GetPlayer(), Vector4.new(loc.x, loc.y, loc.z, 1), EulerAngles.new(0, 0, 0)) PreventionSystem.ShowMessage("CLUB - DARK MATTER [INSIDE]  [WESTBROOK - JAPANTOWN]", 10.0)</t>
  </si>
  <si>
    <t>Dark Matter  [ Outside ]</t>
  </si>
  <si>
    <t>local loc = {x = -346.648010, y = 222.090622, z = 27.594040}; Game.GetTeleportationFacility():Teleport(Game.GetPlayer(), Vector4.new(loc.x, loc.y, loc.z, 1), EulerAngles.new(0, 0, 0)) PreventionSystem.ShowMessage("CLUB - DARK MATTER [OUTSIDE]  [WESTBROOK - JAPANTOWN]", 10.0)</t>
  </si>
  <si>
    <t>Lizzie's Bar  [ Outside ]</t>
  </si>
  <si>
    <t>local loc = {x = -1207.988525, y = 1563.142090, z = 22.920128}; Game.GetTeleportationFacility():Teleport(Game.GetPlayer(), Vector4.new(loc.x, loc.y, loc.z, 1), EulerAngles.new(0, 0, 0)) PreventionSystem.ShowMessage("CLUB - LIZZIE'S BAR  [WATSON - KABUKI]", 10.0)</t>
  </si>
  <si>
    <t>Lizzie's Bar  [ Basement ]</t>
  </si>
  <si>
    <t>local loc = {x = -1164.941406, y = 1576.41528, z = 18.915122}; Game.GetTeleportationFacility():Teleport(Game.GetPlayer(), Vector4.new(loc.x, loc.y, loc.z, 1), EulerAngles.new(0, 0, 0)) PreventionSystem.ShowMessage("CLUB - LIZZIE'S BAR [Basement]  [WATSON - KABUKI]", 10.0)</t>
  </si>
  <si>
    <t>Riot  [ Inside ]</t>
  </si>
  <si>
    <t>local loc = {x = -1639.360839, y = 1019.90295, z = 28.824333}; Game.GetTeleportationFacility():Teleport(Game.GetPlayer(), Vector4.new(loc.x, loc.y, loc.z, 1), EulerAngles.new(0, 0, 0)) PreventionSystem.ShowMessage("CLUB - RIOT  [INSIDE] [WATSON - LITTLE CHINA]", 10.0)</t>
  </si>
  <si>
    <t>Totentanz  [ Inside ]</t>
  </si>
  <si>
    <t>local loc = {x = -1738.612061, y = 2213.224121, z = 90.204559}; Game.GetTeleportationFacility():Teleport(Game.GetPlayer(), Vector4.new(loc.x, loc.y, loc.z, 1), EulerAngles.new(0, 0, 0)) PreventionSystem.ShowMessage("CLUB - TOTENTANZ  [WATSON - NORTHSIDE]", 10.0)</t>
  </si>
  <si>
    <t>The Atlantis  [ Inside ]</t>
  </si>
  <si>
    <t>local loc = {x = -756.448852, y = 1074.70104, z = 62.005004}; Game.GetTeleportationFacility():Teleport(Game.GetPlayer(), Vector4.new(loc.x, loc.y, loc.z, 1), EulerAngles.new(0, 0, 0)) PreventionSystem.ShowMessage("CLUB - THE ATLANTIS  [WESTBROOK - JAPANTOWN]", 10.0)</t>
  </si>
  <si>
    <t>El Coyote Cojo  [ Outside ]</t>
  </si>
  <si>
    <t>local loc = {x = -1260.774536, y = -981.771790, z = 11.589195}; Game.GetTeleportationFacility():Teleport(Game.GetPlayer(), Vector4.new(loc.x, loc.y, loc.z, 1), EulerAngles.new(0, 0, 0)) PreventionSystem.ShowMessage("CLUB - EL COYOTE COJO  [HEYWOOD - THE GLEN]", 10.0)</t>
  </si>
  <si>
    <t>Heavy Hearts Club  [ Phantom Liberty ]</t>
  </si>
  <si>
    <t>local loc = {x = -1606.727051, y = -2330.668457, z = 43.050865, rot = -141}; local name = 'CLUB - HEAVY HEARTS CLUB  [PACIFICA - DOGTOWN]';  Game.GetTeleportationFacility():Teleport(Game.GetPlayer(), Vector4.new(loc.x, loc.y, loc.z, 1), EulerAngles.new(0, 0, loc.rot)) PreventionSystem.ShowMessage(name, 10.0)</t>
  </si>
  <si>
    <t>Store - Ripperdoc</t>
  </si>
  <si>
    <t>Viktor's Clinic</t>
  </si>
  <si>
    <t>local loc = {x = -1546.726196, y = 1227.393066, z = 11.520233}; Game.GetTeleportationFacility():Teleport(Game.GetPlayer(), Vector4.new(loc.x, loc.y, loc.z, 1), EulerAngles.new(0, 0, 0)) PreventionSystem.ShowMessage("RIPPERDOC - VIKTOR'S CLINIC  [WATSON - LITTLE CHINA]", 10.0)</t>
  </si>
  <si>
    <t>Cassius Ryder's Clinic</t>
  </si>
  <si>
    <t>local loc = {x = -1686.586182, y = 2386.400879, z = 18.344055}; Game.GetTeleportationFacility():Teleport(Game.GetPlayer(), Vector4.new(loc.x, loc.y, loc.z, 1), EulerAngles.new(0, 0, 0)) PreventionSystem.ShowMessage("RIPPERDOC - CASSIUS RYDER'S CLINIC  [WATSON - NORTHSIDE]", 10.0)</t>
  </si>
  <si>
    <t>Buck's Clinic</t>
  </si>
  <si>
    <t>local loc = {x = -1090.759155, y = 2147.218262, z = 13.330742}; Game.GetTeleportationFacility():Teleport(Game.GetPlayer(), Vector4.new(loc.x, loc.y, loc.z, 1), EulerAngles.new(0, 0, 0)) PreventionSystem.ShowMessage("RIPPERDOC - BUCK'S CLINIC  [WATSON - KABUKI]", 10.0)</t>
  </si>
  <si>
    <t>Dr. Chrome</t>
  </si>
  <si>
    <t>local loc = {x = -1245.325439, y = 1945.930908, z = 8.030479}; Game.GetTeleportationFacility():Teleport(Game.GetPlayer(), Vector4.new(loc.x, loc.y, loc.z, 1), EulerAngles.new(0, 0, 0)) PreventionSystem.ShowMessage("RIPPERDOC - DR. CHROME  [WATSON - KABUKI]", 10.0)</t>
  </si>
  <si>
    <t>Instant Implants</t>
  </si>
  <si>
    <t>local loc = {x = -1040.245972, y = 1440.913696, z = 0.500221}; Game.GetTeleportationFacility():Teleport(Game.GetPlayer(), Vector4.new(loc.x, loc.y, loc.z, 1), EulerAngles.new(0, 0, 0)) PreventionSystem.ShowMessage("RIPPERDOC - INSTANT IMPLANTS  [WATSON - KABUKI]", 10.0)</t>
  </si>
  <si>
    <t>Cherry Blossom Market</t>
  </si>
  <si>
    <t>local loc = {x = -712.370605, y = 871.832458, z = 11.982414}; Game.GetTeleportationFacility():Teleport(Game.GetPlayer(), Vector4.new(loc.x, loc.y, loc.z, 1), EulerAngles.new(0, 0, 0)) PreventionSystem.ShowMessage("RIPPERDOC - CHERRY BLOSSOM MARKET   [WESTBROOK - JAPANTOWN]", 10.0)</t>
  </si>
  <si>
    <t>Fingers M.D.</t>
  </si>
  <si>
    <t>local loc = {x = -573.507813, y = 795.048279, z = 24.906097}; Game.GetTeleportationFacility():Teleport(Game.GetPlayer(), Vector4.new(loc.x, loc.y, loc.z, 1), EulerAngles.new(0, 0, 0)) PreventionSystem.ShowMessage("RIPPERDOC - FINGERS M.D.  [WESTBROOK - JAPANTOWN]", 10.0)</t>
  </si>
  <si>
    <t>Skyline &amp; Republic</t>
  </si>
  <si>
    <t>local loc = {x = -2411.207764, y = 393.523010, z = 11.837067}; Game.GetTeleportationFacility():Teleport(Game.GetPlayer(), Vector4.new(loc.x, loc.y, loc.z, 1), EulerAngles.new(0, 0, 0)) PreventionSystem.ShowMessage("RIPPERDOC - SKYLINE &amp; REPUBLIC   [CITY CENTER - DOWNTOWN]", 10.0)</t>
  </si>
  <si>
    <t>Palms View Plaza</t>
  </si>
  <si>
    <t>local loc = {x = -2361.011475, y = -929.024597, z = 12.266129}; Game.GetTeleportationFacility():Teleport(Game.GetPlayer(), Vector4.new(loc.x, loc.y, loc.z, 1), EulerAngles.new(0, 0, 0)) PreventionSystem.ShowMessage("RIPPERDOC - PALMS VIEW PLAZA   [HEYWOOD - WELLSPRINGS]", 10.0)</t>
  </si>
  <si>
    <t>WELLSPRINGS</t>
  </si>
  <si>
    <t>Kraviz's Clinic</t>
  </si>
  <si>
    <t>local loc = {x = -40.347633, y = -52.439484, z = 7.179688}; Game.GetTeleportationFacility():Teleport(Game.GetPlayer(), Vector4.new(loc.x, loc.y, loc.z, 1), EulerAngles.new(0, 0, 0)) PreventionSystem.ShowMessage("RIPPERDOC - KRAVIZ'S CLINIC  [WESTBROOK - CHARTER HILL]", 10.0)</t>
  </si>
  <si>
    <t>CHARTER HILL</t>
  </si>
  <si>
    <t>Wolleson St</t>
  </si>
  <si>
    <t>local loc = {x = -1072.172729, y = -1274.062866, z = 11.456871}; Game.GetTeleportationFacility():Teleport(Game.GetPlayer(), Vector4.new(loc.x, loc.y, loc.z, 1), EulerAngles.new(0, 0, 0)) PreventionSystem.ShowMessage("RIPPERDOC - WOLLESON ST   [SANTO DOMINGO - ARROYO]", 10.0)</t>
  </si>
  <si>
    <t>West Wind</t>
  </si>
  <si>
    <t>local loc = {x = -2607.956787, y = -2498.076660, z = 17.334549}; Game.GetTeleportationFacility():Teleport(Game.GetPlayer(), Vector4.new(loc.x, loc.y, loc.z, 1), EulerAngles.new(0, 0, 0)) PreventionSystem.ShowMessage("RIPPERDOC - WEST WIND   [PACIFICA - WEST WIND ESTATE]", 10.0)</t>
  </si>
  <si>
    <t>WEST WIND ESTATE</t>
  </si>
  <si>
    <t>Octavio's Clinic</t>
  </si>
  <si>
    <t>local loc = {x = 588.132568, y = -2179.594482, z = 42.437347}; Game.GetTeleportationFacility():Teleport(Game.GetPlayer(), Vector4.new(loc.x, loc.y, loc.z, 1), EulerAngles.new(0, 0, 0)) PreventionSystem.ShowMessage("RIPPERDOC - OCTAVIO'S CLINIC  [SANTO DOMINGO - RANCHO CORONADO]", 10.0)</t>
  </si>
  <si>
    <t>local loc = {x = 3438.949463, y = -380.475800, z = 133.569855}; Game.GetTeleportationFacility():Teleport(Game.GetPlayer(), Vector4.new(loc.x, loc.y, loc.z, 1), EulerAngles.new(0, 0, 0)) PreventionSystem.ShowMessage("RIPPERDOC - MOBILE CAMP   [BADLANDS - ROCKY RIDGE]", 10.0)</t>
  </si>
  <si>
    <t>local loc = {x = 1814.132202, y = 2274.446289, z = 182.176987}; Game.GetTeleportationFacility():Teleport(Game.GetPlayer(), Vector4.new(loc.x, loc.y, loc.z, 1), EulerAngles.new(0, 0, 0)) PreventionSystem.ShowMessage("RIPPERDOC - NOMAD CAMP   [BADLANDS - ROCKY RIDGE]", 10.0)</t>
  </si>
  <si>
    <t>Store - Weapons</t>
  </si>
  <si>
    <t>Wilson Shop</t>
  </si>
  <si>
    <t>local loc = {x = -1450.176147, y = 1311.742676, z = 119.082397}; Game.GetTeleportationFacility():Teleport(Game.GetPlayer(), Vector4.new(loc.x, loc.y, loc.z, 1), EulerAngles.new(0, 0, 0)) PreventionSystem.ShowMessage("GUN SHOP - WILSON SHOP  [WATSON - LITTLE CHINA]", 10.0)</t>
  </si>
  <si>
    <t>Straight Shooter</t>
  </si>
  <si>
    <t>local loc = {x = -1207.415771, y = 2043.946289, z = 7.844711}; Game.GetTeleportationFacility():Teleport(Game.GetPlayer(), Vector4.new(loc.x, loc.y, loc.z, 1), EulerAngles.new(0, 0, 0)) PreventionSystem.ShowMessage("GUN SHOP - STRAIGHT SHOOTER  [WATSON - KABUKI]", 10.0)</t>
  </si>
  <si>
    <t>Iron &amp; Lead</t>
  </si>
  <si>
    <t>local loc = {x = -1895.143433, y = 2729.943359, z = 7.449997}; Game.GetTeleportationFacility():Teleport(Game.GetPlayer(), Vector4.new(loc.x, loc.y, loc.z, 1), EulerAngles.new(0, 0, 0)) PreventionSystem.ShowMessage("GUN SHOP - IRON &amp; LEAD  [WATSON - NORTHSIDE]", 10.0)</t>
  </si>
  <si>
    <t>Maelstrom Heat</t>
  </si>
  <si>
    <t>local loc = {x = -783.261963, y = 2183.184570, z = 52.801941}; Game.GetTeleportationFacility():Teleport(Game.GetPlayer(), Vector4.new(loc.x, loc.y, loc.z, 1), EulerAngles.new(0, 0, 0)) PreventionSystem.ShowMessage("GUN SHOP - MAELSTROM HEAT  [WATSON - NORTHSIDE]", 10.0)</t>
  </si>
  <si>
    <t>Skyline&amp;Salinas</t>
  </si>
  <si>
    <t>local loc = {x = -453.489319, y = 1450.199219, z = 37.388107}; Game.GetTeleportationFacility():Teleport(Game.GetPlayer(), Vector4.new(loc.x, loc.y, loc.z, 1), EulerAngles.new(0, 0, 0)) PreventionSystem.ShowMessage("GUN SHOP - SKYLINE&amp;SALINAS VENDOR  [WESTBROOK - JAPANTOWN]", 10.0)</t>
  </si>
  <si>
    <t>Halsey&amp;Mlk Vendor</t>
  </si>
  <si>
    <t>local loc = {x = -1770.706543, y = 222.652618, z = 43.727768}; Game.GetTeleportationFacility():Teleport(Game.GetPlayer(), Vector4.new(loc.x, loc.y, loc.z, 1), EulerAngles.new(0, 0, 0)) PreventionSystem.ShowMessage("GUN SHOP - HALSEY&amp;MLK VENDOR  [CITY CENTER - DOWNTOWN]", 10.0)</t>
  </si>
  <si>
    <t>Cannery Plaza Vendor</t>
  </si>
  <si>
    <t>local loc = {x = -2402.214355, y = -630.521790, z = 6.906044}; Game.GetTeleportationFacility():Teleport(Game.GetPlayer(), Vector4.new(loc.x, loc.y, loc.z, 1), EulerAngles.new(0, 0, 0)) PreventionSystem.ShowMessage("GUN SHOP - CANNERY PLAZA VENDOR  [HEYWOOD - WELLSPRINGS]", 10.0)</t>
  </si>
  <si>
    <t>Ventura&amp;Skyline</t>
  </si>
  <si>
    <t>local loc = {x = -1899.170654, y = -1019.690430, z = 7.676468}; Game.GetTeleportationFacility():Teleport(Game.GetPlayer(), Vector4.new(loc.x, loc.y, loc.z, 1), EulerAngles.new(0, 0, 0)) PreventionSystem.ShowMessage("GUN SHOP - VENTURA&amp;SKYLINE VENDOR  [HEYWOOD - THE GLEN]", 10.0)</t>
  </si>
  <si>
    <t>College St Vendor</t>
  </si>
  <si>
    <t>local loc = {x = -906.048767, y = -703.476807, z = 8.237724}; Game.GetTeleportationFacility():Teleport(Game.GetPlayer(), Vector4.new(loc.x, loc.y, loc.z, 1), EulerAngles.new(0, 0, 0)) PreventionSystem.ShowMessage("GUN SHOP - COLLEGE ST VENDOR  [HEYWOOD - VISTA DEL REY]", 10.0)</t>
  </si>
  <si>
    <t>Sunset Motel Vendor</t>
  </si>
  <si>
    <t>local loc = {x = 1678.147217, y = -771.591980, z = 49.839981}; Game.GetTeleportationFacility():Teleport(Game.GetPlayer(), Vector4.new(loc.x, loc.y, loc.z, 1), EulerAngles.new(0, 0, 0)) PreventionSystem.ShowMessage("GUN SHOP - SUNSET MOTEL VENDOR  [BADLANDS - RED PEAKS]", 10.0)</t>
  </si>
  <si>
    <t>Mobile Camp Vendor</t>
  </si>
  <si>
    <t>local loc = {x = 3429.046387, y = -375.550720, z = 133.535477}; Game.GetTeleportationFacility():Teleport(Game.GetPlayer(), Vector4.new(loc.x, loc.y, loc.z, 1), EulerAngles.new(0, 0, 0)) PreventionSystem.ShowMessage("GUN SHOP - MOBILE CAMP VENDOR  [BADLANDS - ROCKY RIDGE]", 10.0)</t>
  </si>
  <si>
    <t>Nomad Camp Vendor</t>
  </si>
  <si>
    <t>local loc = {x = 1796.789307, y = 2253.482178, z = 180.262894}; Game.GetTeleportationFacility():Teleport(Game.GetPlayer(), Vector4.new(loc.x, loc.y, loc.z, 1), EulerAngles.new(0, 0, 0)) PreventionSystem.ShowMessage("GUN SHOP - NOMAD CAMP VENDOR  [BADLANDS - ROCKY RIDGE]", 10.0)</t>
  </si>
  <si>
    <t>Rancho Coronado East</t>
  </si>
  <si>
    <t>local loc = {x = 569.700745, y = -2201.206787, z = 35.345894}; Game.GetTeleportationFacility():Teleport(Game.GetPlayer(), Vector4.new(loc.x, loc.y, loc.z, 1), EulerAngles.new(0, 0, 0)) PreventionSystem.ShowMessage("GUN SHOP  [SANTO DOMINGO - RANCHO CORONADO]", 10.0)</t>
  </si>
  <si>
    <t>Manufactory Market</t>
  </si>
  <si>
    <t>local loc = {x = -992.885986, y = -1589.419189, z = 25.700897}; Game.GetTeleportationFacility():Teleport(Game.GetPlayer(), Vector4.new(loc.x, loc.y, loc.z, 1), EulerAngles.new(0, 0, 0)) PreventionSystem.ShowMessage("GUN SHOP - MANUFACTORY MARKET VENDOR  [SANTO DOMINGO - ARROYO]", 10.0)</t>
  </si>
  <si>
    <t>Pacifica Vendor</t>
  </si>
  <si>
    <t>local loc = {x = -2438.164063, y = -2405.232422, z = 16.722504}; Game.GetTeleportationFacility():Teleport(Game.GetPlayer(), Vector4.new(loc.x, loc.y, loc.z, 1), EulerAngles.new(0, 0, 0)) PreventionSystem.ShowMessage("GUN SHOP  [PACIFICA - WEST WIND ESTATE]", 10.0)</t>
  </si>
  <si>
    <t>Fuel Station Vendor</t>
  </si>
  <si>
    <t>local loc = {x = -1844.916138, y = -4255.368652, z = 74.019012}; Game.GetTeleportationFacility():Teleport(Game.GetPlayer(), Vector4.new(loc.x, loc.y, loc.z, 1), EulerAngles.new(0, 0, 0)) PreventionSystem.ShowMessage("GUN SHOP - FUEL STATION VENDOR  [BADLANDS - BIOTECHNICA FLATS]", 10.0)</t>
  </si>
  <si>
    <t>Store - Clothing</t>
  </si>
  <si>
    <t>Pershing St Store</t>
  </si>
  <si>
    <t>local loc = {x = -1895.527832, y = 2504.133301, z = 18.263504}; Game.GetTeleportationFacility():Teleport(Game.GetPlayer(), Vector4.new(loc.x, loc.y, loc.z, 1), EulerAngles.new(0, 0, 0)) PreventionSystem.ShowMessage("CLOTHING STORE - PERSHING ST STORE  [WATSON - NORTHSIDE]", 10.0)</t>
  </si>
  <si>
    <t>Little China North Store</t>
  </si>
  <si>
    <t>local loc = {x = -1522.441040, y = 1701.879639, z = 18.317543}; Game.GetTeleportationFacility():Teleport(Game.GetPlayer(), Vector4.new(loc.x, loc.y, loc.z, 1), EulerAngles.new(0, 0, 0)) PreventionSystem.ShowMessage("CLOTHING STORE  [WATSON - LITTLE CHINA]", 10.0)</t>
  </si>
  <si>
    <t>Kabuki Store</t>
  </si>
  <si>
    <t>local loc = {x = -1119.808105, y = 1752.149658, z = 33.722076}; Game.GetTeleportationFacility():Teleport(Game.GetPlayer(), Vector4.new(loc.x, loc.y, loc.z, 1), EulerAngles.new(0, 0, 0)) PreventionSystem.ShowMessage("CLOTHING STORE  [WATSON - KABUKI]", 10.0)</t>
  </si>
  <si>
    <t>Blossoming Sakura Clothier</t>
  </si>
  <si>
    <t>local loc = {x = -682.614563, y = 1239.223755, z = 37.966957}; Game.GetTeleportationFacility():Teleport(Game.GetPlayer(), Vector4.new(loc.x, loc.y, loc.z, 1), EulerAngles.new(0, 0, 0)) PreventionSystem.ShowMessage("CLOTHING STORE - BLOSSOMING SAKURA CLOTHIER  [WESTBROOK - JAPANTOWN]", 10.0)</t>
  </si>
  <si>
    <t>Lele Park Store</t>
  </si>
  <si>
    <t>local loc = {x = -230.233231, y = -36.969742, z = 0.883064}; Game.GetTeleportationFacility():Teleport(Game.GetPlayer(), Vector4.new(loc.x, loc.y, loc.z, 1), EulerAngles.new(0, 0, 0)) PreventionSystem.ShowMessage("CLOTHING STORE - LELE PARK STORE  [WESTBROOK - CHARTER HILL]", 10.0)</t>
  </si>
  <si>
    <t>Red Peaks Vendor</t>
  </si>
  <si>
    <t>local loc = {x = 1202.813965, y = -570.510498, z = 32.692131}; Game.GetTeleportationFacility():Teleport(Game.GetPlayer(), Vector4.new(loc.x, loc.y, loc.z, 1), EulerAngles.new(0, 0, 0)) PreventionSystem.ShowMessage("CLOTHING STORE  [BADLANDS - RED PEAKS]", 10.0)</t>
  </si>
  <si>
    <t>Mallagra&amp;Manzanita Store</t>
  </si>
  <si>
    <t>local loc = {x = 253.300400, y = -1475.245850, z = 9.500000}; Game.GetTeleportationFacility():Teleport(Game.GetPlayer(), Vector4.new(loc.x, loc.y, loc.z, 1), EulerAngles.new(0, 0, 0)) PreventionSystem.ShowMessage("CLOTHING STORE - MALLAGRA&amp;MANZANITA STORE  [SANTO DOMINGO - RANCHO CORONADO]", 10.0)</t>
  </si>
  <si>
    <t>Manufactory Market Vendor</t>
  </si>
  <si>
    <t>local loc = {x = -1017.764709, y = -1557.709351, z = 25.700897}; Game.GetTeleportationFacility():Teleport(Game.GetPlayer(), Vector4.new(loc.x, loc.y, loc.z, 1), EulerAngles.new(0, 0, 0)) PreventionSystem.ShowMessage("CLOTHING STORE - MANUFACTORY MARKET VENDOR  [SANTO DOMINGO - ARROYO]", 10.0)</t>
  </si>
  <si>
    <t>West Wind Estate Store</t>
  </si>
  <si>
    <t>local loc = {x = -2477.911377, y = -2536.459229, z = 16.969376}; Game.GetTeleportationFacility():Teleport(Game.GetPlayer(), Vector4.new(loc.x, loc.y, loc.z, 1), EulerAngles.new(0, 0, 0)) PreventionSystem.ShowMessage("CLOTHING STORE  [PACIFICA - WEST WIND ESTATE]", 10.0)</t>
  </si>
  <si>
    <t>Wellsprings Store</t>
  </si>
  <si>
    <t>local loc = {x = -2437.346680, y = -666.163452, z = 6.922104}; Game.GetTeleportationFacility():Teleport(Game.GetPlayer(), Vector4.new(loc.x, loc.y, loc.z, 1), EulerAngles.new(0, 0, 0)) PreventionSystem.ShowMessage("CLOTHING STORE  [HEYWOOD - WELLSPRINGS]", 10.0)</t>
  </si>
  <si>
    <t>Appel De Paris</t>
  </si>
  <si>
    <t>local loc = {x = -1575.944580, y = -282.437988, z = -4.425003}; Game.GetTeleportationFacility():Teleport(Game.GetPlayer(), Vector4.new(loc.x, loc.y, loc.z, 1), EulerAngles.new(0, 0, 0)) PreventionSystem.ShowMessage("CLOTHING STORE - APPEL DE PARIS  [CITY CENTER - CORPO PLAZA]", 10.0)</t>
  </si>
  <si>
    <t>Jinguji</t>
  </si>
  <si>
    <t>local loc = {x = -1884.361938, y = 82.698013, z = 7.519997}; Game.GetTeleportationFacility():Teleport(Game.GetPlayer(), Vector4.new(loc.x, loc.y, loc.z, 1), EulerAngles.new(0, 0, 0)) PreventionSystem.ShowMessage("CLOTHING STORE - JINGUJI  [CITY CENTER - DOWNTOWN]", 10.0)</t>
  </si>
  <si>
    <t>Store - Netrunner</t>
  </si>
  <si>
    <t>Yoko Tsuru</t>
  </si>
  <si>
    <t>local loc = {x = -1180.311279, y = 2041.457520, z = 20.087074}; Game.GetTeleportationFacility():Teleport(Game.GetPlayer(), Vector4.new(loc.x, loc.y, loc.z, 1), EulerAngles.new(0, 0, 0)) PreventionSystem.ShowMessage("NETRUNNER - YOKO TSURU  [WATSON - KABUKI]", 10.0)</t>
  </si>
  <si>
    <t>Japantown Netrunner</t>
  </si>
  <si>
    <t>local loc = {x = -351.593842, y = 1368.778564, z = 42.124115}; Game.GetTeleportationFacility():Teleport(Game.GetPlayer(), Vector4.new(loc.x, loc.y, loc.z, 1), EulerAngles.new(0, 0, 0)) PreventionSystem.ShowMessage("NETRUNNER  [WESTBROOK - JAPANTOWN]", 10.0)</t>
  </si>
  <si>
    <t>Chang Hoon Nam</t>
  </si>
  <si>
    <t>local loc = {x = -492.061035, y = 583.292725, z = 26.802223}; Game.GetTeleportationFacility():Teleport(Game.GetPlayer(), Vector4.new(loc.x, loc.y, loc.z, 1), EulerAngles.new(0, 0, 0)) PreventionSystem.ShowMessage("NETRUNNER - CHANG HOON NAM  [WESTBROOK - JAPANTOWN]", 10.0)</t>
  </si>
  <si>
    <t>Costa View Netrunner</t>
  </si>
  <si>
    <t>local loc = {x = -1906.515015, y = -1925.094238, z = 48.903023}; Game.GetTeleportationFacility():Teleport(Game.GetPlayer(), Vector4.new(loc.x, loc.y, loc.z, 1), EulerAngles.new(0, 0, 0)) PreventionSystem.ShowMessage("NETRUNNER  [PACIFICA - COASTVIEW]", 10.0)</t>
  </si>
  <si>
    <t>Vista Del Rey Netrunner  [ After Nearby Hustle ]</t>
  </si>
  <si>
    <t>local loc = {x = -845.921082, y = -394.881470, z = 8.163307}; Game.GetTeleportationFacility():Teleport(Game.GetPlayer(), Vector4.new(loc.x, loc.y, loc.z, 1), EulerAngles.new(0, 0, 0)) PreventionSystem.ShowMessage("NETRUNNER  [HEYWOOD - VISTA DEL REY]", 10.0)</t>
  </si>
  <si>
    <t>Store - Melee</t>
  </si>
  <si>
    <t>Coach Fred</t>
  </si>
  <si>
    <t>local loc = {x = -1430.860107, y = 1335.109497, z = 119.206131}; Game.GetTeleportationFacility():Teleport(Game.GetPlayer(), Vector4.new(loc.x, loc.y, loc.z, 1), EulerAngles.new(0, 0, 0)) PreventionSystem.ShowMessage("MELEE VENDOR - COACH FRED  [WATSON - LITTLE CHINA]", 10.0)</t>
  </si>
  <si>
    <t>Crescent&amp;Broad Vendor</t>
  </si>
  <si>
    <t>local loc = {x = -337.444519, y = 563.404053, z = 38.349251}; Game.GetTeleportationFacility():Teleport(Game.GetPlayer(), Vector4.new(loc.x, loc.y, loc.z, 1), EulerAngles.new(0, 0, 0)) PreventionSystem.ShowMessage("MELEE VENDOR - CRESCENT&amp;BROAD  [WESTBROOK - JAPANTOWN]", 10.0)</t>
  </si>
  <si>
    <t>West Wind Vendor</t>
  </si>
  <si>
    <t>local loc = {x = -2529.142578, y = -2468.510010, z = 17.196762}; Game.GetTeleportationFacility():Teleport(Game.GetPlayer(), Vector4.new(loc.x, loc.y, loc.z, 1), EulerAngles.new(0, 0, 0)) PreventionSystem.ShowMessage("MELEE VENDOR  [PACIFICA - WEST WIND ESTATE]", 10.0)</t>
  </si>
  <si>
    <t>Rancho Coronado Vendor</t>
  </si>
  <si>
    <t>local loc = {x = -476.260040, y = -1942.191772, z = 7.003807}; Game.GetTeleportationFacility():Teleport(Game.GetPlayer(), Vector4.new(loc.x, loc.y, loc.z, 1), EulerAngles.new(0, 0, 0)) PreventionSystem.ShowMessage("MELEE VENDOR  [SANTO DOMINGO - RANCHO CORONADO]", 10.0)</t>
  </si>
  <si>
    <t>Tango Tors Vendor</t>
  </si>
  <si>
    <t>local loc = {x = 133.805145, y = -4670.488281, z = 54.607399}; Game.GetTeleportationFacility():Teleport(Game.GetPlayer(), Vector4.new(loc.x, loc.y, loc.z, 1), EulerAngles.new(0, 0, 0)) PreventionSystem.ShowMessage("MELEE VENDOR - TANGO TORS  [BADLANDS - JACKSON PLAINS]", 10.0)</t>
  </si>
  <si>
    <t>JACKSON PLAINS</t>
  </si>
  <si>
    <t>Store - Pharmacy</t>
  </si>
  <si>
    <t>Docks Pharmaceuticals</t>
  </si>
  <si>
    <t>local loc = {x = -1930.447875, y = 2741.377685, z = 10.449996}; Game.GetTeleportationFacility():Teleport(Game.GetPlayer(), Vector4.new(loc.x, loc.y, loc.z, 1), EulerAngles.new(0, 0, 0)) PreventionSystem.ShowMessage("PHARMACY - DOCKS PHARMACEUTICALS   [WATSON - NORTHSIDE]", 10.0)</t>
  </si>
  <si>
    <t>Charter Street Pharma  [ After Nearby Gig ]</t>
  </si>
  <si>
    <t>local loc = {x = -955.330444, y = 1783.534057, z = 22.837463}; Game.GetTeleportationFacility():Teleport(Game.GetPlayer(), Vector4.new(loc.x, loc.y, loc.z, 1), EulerAngles.new(0, 0, 0)) PreventionSystem.ShowMessage("PHARMACY - CHARTER STREET PHARMACEUTICALS   [WATSON - KABUKI]", 10.0)</t>
  </si>
  <si>
    <t>Pharmaceuticals</t>
  </si>
  <si>
    <t>local loc = {x = -1699.426757, y = 1254.763793, z = 18.229026}; Game.GetTeleportationFacility():Teleport(Game.GetPlayer(), Vector4.new(loc.x, loc.y, loc.z, 1), EulerAngles.new(0, 0, 0)) PreventionSystem.ShowMessage("PHARMACY - PHARMACEUTICALS   [WATSON - LITTLE CHINA]", 10.0)</t>
  </si>
  <si>
    <t>Skyline &amp; Salitas Medical Assistance</t>
  </si>
  <si>
    <t>local loc = {x = -442.117218, y = 1437.026367, z = 37.279304}; Game.GetTeleportationFacility():Teleport(Game.GetPlayer(), Vector4.new(loc.x, loc.y, loc.z, 1), EulerAngles.new(0, 0, 0)) PreventionSystem.ShowMessage("PHARMACY - SKYLINE &amp; SALITAS MEDICAL ASSISTANCE   [WESTBROOK - JAPANTOWN]", 10.0)</t>
  </si>
  <si>
    <t>Medical Accessories</t>
  </si>
  <si>
    <t>local loc = {x = -1128.585449, y = 234.626312, z = 5.287002}; Game.GetTeleportationFacility():Teleport(Game.GetPlayer(), Vector4.new(loc.x, loc.y, loc.z, 1), EulerAngles.new(0, 0, 0)) PreventionSystem.ShowMessage("PHARMACY - MEDICAL ACCESSORIES   [CITY CENTER - CORPO PLAZA]", 10.0)</t>
  </si>
  <si>
    <t>Downtown Pharmaceuticals</t>
  </si>
  <si>
    <t>local loc = {x = -1883.996948, y = 376.438232, z = 27.705146}; Game.GetTeleportationFacility():Teleport(Game.GetPlayer(), Vector4.new(loc.x, loc.y, loc.z, 1), EulerAngles.new(0, 0, 0)) PreventionSystem.ShowMessage("PHARMACY - DOWNTOWN PHARMACEUTICALS   [CITY CENTER - DOWNTOWN]", 10.0)</t>
  </si>
  <si>
    <t>Palms View Plaza Pharmaceuticals</t>
  </si>
  <si>
    <t>local loc = {x = -2182.743164, y = -944.747802, z = 8.017768}; Game.GetTeleportationFacility():Teleport(Game.GetPlayer(), Vector4.new(loc.x, loc.y, loc.z, 1), EulerAngles.new(0, 0, 0)) PreventionSystem.ShowMessage("PHARMACY - PALMS VIEW PLAZA PHARMACEUTICALS   [HEYWOOD - WELLSPRINGS]", 10.0)</t>
  </si>
  <si>
    <t>Manufactory Market Pharmaceuticals</t>
  </si>
  <si>
    <t>local loc = {x = -1004.352050, y = -1572.167236, z = 25.729621}; Game.GetTeleportationFacility():Teleport(Game.GetPlayer(), Vector4.new(loc.x, loc.y, loc.z, 1), EulerAngles.new(0, 0, 0)) PreventionSystem.ShowMessage("PHARMACY - MANUFACTORY MARKET PHARMACEUTICALS   [SANTO DOMINGO - ARROYO]", 10.0)</t>
  </si>
  <si>
    <t>Mallagra &amp; Manzanita Drugs</t>
  </si>
  <si>
    <t>local loc = {x = 428.308593, y = -1442.177734, z = 15.195770}; Game.GetTeleportationFacility():Teleport(Game.GetPlayer(), Vector4.new(loc.x, loc.y, loc.z, 1), EulerAngles.new(0, 0, 0)) PreventionSystem.ShowMessage("PHARMACY - MALLAGRA &amp; MANZANITA DRUGS   [SANTO DOMINGO - RANCHO CORONADO]", 10.0)</t>
  </si>
  <si>
    <t>Coastview Pharmaceuticals</t>
  </si>
  <si>
    <t>local loc = {x = -1902.288940, y = -1898.859375, z = 49.303024}; Game.GetTeleportationFacility():Teleport(Game.GetPlayer(), Vector4.new(loc.x, loc.y, loc.z, 1), EulerAngles.new(0, 0, 0)) PreventionSystem.ShowMessage("PHARMACY - COASTVIEW PHARMACEUTICALS   [PACIFICA - COASTVIEW]", 10.0)</t>
  </si>
  <si>
    <t>Badlands Pharmaceuticals</t>
  </si>
  <si>
    <t>local loc = {x = 3443.864501, y = -1983.330322, z = 99.474639}; Game.GetTeleportationFacility():Teleport(Game.GetPlayer(), Vector4.new(loc.x, loc.y, loc.z, 1), EulerAngles.new(0, 0, 0)) PreventionSystem.ShowMessage("PHARMACY - BADLANDS PHARMACEUTICALS   [BADLANDS - ROCKY RIDGE]", 10.0)</t>
  </si>
  <si>
    <t>Relic Terminal</t>
  </si>
  <si>
    <t>Petrochem Stadium  [ Phantom Liberty ]</t>
  </si>
  <si>
    <t>local loc = {x = -1346.054077, y = -1946.760254, z = 75.832718, rot = -141}; local name = 'RELIC TERMINAL - PETROCHEM STADIUM  [PACIFICA - DOGTOWN]';  Game.GetTeleportationFacility():Teleport(Game.GetPlayer(), Vector4.new(loc.x, loc.y, loc.z, 1), EulerAngles.new(0, 0, loc.rot)) PreventionSystem.ShowMessage(name, 10.0)</t>
  </si>
  <si>
    <t>local loc = {x = -2319.221436, y = -2948.140869, z = 123.467545, rot = -43}; local name = 'RELIC TERMINAL - TERRA COGNITA  [PACIFICA - DOGTOWN]';  Game.GetTeleportationFacility():Teleport(Game.GetPlayer(), Vector4.new(loc.x, loc.y, loc.z, 1), EulerAngles.new(0, 0, loc.rot)) PreventionSystem.ShowMessage(name, 10.0)</t>
  </si>
  <si>
    <t>Kress Street  [ Phantom Liberty ]</t>
  </si>
  <si>
    <t>local loc = {x = -2234.461182, y = -2543.600830, z = 16.611084, rot = 117}; local name = 'RELIC TERMINAL - KRESS STREET  [PACIFICA - DOGTOWN]';  Game.GetTeleportationFacility():Teleport(Game.GetPlayer(), Vector4.new(loc.x, loc.y, loc.z, 1), EulerAngles.new(0, 0, loc.rot)) PreventionSystem.ShowMessage(name, 10.0)</t>
  </si>
  <si>
    <t>Brainporium  [ Phantom Liberty ]</t>
  </si>
  <si>
    <t>local loc = {x = -1670.844238, y = -2436.410645, z = 70.202423, rot = 158}; local name = 'RELIC TERMINAL - BRAINPORIUM  [PACIFICA - DOGTOWN]';  Game.GetTeleportationFacility():Teleport(Game.GetPlayer(), Vector4.new(loc.x, loc.y, loc.z, 1), EulerAngles.new(0, 0, loc.rot)) PreventionSystem.ShowMessage(name, 10.0)</t>
  </si>
  <si>
    <t>Luxor High Wellness  [ Phantom Liberty ]</t>
  </si>
  <si>
    <t>local loc = {x = -1458.073364, y = -2590.424805, z = 89.893600, rot = 41}; local name = 'RELIC TERMINAL - LUXOR HIGH WELLNESS  [PACIFICA - DOGTOWN]';  Game.GetTeleportationFacility():Teleport(Game.GetPlayer(), Vector4.new(loc.x, loc.y, loc.z, 1), EulerAngles.new(0, 0, loc.rot)) PreventionSystem.ShowMessage(name, 10.0)</t>
  </si>
  <si>
    <t>Voodoo Boys Barricade  [ Phantom Liberty ]</t>
  </si>
  <si>
    <t>local loc = {x = -1702.688721, y = -2716.003906, z = 83.447952, rot = -135}; local name = 'RELIC TERMINAL - VOODOO BOYS BARRICADE  [PACIFICA - DOGTOWN]';  Game.GetTeleportationFacility():Teleport(Game.GetPlayer(), Vector4.new(loc.x, loc.y, loc.z, 1), EulerAngles.new(0, 0, loc.rot)) PreventionSystem.ShowMessage(name, 10.0)</t>
  </si>
  <si>
    <t>Golden Pacific  [ Phantom Liberty ]</t>
  </si>
  <si>
    <t>local loc = {x = -2043.627686, y = -2740.482422, z = 43.356979, rot = -154}; local name = 'RELIC TERMINAL - GOLDEN PACIFIC  [PACIFICA - DOGTOWN]';  Game.GetTeleportationFacility():Teleport(Game.GetPlayer(), Vector4.new(loc.x, loc.y, loc.z, 1), EulerAngles.new(0, 0, loc.rot)) PreventionSystem.ShowMessage(name, 10.0)</t>
  </si>
  <si>
    <t>Barghest Stronghold  [ Phantom Liberty ]</t>
  </si>
  <si>
    <t>local loc = {x = -2374.955566, y = -2474.468018, z = 3.999992, rot = 23}; local name = 'RELIC TERMINAL - BARGHEST STRONGHOLD  [PACIFICA - DOGTOWN]';  Game.GetTeleportationFacility():Teleport(Game.GetPlayer(), Vector4.new(loc.x, loc.y, loc.z, 1), EulerAngles.new(0, 0, loc.rot)) PreventionSystem.ShowMessage(name, 10.0)</t>
  </si>
  <si>
    <t>Heavy Hearts Overpass  [ Phantom Liberty ]</t>
  </si>
  <si>
    <t>local loc = {x = -1660.198242, y = -2209.090088, z = 51.060371, rot = -53}; local name = 'RELIC TERMINAL - HEAVY HEARTS OVERPASS [PACIFICA - DOGTOWN]';  Game.GetTeleportationFacility():Teleport(Game.GetPlayer(), Vector4.new(loc.x, loc.y, loc.z, 1), EulerAngles.new(0, 0, loc.rot)) PreventionSystem.ShowMessage(name, 10.0)</t>
  </si>
  <si>
    <t>Tarot Card</t>
  </si>
  <si>
    <t>Death</t>
  </si>
  <si>
    <t>local loc = {x = -1808.519287, y = -542.195801, z = 10.144997}; Game.GetTeleportationFacility():Teleport(Game.GetPlayer(), Vector4.new(loc.x, loc.y, loc.z, 1), EulerAngles.new(0, 0, 0)) PreventionSystem.ShowMessage("TAROT CARD - DEATH  [HEYWOOD - THE GLEN]", 10.0)</t>
  </si>
  <si>
    <t>Justice</t>
  </si>
  <si>
    <t>local loc = {x = 51.435013, y = -498.468506, z = 15.313713}; Game.GetTeleportationFacility():Teleport(Game.GetPlayer(), Vector4.new(loc.x, loc.y, loc.z, 1), EulerAngles.new(0, 0, 0)) PreventionSystem.ShowMessage("TAROT CARD - JUSTICE  [SANTO DOMINGO - ARROYO]", 10.0)</t>
  </si>
  <si>
    <t>Strenght</t>
  </si>
  <si>
    <t>local loc = {x = 684.020813, y = -616.751282, z = 9.846458}; Game.GetTeleportationFacility():Teleport(Game.GetPlayer(), Vector4.new(loc.x, loc.y, loc.z, 1), EulerAngles.new(0, 0, 0)) PreventionSystem.ShowMessage("TAROT CARD - STRENGHT  [SANTO DOMINGO - RANCHO CORONADO]", 10.0)</t>
  </si>
  <si>
    <t>Temperance</t>
  </si>
  <si>
    <t>local loc = {x = 195.212189, y = 574.286682, z = 120.330841}; Game.GetTeleportationFacility():Teleport(Game.GetPlayer(), Vector4.new(loc.x, loc.y, loc.z, 1), EulerAngles.new(0, 0, 0)) PreventionSystem.ShowMessage("TAROT CARD - TEMPERANCE  [WESTBROOK - NORTH OAK]", 10.0)</t>
  </si>
  <si>
    <t>The Chariot</t>
  </si>
  <si>
    <t>local loc = {x = -1503.578857, y = 1137.667480, z = 18.070541}; Game.GetTeleportationFacility():Teleport(Game.GetPlayer(), Vector4.new(loc.x, loc.y, loc.z, 1), EulerAngles.new(0, 0, 0)) PreventionSystem.ShowMessage("TAROT CARD - THE CHARIOT  [WATSON - LITTLE CHINA]", 10.0)</t>
  </si>
  <si>
    <t>The Emperor</t>
  </si>
  <si>
    <t>local loc = {x = -2103.592773, y = 1772.950562, z = 18.331223}; Game.GetTeleportationFacility():Teleport(Game.GetPlayer(), Vector4.new(loc.x, loc.y, loc.z, 1), EulerAngles.new(0, 0, 0)) PreventionSystem.ShowMessage("TAROT CARD - THE EMPEROR  [WATSON - ARASAKA WATERFRONT]", 10.0)</t>
  </si>
  <si>
    <t>ARASAKA WATERFRONT</t>
  </si>
  <si>
    <t>The Empress</t>
  </si>
  <si>
    <t>local loc = {x = -1460.803711, y = 1047.891846, z = 18.762367}; Game.GetTeleportationFacility():Teleport(Game.GetPlayer(), Vector4.new(loc.x, loc.y, loc.z, 1), EulerAngles.new(0, 0, 0)) PreventionSystem.ShowMessage("TAROT CARD - THE EMPRESS  [WATSON - LITTLE CHINA]", 10.0)</t>
  </si>
  <si>
    <t>The Fool</t>
  </si>
  <si>
    <t>local loc = {x = -1391.457397, y = 1268.110229, z = 123.082397}; Game.GetTeleportationFacility():Teleport(Game.GetPlayer(), Vector4.new(loc.x, loc.y, loc.z, 1), EulerAngles.new(0, 0, 0)) PreventionSystem.ShowMessage("TAROT CARD - THE FOOL  [WATSON - LITTLE CHINA]", 10.0)</t>
  </si>
  <si>
    <t>The Hanged Man</t>
  </si>
  <si>
    <t>local loc = {x = -1834.668945, y = 3877.000000, z = 17.890144}; Game.GetTeleportationFacility():Teleport(Game.GetPlayer(), Vector4.new(loc.x, loc.y, loc.z, 1), EulerAngles.new(0, 0, 0)) PreventionSystem.ShowMessage("TAROT CARD - THE HANGED MAN  [BADLANDS - NORTHERN OILFIELDS]", 10.0)</t>
  </si>
  <si>
    <t>NORTHERN OILFIELDS</t>
  </si>
  <si>
    <t>The Heremit</t>
  </si>
  <si>
    <t>local loc = {x = -1736.029663, y = -1934.164917, z = 61.592911}; Game.GetTeleportationFacility():Teleport(Game.GetPlayer(), Vector4.new(loc.x, loc.y, loc.z, 1), EulerAngles.new(0, 0, 0)) PreventionSystem.ShowMessage("TAROT CARD - THE HEREMIT  [PACIFICA - COASTVIEW]", 10.0)</t>
  </si>
  <si>
    <t>The Hierophant</t>
  </si>
  <si>
    <t>local loc = {x = -880.238464, y = 1320.123047, z = 5.821556}; Game.GetTeleportationFacility():Teleport(Game.GetPlayer(), Vector4.new(loc.x, loc.y, loc.z, 1), EulerAngles.new(0, 0, 0)) PreventionSystem.ShowMessage("TAROT CARD - THE HIEROPHANT  [WESTBROOK - JAPANTOWN]", 10.0)</t>
  </si>
  <si>
    <t>The High Priestess</t>
  </si>
  <si>
    <t>local loc = {x = -630.949707, y = -212.408829, z = 20.170006}; Game.GetTeleportationFacility():Teleport(Game.GetPlayer(), Vector4.new(loc.x, loc.y, loc.z, 1), EulerAngles.new(0, 0, 0)) PreventionSystem.ShowMessage("TAROT CARD - THE HIGH PRIESTESS  [HEYWOOD - VISTA DEL REY]", 10.0)</t>
  </si>
  <si>
    <t>The Lovers</t>
  </si>
  <si>
    <t>local loc = {x = -113.085938, y = 1935.875000, z = 100.617203}; Game.GetTeleportationFacility():Teleport(Game.GetPlayer(), Vector4.new(loc.x, loc.y, loc.z, 1), EulerAngles.new(0, 0, 0)) PreventionSystem.ShowMessage("TAROT CARD - THE LOVERS  [WESTBROOK - NORTH OAK]", 10.0)</t>
  </si>
  <si>
    <t>The Magician</t>
  </si>
  <si>
    <t>local loc = {x = -1231.555420, y = 1559.181641, z = 22.671944}; Game.GetTeleportationFacility():Teleport(Game.GetPlayer(), Vector4.new(loc.x, loc.y, loc.z, 1), EulerAngles.new(0, 0, 0)) PreventionSystem.ShowMessage("TAROT CARD - THE MAGICIAN  [WATSON - KABUKI]", 10.0)</t>
  </si>
  <si>
    <t>The Moon</t>
  </si>
  <si>
    <t>local loc = {x = 397.054016, y = 1151.880493, z = 220.754074}; Game.GetTeleportationFacility():Teleport(Game.GetPlayer(), Vector4.new(loc.x, loc.y, loc.z, 1), EulerAngles.new(0, 0, 0)) PreventionSystem.ShowMessage("TAROT CARD - THE MOON  [WESTBROOK - NORTH OAK]", 10.0)</t>
  </si>
  <si>
    <t>The Star</t>
  </si>
  <si>
    <t>local loc = {x = -611.084839, y = -3845.938721, z = 72.121140}; Game.GetTeleportationFacility():Teleport(Game.GetPlayer(), Vector4.new(loc.x, loc.y, loc.z, 1), EulerAngles.new(0, 0, 0)) PreventionSystem.ShowMessage("TAROT CARD - THE STAR  [BADLANDS - JACKSON PLAINS]", 10.0)</t>
  </si>
  <si>
    <t>The Sun</t>
  </si>
  <si>
    <t>local loc = {x = -1330.365479, y = 1202.760132, z = 19.432549}; Game.GetTeleportationFacility():Teleport(Game.GetPlayer(), Vector4.new(loc.x, loc.y, loc.z, 1), EulerAngles.new(0, 0, 0)) PreventionSystem.ShowMessage("TAROT CARD - THE SUN  [WATSON - LITTLE CHINA]", 10.0)</t>
  </si>
  <si>
    <t>The Tower</t>
  </si>
  <si>
    <t>local loc = {x = -1574.8718, y = 141.00473, z = 7.298584}; Game.GetTeleportationFacility():Teleport(Game.GetPlayer(), Vector4.new(loc.x, loc.y, loc.z, 1), EulerAngles.new(0, 0, 0)) PreventionSystem.ShowMessage("TAROT CARD - THE TOWER  [CITY CENTER - CORPO PLAZA]", 10.0)</t>
  </si>
  <si>
    <t>The Wheel Of Fortune</t>
  </si>
  <si>
    <t>local loc = {x = 1650.025879, y = -793.365784, z = 49.820427}; Game.GetTeleportationFacility():Teleport(Game.GetPlayer(), Vector4.new(loc.x, loc.y, loc.z, 1), EulerAngles.new(0, 0, 0)) PreventionSystem.ShowMessage("TAROT CARD - THE WHEEL OF FORTUNE  [BADLANDS - RED PEAKS]", 10.0)</t>
  </si>
  <si>
    <t>The World</t>
  </si>
  <si>
    <t>local loc = {x = -1549.944092, y = 1208.757080, z = 57.000008}; Game.GetTeleportationFacility():Teleport(Game.GetPlayer(), Vector4.new(loc.x, loc.y, loc.z, 1), EulerAngles.new(0, 0, 0)) PreventionSystem.ShowMessage("TAROT CARD - THE WORLD  [WATSON - LITTLE CHINA]", 10.0)</t>
  </si>
  <si>
    <t>Judgement</t>
  </si>
  <si>
    <t>local loc = {x = -1361.474121, y = 155.524597, z = -26.648010}; Game.GetTeleportationFacility():Teleport(Game.GetPlayer(), Vector4.new(loc.x, loc.y, loc.z, 1), EulerAngles.new(0, 0, 0)) PreventionSystem.ShowMessage("TAROT CARD - JUDGEMENT [ENDING QUEST]", 10.0)</t>
  </si>
  <si>
    <t>The Devil</t>
  </si>
  <si>
    <t>local msg1, msg2 = 'NO TELEPORT HERE.', 'IT\'S THE RUBIX CUBE AVAILABLE IN THE HANAKO ENDING  ( ENDING QUEST )'; PreventionSystem.ShowMessage(msg1..'\n'..msg2, 5) print(' \n\t'..msg1..'\n\t'..msg2..'\n ')</t>
  </si>
  <si>
    <t>King Of Cup  [ Phantom Liberty ]</t>
  </si>
  <si>
    <t>local loc = {x = -1334.245605, y = -1737.211304, z = 44.206100}; Game.GetTeleportationFacility():Teleport(Game.GetPlayer(), Vector4.new(loc.x, loc.y, loc.z, 1), EulerAngles.new(0, 0, 90)) PreventionSystem.ShowMessage("TAROT CARD - KING OF CUP  [PACIFICA - COASTVIEW]", 10.0)</t>
  </si>
  <si>
    <t>King Of Pentacles  [ Phantom Liberty ]</t>
  </si>
  <si>
    <t>local loc = { x = -2236.342285, y = -2546.681641, z = 80.300980 }; Game.GetTeleportationFacility():Teleport(Game.GetPlayer(), Vector4.new(loc.x, loc.y, loc.z, 1), EulerAngles.new(0, 0, 40)) PreventionSystem.ShowMessage("TAROT CARD - KING OF PENTACLES  [PACIFICA - DOGTOWN]", 10.0)</t>
  </si>
  <si>
    <t>King Of Swords  [ Phantom Liberty ]</t>
  </si>
  <si>
    <t>local loc = { x = -2413.285400, y = -2634.901611, z = 22.762077 }; Game.GetTeleportationFacility():Teleport(Game.GetPlayer(), Vector4.new(loc.x, loc.y, loc.z, 1), EulerAngles.new(0, 0, 120)) PreventionSystem.ShowMessage("TAROT CARD - KING OF SWORDS  [PACIFICA - DOGTOWN]", 10.0)</t>
  </si>
  <si>
    <t>King Of Wands  [ Phantom Liberty ]</t>
  </si>
  <si>
    <t>local loc = { x = -1812.137695, y = -2730.950195, z = 73.712189 }; Game.GetTeleportationFacility():Teleport(Game.GetPlayer(), Vector4.new(loc.x, loc.y, loc.z, 1), EulerAngles.new(0, 0, 120)) PreventionSystem.ShowMessage("TAROT CARD - KING OF WANDS  [PACIFICA - DOGTOWN]", 10.0)</t>
  </si>
  <si>
    <t>Cyberpsycho</t>
  </si>
  <si>
    <t>Six Feet Under</t>
  </si>
  <si>
    <t>local loc = {x = -1100.205200, y = 2804.27246, z = 7.1907348}; Game.GetTeleportationFacility():Teleport(Game.GetPlayer(), Vector4.new(loc.x, loc.y, loc.z, 1), EulerAngles.new(0, 0, 0)) PreventionSystem.ShowMessage("CYBERPSYCHO - SIX FEET UNDER  [WATSON - LITTLE CHINA]", 10.0)</t>
  </si>
  <si>
    <t>Bloody Ritual</t>
  </si>
  <si>
    <t>local loc = {x = -1516.028564, y = 2513.15039, z = 6.9869384}; Game.GetTeleportationFacility():Teleport(Game.GetPlayer(), Vector4.new(loc.x, loc.y, loc.z, 1), EulerAngles.new(0, 0, 0)) PreventionSystem.ShowMessage("CYBERPSYCHO - BLOODY RITUAL  [WATSON - NORTHSIDE]", 10.0)</t>
  </si>
  <si>
    <t>Where The Bodies Hit The Floor</t>
  </si>
  <si>
    <t>local loc = {x = -1705.857299, y = 2251.37426, z = 18.000022}; Game.GetTeleportationFacility():Teleport(Game.GetPlayer(), Vector4.new(loc.x, loc.y, loc.z, 1), EulerAngles.new(0, 0, 0)) PreventionSystem.ShowMessage("CYBERPSYCHO - WHERE THE BODIES HIT THE FLOOr  [WATSON - NORTHSIDE]", 10.0)</t>
  </si>
  <si>
    <t>Demons Of War</t>
  </si>
  <si>
    <t>local loc = {x = -816.7252807, y = 1959.36071, z = 51.605758}; Game.GetTeleportationFacility():Teleport(Game.GetPlayer(), Vector4.new(loc.x, loc.y, loc.z, 1), EulerAngles.new(0, 0, 0)) PreventionSystem.ShowMessage("CYBERPSYCHO - DEMONS OF WAR  [WATSON - KABUKI]", 10.0)</t>
  </si>
  <si>
    <t>Lt. Mower</t>
  </si>
  <si>
    <t>local loc = {x = -1092.920043, y = 1546.83032, z = 2.1322555}; Game.GetTeleportationFacility():Teleport(Game.GetPlayer(), Vector4.new(loc.x, loc.y, loc.z, 1), EulerAngles.new(0, 0, 0)) PreventionSystem.ShowMessage("CYBERPSYCHO - LT. MOWER  [WATSON - KABUKI]", 10.0)</t>
  </si>
  <si>
    <t>Ticket To The Major Leagues</t>
  </si>
  <si>
    <t>local loc = {x = -2047.724243, y = 1252.05261, z = 3.8899993}; Game.GetTeleportationFacility():Teleport(Game.GetPlayer(), Vector4.new(loc.x, loc.y, loc.z, 1), EulerAngles.new(0, 0, 0)) PreventionSystem.ShowMessage("CYBERPSYCHO - TICKET TO THE MAJOR LEAGUES  [WATSON - LITTLE CHINA]", 10.0)</t>
  </si>
  <si>
    <t>On Deaf Ears</t>
  </si>
  <si>
    <t>local loc = {x = -2170.168457, y = 294.237762, z = 8.0100097}; Game.GetTeleportationFacility():Teleport(Game.GetPlayer(), Vector4.new(loc.x, loc.y, loc.z, 1), EulerAngles.new(0, 0, 0)) PreventionSystem.ShowMessage("CYBERPSYCHO - ON DEAF EARS  [CITY CENTER - DOWNTOWN]", 10.0)</t>
  </si>
  <si>
    <t>Phantom Of Night City</t>
  </si>
  <si>
    <t>local loc = {x = -1641.139770, y = 245.386596, z = 8.2137145}; Game.GetTeleportationFacility():Teleport(Game.GetPlayer(), Vector4.new(loc.x, loc.y, loc.z, 1), EulerAngles.new(0, 0, 0)) PreventionSystem.ShowMessage("CYBERPSYCHO - PHANTOM OF NIGHT CITY  [CITY CENTER - CORPO PLAZA]", 10.0)</t>
  </si>
  <si>
    <t>Letter Of The Law</t>
  </si>
  <si>
    <t>local loc = {x = -2373.627685, y = -1098.771362, z = 12.810585}; Game.GetTeleportationFacility():Teleport(Game.GetPlayer(), Vector4.new(loc.x, loc.y, loc.z, 1), EulerAngles.new(0, 0, 0)) PreventionSystem.ShowMessage("CYBERPSYCHO - LETTER OF THE LAW  [HEYWOOD - WELLSPRINGS]", 10.0)</t>
  </si>
  <si>
    <t>Seaside Cafe</t>
  </si>
  <si>
    <t>local loc = {x = -2237.607177, y = -1310.147949, z = 12.271194}; Game.GetTeleportationFacility():Teleport(Game.GetPlayer(), Vector4.new(loc.x, loc.y, loc.z, 1), EulerAngles.new(0, 0, 0)) PreventionSystem.ShowMessage("CYBERPSYCHO - SEASIDE CAFE  [HEYWOOD - WELLSPRINGS]", 10.0)</t>
  </si>
  <si>
    <t>Smoke On The Water</t>
  </si>
  <si>
    <t>local loc = {x = -1939.302490, y = -1617.433593, z = 5.9614181}; Game.GetTeleportationFacility():Teleport(Game.GetPlayer(), Vector4.new(loc.x, loc.y, loc.z, 1), EulerAngles.new(0, 0, 0)) PreventionSystem.ShowMessage("CYBERPSYCHO - SMOKE ON THE WATER  [PACIFICA - COASTVIEW]", 10.0)</t>
  </si>
  <si>
    <t>Lex Talionis</t>
  </si>
  <si>
    <t>local loc = {x = -2217.856689, y = -1943.290771, z = 5.3432922}; Game.GetTeleportationFacility():Teleport(Game.GetPlayer(), Vector4.new(loc.x, loc.y, loc.z, 1), EulerAngles.new(0, 0, 0)) PreventionSystem.ShowMessage("CYBERPSYCHO - LEX TALIONIS  [PACIFICA - COASTVIEW]", 10.0)</t>
  </si>
  <si>
    <t>Under The Bridge</t>
  </si>
  <si>
    <t>local loc = {x = -644.8963623, y = -1313.797363, z = 8.0832595}; Game.GetTeleportationFacility():Teleport(Game.GetPlayer(), Vector4.new(loc.x, loc.y, loc.z, 1), EulerAngles.new(0, 0, 0)) PreventionSystem.ShowMessage("CYBERPSYCHO - UNDER THE BRIDGE  [SANTO DOMINGO - ARROYO]", 10.0)</t>
  </si>
  <si>
    <t>Discount Doc</t>
  </si>
  <si>
    <t>local loc = {x = 324.345153, y = -1919.653564, z = -5.797576}; Game.GetTeleportationFacility():Teleport(Game.GetPlayer(), Vector4.new(loc.x, loc.y, loc.z, 1), EulerAngles.new(0, 0, 0)) PreventionSystem.ShowMessage("CYBERPSYCHO - DISCOUNT DOC  [CITY CENTER - DOWNTOWN]", 10.0)</t>
  </si>
  <si>
    <t>The Wasteland  [ After "Life During Wartime" ]</t>
  </si>
  <si>
    <t>local loc = {x = 2527.024658, y = -1685.096801, z = 74.852676}; Game.GetTeleportationFacility():Teleport(Game.GetPlayer(), Vector4.new(loc.x, loc.y, loc.z, 1), EulerAngles.new(0, 0, 0)) PreventionSystem.ShowMessage("CYBERPSYCHO - THE WASTELAND  [BADLANDS - ROCKY RIDGE]", 10.0)</t>
  </si>
  <si>
    <t>House On The Hill</t>
  </si>
  <si>
    <t>local loc = {x = 2704.333984, y = -595.9229736, z = 102.67890}; Game.GetTeleportationFacility():Teleport(Game.GetPlayer(), Vector4.new(loc.x, loc.y, loc.z, 1), EulerAngles.new(0, 0, 0)) PreventionSystem.ShowMessage("CYBERPSYCHO - HOUSE ON THE HILL  [BADLANDS - ROCKY RIDGE]", 10.0)</t>
  </si>
  <si>
    <t>Second Chances</t>
  </si>
  <si>
    <t>local loc = {x = 4602.4306645, y = -1240.256713, z = 142.72061}; Game.GetTeleportationFacility():Teleport(Game.GetPlayer(), Vector4.new(loc.x, loc.y, loc.z, 1), EulerAngles.new(0, 0, 0)) PreventionSystem.ShowMessage("CYBERPSYCHO 17 - SECOND CHANCES  [BADLANDS - ROCKY RIDGE]", 10.0)</t>
  </si>
  <si>
    <t>Perk Shard</t>
  </si>
  <si>
    <t>Arasaka Industrial Park</t>
  </si>
  <si>
    <t>local loc = {x = -253.68695, y = -1462.9231, z = 7.5999146}; Game.GetTeleportationFacility():Teleport(Game.GetPlayer(), Vector4.new(loc.x, loc.y, loc.z, 1), EulerAngles.new(0, 0, 0)) PreventionSystem.ShowMessage("PERK SHARD [ARASAKA INDUSTRIAL PARK]  [SANTO DOMINGO - ARROYO]", 10.0)</t>
  </si>
  <si>
    <t>local loc = {x = -254.02971, y = -1508.8351, z = 12.610001}; Game.GetTeleportationFacility():Teleport(Game.GetPlayer(), Vector4.new(loc.x, loc.y, loc.z, 1), EulerAngles.new(0, 0, 0)) PreventionSystem.ShowMessage("PERK SHARD [ARASAKA INDUSTRIAL PARK]  [SANTO DOMINGO - ARROYO]", 10.0)</t>
  </si>
  <si>
    <t>Badlands</t>
  </si>
  <si>
    <t>local loc = {x = 2287.9966, y = -1051.378, z = 55.498795}; Game.GetTeleportationFacility():Teleport(Game.GetPlayer(), Vector4.new(loc.x, loc.y, loc.z, 1), EulerAngles.new(0, 0, 0)) PreventionSystem.ShowMessage("PERK SHARD  [BADLANDS - ROCKY RIDGE]", 10.0)</t>
  </si>
  <si>
    <t>Corpo Plaza</t>
  </si>
  <si>
    <t>local loc = {x = -1354.8429, y = 444.22794, z = 13.151001}; Game.GetTeleportationFacility():Teleport(Game.GetPlayer(), Vector4.new(loc.x, loc.y, loc.z, 1), EulerAngles.new(0, 0, 0)) PreventionSystem.ShowMessage("PERK SHARD  [CITY CENTER - CORPO PLAZA]", 10.0)</t>
  </si>
  <si>
    <t>Northside</t>
  </si>
  <si>
    <t>local loc = {x = -964.2407, y = 2778.0720, z = 30.049217}; Game.GetTeleportationFacility():Teleport(Game.GetPlayer(), Vector4.new(loc.x, loc.y, loc.z, 1), EulerAngles.new(0, 0, 0)) PreventionSystem.ShowMessage("PERK SHARD  [WATSON - NORTHSIDE]", 10.0)</t>
  </si>
  <si>
    <t>Rancho Coronado</t>
  </si>
  <si>
    <t>local loc = {x = 645.40015, y = -2159.7837, z = 39.349243}; Game.GetTeleportationFacility():Teleport(Game.GetPlayer(), Vector4.new(loc.x, loc.y, loc.z, 1), EulerAngles.new(0, 0, 0)) PreventionSystem.ShowMessage("PERK SHARD  [SANTO DOMINGO - RANCHO CORONADO]", 10.0)</t>
  </si>
  <si>
    <t>The Glen</t>
  </si>
  <si>
    <t>local loc = {x = -1984.3334, y = -1027.2446, z = 7.6319275}; Game.GetTeleportationFacility():Teleport(Game.GetPlayer(), Vector4.new(loc.x, loc.y, loc.z, 1), EulerAngles.new(0, 0, 0)) PreventionSystem.ShowMessage("PERK SHARD  [HEYWOOD - THE GLEN]", 10.0)</t>
  </si>
  <si>
    <t>Fast Travel Point</t>
  </si>
  <si>
    <t>local loc = {x = -2220.017334, y = -2557.717285, z = 16.611084, rot = 136}; local name = 'KRESS STREET  [PACIFICA - DOGTOWN]';  Game.GetTeleportationFacility():Teleport(Game.GetPlayer(), Vector4.new(loc.x, loc.y, loc.z, 1), EulerAngles.new(0, 0, loc.rot)) PreventionSystem.ShowMessage(name, 10.0)</t>
  </si>
  <si>
    <t>local loc = {x = -1877.694458, y = -2460.673096, z = 35.682060, rot = -43}; local name = 'GOLDEN PACIFIC  [PACIFICA - DOGTOWN]';  Game.GetTeleportationFacility():Teleport(Game.GetPlayer(), Vector4.new(loc.x, loc.y, loc.z, 1), EulerAngles.new(0, 0, loc.rot)) PreventionSystem.ShowMessage(name, 10.0)</t>
  </si>
  <si>
    <t>Ebm Petrochem Stadium  [ Phantom Liberty ]</t>
  </si>
  <si>
    <t>local loc = {x = -1376.439453, y = -2121.908203, z = 70.031357, rot = -143}; local name = 'EBM PETROCHEM STADIUM TERMINAL  [PACIFICA - DOGTOWN]';  Game.GetTeleportationFacility():Teleport(Game.GetPlayer(), Vector4.new(loc.x, loc.y, loc.z, 1), EulerAngles.new(0, 0, loc.rot)) PreventionSystem.ShowMessage(name, 10.0)</t>
  </si>
  <si>
    <t>Luxor High Wellness Spa  [ Phantom Liberty ]</t>
  </si>
  <si>
    <t>local loc = {x = -1540.093140, y = -2517.605225, z = 83.187943, rot = 42}; local name = 'LUXOR HIGH WELLNESS SPA TERMINAL  [PACIFICA - DOGTOWN]';  Game.GetTeleportationFacility():Teleport(Game.GetPlayer(), Vector4.new(loc.x, loc.y, loc.z, 1), EulerAngles.new(0, 0, loc.rot)) PreventionSystem.ShowMessage(name, 10.0)</t>
  </si>
  <si>
    <t>local loc = {x = -2405.693604, y = -2691.572266, z = 22.820534, rot = -166}; local name = 'LONGSHORE STACKS TERMINAL  [PACIFICA - DOGTOWN]';  Game.GetTeleportationFacility():Teleport(Game.GetPlayer(), Vector4.new(loc.x, loc.y, loc.z, 1), EulerAngles.new(0, 0, loc.rot)) PreventionSystem.ShowMessage(name, 10.0)</t>
  </si>
  <si>
    <t>local loc = {x = -2136.160156, y = -2949.252197, z = 108.283508, rot = -51}; local name = 'TERRA COGNITA TERMINAL  [PACIFICA - DOGTOWN]';  Game.GetTeleportationFacility():Teleport(Game.GetPlayer(), Vector4.new(loc.x, loc.y, loc.z, 1), EulerAngles.new(0, 0, loc.rot)) PreventionSystem.ShowMessage(name, 10.0)</t>
  </si>
  <si>
    <t>101 North</t>
  </si>
  <si>
    <t>local loc = {x = -2495.540527, y = 3583.902100, z = 12.937248}; Game.GetTeleportationFacility():Teleport(Game.GetPlayer(), Vector4.new(loc.x, loc.y, loc.z, 1), EulerAngles.new(0, 0, 0)) PreventionSystem.ShowMessage("BADLANDS TERMINAL - NORTHERN OILFIELDS - 101 NORTH", 10.0)</t>
  </si>
  <si>
    <t>Abandoned Fuel Station</t>
  </si>
  <si>
    <t>local loc = {x = -1121.166626, y = -5584.013184, z = 92.306473}; Game.GetTeleportationFacility():Teleport(Game.GetPlayer(), Vector4.new(loc.x, loc.y, loc.z, 1), EulerAngles.new(0, 0, 0)) PreventionSystem.ShowMessage("BADLANDS TERMINAL - RATTLESNAKE CREEK - ABANDONED FUEL STATION", 10.0)</t>
  </si>
  <si>
    <t>RATTLESNAKE CREEK</t>
  </si>
  <si>
    <t>Abandoned Parking Lot</t>
  </si>
  <si>
    <t>local loc = {x = -765.474548, y = -2437.059570, z = 14.153740}; Game.GetTeleportationFacility():Teleport(Game.GetPlayer(), Vector4.new(loc.x, loc.y, loc.z, 1), EulerAngles.new(0, 0, 0)) PreventionSystem.ShowMessage("BADLANDS TERMINAL - BIOTECHNICA FLATS - ABANDONED PARKING LOT", 10.0)</t>
  </si>
  <si>
    <t>Afterlife</t>
  </si>
  <si>
    <t>local loc = {x = -1470.310181, y = 1062.667603, z = 22.687759}; Game.GetTeleportationFacility():Teleport(Game.GetPlayer(), Vector4.new(loc.x, loc.y, loc.z, 1), EulerAngles.new(0, 0, 0)) PreventionSystem.ShowMessage("WATSON TERMINAL - LITTLE CHINA - AFTERLIFE", 10.0)</t>
  </si>
  <si>
    <t>All Foods Plant</t>
  </si>
  <si>
    <t>local loc = {x = -715.867371, y = 2181.901611, z = 53.083183}; Game.GetTeleportationFacility():Teleport(Game.GetPlayer(), Vector4.new(loc.x, loc.y, loc.z, 1), EulerAngles.new(0, 0, 0)) PreventionSystem.ShowMessage("WATSON TERMINAL - NORTHSIDE - ALL FOODS PLANT", 10.0)</t>
  </si>
  <si>
    <t>Allen St South</t>
  </si>
  <si>
    <t>local loc = {x = -1087.163086, y = 1312.506226, z = 5.360001}; Game.GetTeleportationFacility():Teleport(Game.GetPlayer(), Vector4.new(loc.x, loc.y, loc.z, 1), EulerAngles.new(0, 0, 0)) PreventionSystem.ShowMessage("WATSON TERMINAL - KABUKI - ALLEN ST SOUTH", 10.0)</t>
  </si>
  <si>
    <t>Almunecar &amp; Jerez</t>
  </si>
  <si>
    <t>local loc = {x = 60.155746, y = -1927.084106, z = 2.488831}; Game.GetTeleportationFacility():Teleport(Game.GetPlayer(), Vector4.new(loc.x, loc.y, loc.z, 1), EulerAngles.new(0, 0, 0)) PreventionSystem.ShowMessage("SANTO DOMINGO TERMINAL - RANCHO CORONADO - ALMUNECAR &amp; JEREZ", 10.0)</t>
  </si>
  <si>
    <t>Arasaka Estate</t>
  </si>
  <si>
    <t>local loc = {x = 485.984222, y = 1224.233398, z = 229.253220}; Game.GetTeleportationFacility():Teleport(Game.GetPlayer(), Vector4.new(loc.x, loc.y, loc.z, 1), EulerAngles.new(0, 0, 0)) PreventionSystem.ShowMessage("WESTBROOK TERMINAL - NORTH OAK - ARASAKA ESTATE", 10.0)</t>
  </si>
  <si>
    <t>local loc = {x = -187.066544, y = -1498.726440, z = 7.651115}; Game.GetTeleportationFacility():Teleport(Game.GetPlayer(), Vector4.new(loc.x, loc.y, loc.z, 1), EulerAngles.new(0, 0, 0)) PreventionSystem.ShowMessage("SANTO DOMINGO TERMINAL - RANCHO CORONADO - ARASAKA INDUSTRIAL PARK", 10.0)</t>
  </si>
  <si>
    <t>Arasaka Tower</t>
  </si>
  <si>
    <t>local loc = {x = -1447.891235, y = 43.989212, z = 16.133087}; Game.GetTeleportationFacility():Teleport(Game.GetPlayer(), Vector4.new(loc.x, loc.y, loc.z, 1), EulerAngles.new(0, 0, 0)) PreventionSystem.ShowMessage("CITY CENTER TERMINAL - CORPO PLAZA - ARASAKA TOWER", 10.0)</t>
  </si>
  <si>
    <t>Arasaka Waterfront North</t>
  </si>
  <si>
    <t>local loc = {x = -2249.297363, y = 2790.432373, z = 6.998505}; Game.GetTeleportationFacility():Teleport(Game.GetPlayer(), Vector4.new(loc.x, loc.y, loc.z, 1), EulerAngles.new(0, 0, 0)) PreventionSystem.ShowMessage("WATSON TERMINAL - NORTHSIDE - ARASAKA WATERFRONT NORTH", 10.0)</t>
  </si>
  <si>
    <t>Autowerks</t>
  </si>
  <si>
    <t>local loc = {x = -86.015091, y = -4357.513184, z = 58.925766}; Game.GetTeleportationFacility():Teleport(Game.GetPlayer(), Vector4.new(loc.x, loc.y, loc.z, 1), EulerAngles.new(0, 0, 0)) PreventionSystem.ShowMessage("BADLANDS TERMINAL - JACKSON PLAINS - AUTOWERKS", 10.0)</t>
  </si>
  <si>
    <t>Batty's Hotel</t>
  </si>
  <si>
    <t>local loc = {x = -1861.656006, y = -1936.721924, z = 48.514442}; Game.GetTeleportationFacility():Teleport(Game.GetPlayer(), Vector4.new(loc.x, loc.y, loc.z, 1), EulerAngles.new(0, 0, 0)) PreventionSystem.ShowMessage("PACIFICA TERMINAL - COASTVIEW - BATTY'S HOTEL", 10.0)</t>
  </si>
  <si>
    <t>Bellevue Overwalk</t>
  </si>
  <si>
    <t>local loc = {x = -1129.643799, y = 1486.723267, z = 30.247276}; Game.GetTeleportationFacility():Teleport(Game.GetPlayer(), Vector4.new(loc.x, loc.y, loc.z, 1), EulerAngles.new(0, 0, 0)) PreventionSystem.ShowMessage("WATSON TERMINAL - KABUKI - BELLEVUE OVERWALK", 10.0)</t>
  </si>
  <si>
    <t>Berkeley &amp; Bay</t>
  </si>
  <si>
    <t>local loc = {x = -2232.673096, y = -364.545654, z = 17.328751}; Game.GetTeleportationFacility():Teleport(Game.GetPlayer(), Vector4.new(loc.x, loc.y, loc.z, 1), EulerAngles.new(0, 0, 0)) PreventionSystem.ShowMessage("HEYWOOD TERMINAL - WELLSPRINGS - BERKELEY &amp; BAY", 10.0)</t>
  </si>
  <si>
    <t>Berkeley &amp; Bruce Skiv</t>
  </si>
  <si>
    <t>local loc = {x = -1859.694824, y = 674.720825, z = 10.721786}; Game.GetTeleportationFacility():Teleport(Game.GetPlayer(), Vector4.new(loc.x, loc.y, loc.z, 1), EulerAngles.new(0, 0, 0)) PreventionSystem.ShowMessage("CITY CENTER TERMINAL - DOWNTOWN - BERKELEY &amp; BRUCE SKIV", 10.0)</t>
  </si>
  <si>
    <t>Big Rock</t>
  </si>
  <si>
    <t>local loc = {x = 4347.310059, y = -721.601990, z = 147.887726}; Game.GetTeleportationFacility():Teleport(Game.GetPlayer(), Vector4.new(loc.x, loc.y, loc.z, 1), EulerAngles.new(0, 0, 0)) PreventionSystem.ShowMessage("BADLANDS TERMINAL - ROCKY RIDGE - BIG ROCK", 10.0)</t>
  </si>
  <si>
    <t>Border Checkpoint</t>
  </si>
  <si>
    <t>local loc = {x = -2809.998779, y = -5435.220215, z = 96.817169}; Game.GetTeleportationFacility():Teleport(Game.GetPlayer(), Vector4.new(loc.x, loc.y, loc.z, 1), EulerAngles.new(0, 0, 0)) PreventionSystem.ShowMessage("BADLANDS TERMINAL - BIOTECHNICA FLATS - BORDER CHECKPOINT", 10.0)</t>
  </si>
  <si>
    <t>Bradbury &amp; Buran</t>
  </si>
  <si>
    <t>local loc = {x = -1556.031128, y = 1246.021362, z = 19.060921}; Game.GetTeleportationFacility():Teleport(Game.GetPlayer(), Vector4.new(loc.x, loc.y, loc.z, 1), EulerAngles.new(0, 0, 0)) PreventionSystem.ShowMessage("WATSON TERMINAL - LITTLE CHINA - BRADBURY &amp; BURAN", 10.0)</t>
  </si>
  <si>
    <t>California &amp; Cartwright</t>
  </si>
  <si>
    <t>local loc = {x = -2022.431885, y = 1641.824707, z = 9.099998}; Game.GetTeleportationFacility():Teleport(Game.GetPlayer(), Vector4.new(loc.x, loc.y, loc.z, 1), EulerAngles.new(0, 0, 0)) PreventionSystem.ShowMessage("WATSON TERMINAL - LITTLE CHINA - CALIFORNIA &amp; CARTWRIGHT", 10.0)</t>
  </si>
  <si>
    <t>California &amp; Pershing</t>
  </si>
  <si>
    <t>local loc = {x = -2158.685303, y = 1993.107300, z = 18.180000}; Game.GetTeleportationFacility():Teleport(Game.GetPlayer(), Vector4.new(loc.x, loc.y, loc.z, 1), EulerAngles.new(0, 0, 0)) PreventionSystem.ShowMessage("WATSON TERMINAL - ARASAKA WATERFRONT - CALIFORNIA &amp; PERSHING", 10.0)</t>
  </si>
  <si>
    <t>Cannery Plaza</t>
  </si>
  <si>
    <t>local loc = {x = -2439.822266, y = -537.758911, z = 6.900009}; Game.GetTeleportationFacility():Teleport(Game.GetPlayer(), Vector4.new(loc.x, loc.y, loc.z, 1), EulerAngles.new(0, 0, 0)) PreventionSystem.ShowMessage("HEYWOOD TERMINAL - WELLSPRINGS - CANNERY PLAZA", 10.0)</t>
  </si>
  <si>
    <t>Capitola St</t>
  </si>
  <si>
    <t>local loc = {x = -519.166321, y = 1608.504272, z = 32.846870}; Game.GetTeleportationFacility():Teleport(Game.GetPlayer(), Vector4.new(loc.x, loc.y, loc.z, 1), EulerAngles.new(0, 0, 0)) PreventionSystem.ShowMessage("WESTBROOK TERMINAL - JAPANTOWN - CAPITOLA ST", 10.0)</t>
  </si>
  <si>
    <t>Chapel</t>
  </si>
  <si>
    <t>local loc = {x = -1770.656860, y = -1947.116577, z = 57.196289}; Game.GetTeleportationFacility():Teleport(Game.GetPlayer(), Vector4.new(loc.x, loc.y, loc.z, 1), EulerAngles.new(0, 0, 0)) PreventionSystem.ShowMessage("PACIFICA TERMINAL - COASTVIEW - CHAPEL", 10.0)</t>
  </si>
  <si>
    <t>Charter St</t>
  </si>
  <si>
    <t>local loc = {x = -845.904053, y = 1835.428467, z = 36.189323}; Game.GetTeleportationFacility():Teleport(Game.GetPlayer(), Vector4.new(loc.x, loc.y, loc.z, 1), EulerAngles.new(0, 0, 0)) PreventionSystem.ShowMessage("WATSON TERMINAL - KABUKI - CHARTER ST", 10.0)</t>
  </si>
  <si>
    <t>local loc = {x = -701.158447, y = 952.268799, z = 12.000000}; Game.GetTeleportationFacility():Teleport(Game.GetPlayer(), Vector4.new(loc.x, loc.y, loc.z, 1), EulerAngles.new(0, 0, 0)) PreventionSystem.ShowMessage("WESTBROOK TERMINAL - JAPANTOWN - CHERRY BLOSSOM MARKET", 10.0)</t>
  </si>
  <si>
    <t>Clarendon St</t>
  </si>
  <si>
    <t>local loc = {x = -1974.549316, y = 1180.298462, z = 12.139999}; Game.GetTeleportationFacility():Teleport(Game.GetPlayer(), Vector4.new(loc.x, loc.y, loc.z, 1), EulerAngles.new(0, 0, 0)) PreventionSystem.ShowMessage("WATSON TERMINAL - LITTLE CHINA - CLARENDON ST", 10.0)</t>
  </si>
  <si>
    <t>College St</t>
  </si>
  <si>
    <t>local loc = {x = -982.028870, y = -597.896179, z = 8.199997}; Game.GetTeleportationFacility():Teleport(Game.GetPlayer(), Vector4.new(loc.x, loc.y, loc.z, 1), EulerAngles.new(0, 0, 0)) PreventionSystem.ShowMessage("HEYWOOD TERMINAL - VISTA DEL REY - COLLEGE ST", 10.0)</t>
  </si>
  <si>
    <t>Columbarium</t>
  </si>
  <si>
    <t>local loc = {x = 153.158630, y = 576.596008, z = 117.249374}; Game.GetTeleportationFacility():Teleport(Game.GetPlayer(), Vector4.new(loc.x, loc.y, loc.z, 1), EulerAngles.new(0, 0, 0)) PreventionSystem.ShowMessage("WESTBROOK TERMINAL - NORTH OAK - COLUMBARIUM", 10.0)</t>
  </si>
  <si>
    <t>Congress &amp; Madison</t>
  </si>
  <si>
    <t>local loc = {x = -1222.093872, y = -448.065796, z = 8.147186}; Game.GetTeleportationFacility():Teleport(Game.GetPlayer(), Vector4.new(loc.x, loc.y, loc.z, 1), EulerAngles.new(0, 0, 0)) PreventionSystem.ShowMessage("HEYWOOD TERMINAL - THE GLEN - CONGRESS &amp; MADISON", 10.0)</t>
  </si>
  <si>
    <t>Corporation St</t>
  </si>
  <si>
    <t>local loc = {x = -2402.888428, y = -72.031311, z = 8.101982}; Game.GetTeleportationFacility():Teleport(Game.GetPlayer(), Vector4.new(loc.x, loc.y, loc.z, 1), EulerAngles.new(0, 0, 0)) PreventionSystem.ShowMessage("CITY CENTER TERMINAL - DOWNTOWN - CORPORATION ST", 10.0)</t>
  </si>
  <si>
    <t>Creek Loop</t>
  </si>
  <si>
    <t>local loc = {x = -1054.570801, y = 1573.058716, z = 2.539307}; Game.GetTeleportationFacility():Teleport(Game.GetPlayer(), Vector4.new(loc.x, loc.y, loc.z, 1), EulerAngles.new(0, 0, 0)) PreventionSystem.ShowMessage("WATSON TERMINAL - KABUKI - CREEK LOOP", 10.0)</t>
  </si>
  <si>
    <t>Crescent &amp; Broad</t>
  </si>
  <si>
    <t>local loc = {x = -418.697266, y = 484.741882, z = 30.162666}; Game.GetTeleportationFacility():Teleport(Game.GetPlayer(), Vector4.new(loc.x, loc.y, loc.z, 1), EulerAngles.new(0, 0, 0)) PreventionSystem.ShowMessage("WESTBROOK TERMINAL - JAPANTOWN - CRESCENT &amp; BROAD", 10.0)</t>
  </si>
  <si>
    <t>Dam</t>
  </si>
  <si>
    <t>local loc = {x = 880.839783, y = -2992.092529, z = 204.611633}; Game.GetTeleportationFacility():Teleport(Game.GetPlayer(), Vector4.new(loc.x, loc.y, loc.z, 1), EulerAngles.new(0, 0, 0)) PreventionSystem.ShowMessage("BADLANDS TERMINAL - LAGUNA BEND - DAM", 10.0)</t>
  </si>
  <si>
    <t>LAGUNA BEND</t>
  </si>
  <si>
    <t>Dam Viewpoint</t>
  </si>
  <si>
    <t>local loc = {x = 772.518494, y = -2112.226807, z = 172.688431}; Game.GetTeleportationFacility():Teleport(Game.GetPlayer(), Vector4.new(loc.x, loc.y, loc.z, 1), EulerAngles.new(0, 0, 0)) PreventionSystem.ShowMessage("SANTO DOMINGO TERMINAL - RANCHO CORONADO - DAM VIEWPOINT", 10.0)</t>
  </si>
  <si>
    <t>Dark Matter</t>
  </si>
  <si>
    <t>local loc = {x = -304.848267, y = 221.927490, z = 28.793533}; Game.GetTeleportationFacility():Teleport(Game.GetPlayer(), Vector4.new(loc.x, loc.y, loc.z, 1), EulerAngles.new(0, 0, 0)) PreventionSystem.ShowMessage("WESTBROOK TERMINAL - JAPANTOWN - DARK MATTER", 10.0)</t>
  </si>
  <si>
    <t>Delamain Hq</t>
  </si>
  <si>
    <t>local loc = {x = -889.900269, y = -83.498260, z = 7.230003}; Game.GetTeleportationFacility():Teleport(Game.GetPlayer(), Vector4.new(loc.x, loc.y, loc.z, 1), EulerAngles.new(0, 0, 0)) PreventionSystem.ShowMessage("HEYWOOD TERMINAL - VISTA DEL REY - DELAMAIN HQ", 10.0)</t>
  </si>
  <si>
    <t>Desert Film Set</t>
  </si>
  <si>
    <t>local loc = {x = 3202.726562, y = 620.885437, z = 104.464401}; Game.GetTeleportationFacility():Teleport(Game.GetPlayer(), Vector4.new(loc.x, loc.y, loc.z, 1), EulerAngles.new(0, 0, 0)) PreventionSystem.ShowMessage("BADLANDS TERMINAL - ROCKY RIDGE - DESERT FILM SET", 10.0)</t>
  </si>
  <si>
    <t>Downtown Central</t>
  </si>
  <si>
    <t>local loc = {x = -2115.134277, y = 260.095520, z = 7.898277}; Game.GetTeleportationFacility():Teleport(Game.GetPlayer(), Vector4.new(loc.x, loc.y, loc.z, 1), EulerAngles.new(0, 0, 0)) PreventionSystem.ShowMessage("CITY CENTER TERMINAL - DOWNTOWN - DOWNTOWN CENTRAL", 10.0)</t>
  </si>
  <si>
    <t>Downtown North</t>
  </si>
  <si>
    <t>local loc = {x = -1520.683838, y = 692.786987, z = 8.889977}; Game.GetTeleportationFacility():Teleport(Game.GetPlayer(), Vector4.new(loc.x, loc.y, loc.z, 1), EulerAngles.new(0, 0, 0)) PreventionSystem.ShowMessage("CITY CENTER TERMINAL - CORPO PLAZA - DOWNTOWN NORTH", 10.0)</t>
  </si>
  <si>
    <t>Drake Ave</t>
  </si>
  <si>
    <t>local loc = {x = -1608.114136, y = 1772.701294, z = 18.380005}; Game.GetTeleportationFacility():Teleport(Game.GetPlayer(), Vector4.new(loc.x, loc.y, loc.z, 1), EulerAngles.new(0, 0, 0)) PreventionSystem.ShowMessage("WATSON TERMINAL - LITTLE CHINA - DRAKE AVE", 10.0)</t>
  </si>
  <si>
    <t>Drive-In Theater</t>
  </si>
  <si>
    <t>local loc = {x = -72.285934, y = 1988.236694, z = 100.879242}; Game.GetTeleportationFacility():Teleport(Game.GetPlayer(), Vector4.new(loc.x, loc.y, loc.z, 1), EulerAngles.new(0, 0, 0)) PreventionSystem.ShowMessage("WESTBROOK TERMINAL - NORTH OAK - DRIVE-IN THEATER", 10.0)</t>
  </si>
  <si>
    <t>Dynalar</t>
  </si>
  <si>
    <t>local loc = {x = 192.315323, y = -280.535400, z = 6.850456}; Game.GetTeleportationFacility():Teleport(Game.GetPlayer(), Vector4.new(loc.x, loc.y, loc.z, 1), EulerAngles.new(0, 0, 0)) PreventionSystem.ShowMessage("WESTBROOK TERMINAL - CHARTER HILL - DYNALAR", 10.0)</t>
  </si>
  <si>
    <t>Ebunike Docks</t>
  </si>
  <si>
    <t>local loc = {x = -1481.102051, y = 2956.645752, z = 7.167900}; Game.GetTeleportationFacility():Teleport(Game.GetPlayer(), Vector4.new(loc.x, loc.y, loc.z, 1), EulerAngles.new(0, 0, 0)) PreventionSystem.ShowMessage("WATSON TERMINAL - NORTHSIDE - EBUNIKE DOCKS", 10.0)</t>
  </si>
  <si>
    <t>Edgewood Farm</t>
  </si>
  <si>
    <t>local loc = {x = 2458.240479, y = -1281.001709, z = 63.630516}; Game.GetTeleportationFacility():Teleport(Game.GetPlayer(), Vector4.new(loc.x, loc.y, loc.z, 1), EulerAngles.new(0, 0, 0)) PreventionSystem.ShowMessage("BADLANDS TERMINAL - ROCKY RIDGE - EDGEWOOD FARM", 10.0)</t>
  </si>
  <si>
    <t>El Coyote Cojo</t>
  </si>
  <si>
    <t>local loc = {x = -1327.788330, y = -1003.420227, z = 12.345001}; Game.GetTeleportationFacility():Teleport(Game.GetPlayer(), Vector4.new(loc.x, loc.y, loc.z, 1), EulerAngles.new(0, 0, 0)) PreventionSystem.ShowMessage("HEYWOOD TERMINAL - THE GLEN - EL COYOTE COJO", 10.0)</t>
  </si>
  <si>
    <t>Embers</t>
  </si>
  <si>
    <t>local loc = {x = -1773.870972, y = -510.845367, z = 10.139999}; Game.GetTeleportationFacility():Teleport(Game.GetPlayer(), Vector4.new(loc.x, loc.y, loc.z, 1), EulerAngles.new(0, 0, 0)) PreventionSystem.ShowMessage("HEYWOOD TERMINAL - THE GLEN - EMBERS", 10.0)</t>
  </si>
  <si>
    <t>Far Ridge</t>
  </si>
  <si>
    <t>local loc = {x = 4539.041504, y = -2131.325684, z = 183.244522}; Game.GetTeleportationFacility():Teleport(Game.GetPlayer(), Vector4.new(loc.x, loc.y, loc.z, 1), EulerAngles.new(0, 0, 0)) PreventionSystem.ShowMessage("BADLANDS TERMINAL - SIERRA SONORA - FAR RIDGE", 10.0)</t>
  </si>
  <si>
    <t>SIERRA SONORA</t>
  </si>
  <si>
    <t>Fourth Wall Studios</t>
  </si>
  <si>
    <t>local loc = {x = -301.365356, y = 1089.114136, z = 65.654816}; Game.GetTeleportationFacility():Teleport(Game.GetPlayer(), Vector4.new(loc.x, loc.y, loc.z, 1), EulerAngles.new(0, 0, 0)) PreventionSystem.ShowMessage("WESTBROOK TERMINAL - JAPANTOWN - FOURTH WALL STUDIOS", 10.0)</t>
  </si>
  <si>
    <t>Fuel Station</t>
  </si>
  <si>
    <t>local loc = {x = -1795.660889, y = -4323.810547, z = 74.361084}; Game.GetTeleportationFacility():Teleport(Game.GetPlayer(), Vector4.new(loc.x, loc.y, loc.z, 1), EulerAngles.new(0, 0, 0)) PreventionSystem.ShowMessage("BADLANDS TERMINAL - BIOTECHNICA FLATS - FUEL STATION", 10.0)</t>
  </si>
  <si>
    <t>Gold Beach Marina</t>
  </si>
  <si>
    <t>local loc = {x = -2392.804932, y = 88.863052, z = 12.246582}; Game.GetTeleportationFacility():Teleport(Game.GetPlayer(), Vector4.new(loc.x, loc.y, loc.z, 1), EulerAngles.new(0, 0, 0)) PreventionSystem.ShowMessage("CITY CENTER TERMINAL - DOWNTOWN - GOLD BEACH MARINA", 10.0)</t>
  </si>
  <si>
    <t>Gold Niwaki Plaza</t>
  </si>
  <si>
    <t>local loc = {x = -230.485153, y = 306.007568, z = 29.548599}; Game.GetTeleportationFacility():Teleport(Game.GetPlayer(), Vector4.new(loc.x, loc.y, loc.z, 1), EulerAngles.new(0, 0, 0)) PreventionSystem.ShowMessage("WESTBROOK TERMINAL - CHARTER HILL - GOLD NIWAKI PLAZA", 10.0)</t>
  </si>
  <si>
    <t>Goldsmith St</t>
  </si>
  <si>
    <t>local loc = {x = -1520.231567, y = 1551.879639, z = 18.199982}; Game.GetTeleportationFacility():Teleport(Game.GetPlayer(), Vector4.new(loc.x, loc.y, loc.z, 1), EulerAngles.new(0, 0, 0)) PreventionSystem.ShowMessage("WATSON TERMINAL - LITTLE CHINA - GOLDSMITH ST", 10.0)</t>
  </si>
  <si>
    <t>local loc = {x = -2187.506104, y = -2205.991943, z = 11.872383}; Game.GetTeleportationFacility():Teleport(Game.GetPlayer(), Vector4.new(loc.x, loc.y, loc.z, 1), EulerAngles.new(0, 0, 0)) PreventionSystem.ShowMessage("PACIFICA TERMINAL - COASTVIEW - GRAND IMPERIAL MALL", 10.0)</t>
  </si>
  <si>
    <t>Halsey &amp; Mlk</t>
  </si>
  <si>
    <t>local loc = {x = -1755.346924, y = 185.963638, z = 16.680946}; Game.GetTeleportationFacility():Teleport(Game.GetPlayer(), Vector4.new(loc.x, loc.y, loc.z, 1), EulerAngles.new(0, 0, 0)) PreventionSystem.ShowMessage("CITY CENTER TERMINAL - CORPO PLAZA - HALSEY &amp; MLK", 10.0)</t>
  </si>
  <si>
    <t>Hanford Overpass</t>
  </si>
  <si>
    <t>local loc = {x = -1219.720947, y = -1208.222778, z = 32.811539}; Game.GetTeleportationFacility():Teleport(Game.GetPlayer(), Vector4.new(loc.x, loc.y, loc.z, 1), EulerAngles.new(0, 0, 0)) PreventionSystem.ShowMessage("HEYWOOD TERMINAL - THE GLEN - HANFORD OVERPASS", 10.0)</t>
  </si>
  <si>
    <t>Hargreaves St</t>
  </si>
  <si>
    <t>local loc = {x = -681.625244, y = -1253.220459, z = 8.902832}; Game.GetTeleportationFacility():Teleport(Game.GetPlayer(), Vector4.new(loc.x, loc.y, loc.z, 1), EulerAngles.new(0, 0, 0)) PreventionSystem.ShowMessage("SANTO DOMINGO TERMINAL - ARROYO - HARGREAVES ST", 10.0)</t>
  </si>
  <si>
    <t>I-9 East</t>
  </si>
  <si>
    <t>local loc = {x = 4963.144531, y = -739.964417, z = 135.502808}; Game.GetTeleportationFacility():Teleport(Game.GetPlayer(), Vector4.new(loc.x, loc.y, loc.z, 1), EulerAngles.new(0, 0, 0)) PreventionSystem.ShowMessage("BADLANDS TERMINAL - VASQUEZ PASS - I-9 EAST", 10.0)</t>
  </si>
  <si>
    <t>VASQUEZ PASS</t>
  </si>
  <si>
    <t>Japantown West</t>
  </si>
  <si>
    <t>local loc = {x = -836.028748, y = 1334.494141, z = 22.440002}; Game.GetTeleportationFacility():Teleport(Game.GetPlayer(), Vector4.new(loc.x, loc.y, loc.z, 1), EulerAngles.new(0, 0, 0)) PreventionSystem.ShowMessage("WESTBROOK TERMINAL - JAPANTOWN - JAPANTOWN WEST", 10.0)</t>
  </si>
  <si>
    <t>Kabuki Market</t>
  </si>
  <si>
    <t>local loc = {x = -1158.781006, y = 2014.217529, z = 12.064865}; Game.GetTeleportationFacility():Teleport(Game.GetPlayer(), Vector4.new(loc.x, loc.y, loc.z, 1), EulerAngles.new(0, 0, 0)) PreventionSystem.ShowMessage("WATSON TERMINAL - KABUKI - KABUKI MARKET", 10.0)</t>
  </si>
  <si>
    <t>Kabuki: Central</t>
  </si>
  <si>
    <t>local loc = {x = -1183.175049, y = 1364.925781, z = 20.305748}; Game.GetTeleportationFacility():Teleport(Game.GetPlayer(), Vector4.new(loc.x, loc.y, loc.z, 1), EulerAngles.new(0, 0, 0)) PreventionSystem.ShowMessage("WATSON TERMINAL - KABUKI - KABUKI: CENTRAL", 10.0)</t>
  </si>
  <si>
    <t>Kendal Park</t>
  </si>
  <si>
    <t>local loc = {x = 365.214874, y = -1689.095093, z = 9.521973}; Game.GetTeleportationFacility():Teleport(Game.GetPlayer(), Vector4.new(loc.x, loc.y, loc.z, 1), EulerAngles.new(0, 0, 0)) PreventionSystem.ShowMessage("SANTO DOMINGO TERMINAL - RANCHO CORONADO - KENDAL PARK", 10.0)</t>
  </si>
  <si>
    <t>Kennedy North</t>
  </si>
  <si>
    <t>local loc = {x = -1213.869507, y = 1880.759155, z = 22.500000}; Game.GetTeleportationFacility():Teleport(Game.GetPlayer(), Vector4.new(loc.x, loc.y, loc.z, 1), EulerAngles.new(0, 0, 0)) PreventionSystem.ShowMessage("WATSON TERMINAL - KABUKI - KENNEDY NORTH", 10.0)</t>
  </si>
  <si>
    <t>Kerry Eurodyne's Residence</t>
  </si>
  <si>
    <t>local loc = {x = 222.255295, y = 1076.992310, z = 200.585968}; Game.GetTeleportationFacility():Teleport(Game.GetPlayer(), Vector4.new(loc.x, loc.y, loc.z, 1), EulerAngles.new(0, 0, 0)) PreventionSystem.ShowMessage("WESTBROOK TERMINAL - NORTH OAK - KERRY EURODYNE'S RESIDENCE", 8.0)</t>
  </si>
  <si>
    <t>Lake Farm</t>
  </si>
  <si>
    <t>local loc = {x = 911.501648, y = -3498.103271, z = 184.084854}; Game.GetTeleportationFacility():Teleport(Game.GetPlayer(), Vector4.new(loc.x, loc.y, loc.z, 1), EulerAngles.new(0, 0, 0)) PreventionSystem.ShowMessage("BADLANDS TERMINAL - LAGUNA BEND - LAKE FARM", 10.0)</t>
  </si>
  <si>
    <t>Las Palapas Motel</t>
  </si>
  <si>
    <t>local loc = {x = -1354.457886, y = -3702.410889, z = 55.539856}; Game.GetTeleportationFacility():Teleport(Game.GetPlayer(), Vector4.new(loc.x, loc.y, loc.z, 1), EulerAngles.new(0, 0, 0)) PreventionSystem.ShowMessage("BADLANDS TERMINAL - BIOTECHNICA FLATS - LAS PALAPAS MOTEL [HIGHWAY 101]", 10.0)</t>
  </si>
  <si>
    <t>Lele Park</t>
  </si>
  <si>
    <t>local loc = {x = -176.445496, y = -82.809372, z = 7.199997}; Game.GetTeleportationFacility():Teleport(Game.GetPlayer(), Vector4.new(loc.x, loc.y, loc.z, 1), EulerAngles.new(0, 0, 0)) PreventionSystem.ShowMessage("WESTBROOK TERMINAL - CHARTER HILL - LELE PARK", 10.0)</t>
  </si>
  <si>
    <t>Longshore North</t>
  </si>
  <si>
    <t>local loc = {x = -600.883423, y = 2582.958496, z = 53.788757}; Game.GetTeleportationFacility():Teleport(Game.GetPlayer(), Vector4.new(loc.x, loc.y, loc.z, 1), EulerAngles.new(0, 0, 0)) PreventionSystem.ShowMessage("WATSON TERMINAL - NORTHSIDE - LONGSHORE NORTH", 10.0)</t>
  </si>
  <si>
    <t>Longshore South</t>
  </si>
  <si>
    <t>local loc = {x = 3.224335, y = -343.181580, z = 8.244232}; Game.GetTeleportationFacility():Teleport(Game.GetPlayer(), Vector4.new(loc.x, loc.y, loc.z, 1), EulerAngles.new(0, 0, 0)) PreventionSystem.ShowMessage("WESTBROOK TERMINAL - CHARTER HILL - LONGSHORE SOUTH", 10.0)</t>
  </si>
  <si>
    <t>Luxury Apartments</t>
  </si>
  <si>
    <t>local loc = {x = -57.226593, y = -49.423447, z = 7.177872}; Game.GetTeleportationFacility():Teleport(Game.GetPlayer(), Vector4.new(loc.x, loc.y, loc.z, 1), EulerAngles.new(0, 0, 0)) PreventionSystem.ShowMessage("WESTBROOK TERMINAL - CHARTER HILL - LUXURY APARTMENTS", 10.0)</t>
  </si>
  <si>
    <t>Mallagra &amp; Manzanita</t>
  </si>
  <si>
    <t>local loc = {x = 312.578369, y = -1420.839722, z = 15.110001}; Game.GetTeleportationFacility():Teleport(Game.GetPlayer(), Vector4.new(loc.x, loc.y, loc.z, 1), EulerAngles.new(0, 0, 0)) PreventionSystem.ShowMessage("SANTO DOMINGO TERMINAL - RANCHO CORONADO - MALLAGRA &amp; MANZANITA", 10.0)</t>
  </si>
  <si>
    <t>Martin St</t>
  </si>
  <si>
    <t>local loc = {x = -1419.187256, y = 2225.585693, z = 18.197372}; Game.GetTeleportationFacility():Teleport(Game.GetPlayer(), Vector4.new(loc.x, loc.y, loc.z, 1), EulerAngles.new(0, 0, 0)) PreventionSystem.ShowMessage("WATSON TERMINAL - NORTHSIDE - MARTIN ST", 10.0)</t>
  </si>
  <si>
    <t>Medeski Fuel Station</t>
  </si>
  <si>
    <t>local loc = {x = 1444.559937, y = -1370.569946, z = 51.339653}; Game.GetTeleportationFacility():Teleport(Game.GetPlayer(), Vector4.new(loc.x, loc.y, loc.z, 1), EulerAngles.new(0, 0, 0)) PreventionSystem.ShowMessage("BADLANDS TERMINAL - RED PEAKS - MEDESKI FUEL STATION", 10.0)</t>
  </si>
  <si>
    <t>Megabuilding H10: Atrium</t>
  </si>
  <si>
    <t>local loc = {x = -1397.306274, y = 1278.067749, z = 123.076935}; Game.GetTeleportationFacility():Teleport(Game.GetPlayer(), Vector4.new(loc.x, loc.y, loc.z, 1), EulerAngles.new(0, 0, 0)) PreventionSystem.ShowMessage("WATSON TERMINAL - LITTLE CHINA - MEGABUILDING H10: ATRIUM", 10.0)</t>
  </si>
  <si>
    <t>Megabuilding H11</t>
  </si>
  <si>
    <t>local loc = {x = -1381.926392, y = 1970.700562, z = 23.303291}; Game.GetTeleportationFacility():Teleport(Game.GetPlayer(), Vector4.new(loc.x, loc.y, loc.z, 1), EulerAngles.new(0, 0, 0)) PreventionSystem.ShowMessage("WATSON TERMINAL - NORTHSIDE - MEGABUILDING H11", 10.0)</t>
  </si>
  <si>
    <t>Megabuilding H2</t>
  </si>
  <si>
    <t>local loc = {x = -2121.750977, y = -1120.469604, z = 32.737297}; Game.GetTeleportationFacility():Teleport(Game.GetPlayer(), Vector4.new(loc.x, loc.y, loc.z, 1), EulerAngles.new(0, 0, 0)) PreventionSystem.ShowMessage("HEYWOOD TERMINAL - WELLSPRINGS - MEGABUILDING H2", 10.0)</t>
  </si>
  <si>
    <t>Megabuilding H3</t>
  </si>
  <si>
    <t>local loc = {x = -1178.810303, y = -917.013062, z = 12.874184}; Game.GetTeleportationFacility():Teleport(Game.GetPlayer(), Vector4.new(loc.x, loc.y, loc.z, 1), EulerAngles.new(0, 0, 0)) PreventionSystem.ShowMessage("HEYWOOD TERMINAL - THE GLEN - MEGABUILDING H3", 10.0)</t>
  </si>
  <si>
    <t>Megabuilding H4</t>
  </si>
  <si>
    <t>local loc = {x = -966.773193, y = -1772.523804, z = 11.140404}; Game.GetTeleportationFacility():Teleport(Game.GetPlayer(), Vector4.new(loc.x, loc.y, loc.z, 1), EulerAngles.new(0, 0, 0)) PreventionSystem.ShowMessage("SANTO DOMINGO TERMINAL - ARROYO - MEGABUILDING H4", 10.0)</t>
  </si>
  <si>
    <t>Megabuilding H6</t>
  </si>
  <si>
    <t>local loc = {x = -210.267487, y = -851.600891, z = 7.636658}; Game.GetTeleportationFacility():Teleport(Game.GetPlayer(), Vector4.new(loc.x, loc.y, loc.z, 1), EulerAngles.new(0, 0, 0)) PreventionSystem.ShowMessage("SANTO DOMINGO TERMINAL - ARROYO - MEGABUILDING H6", 10.0)</t>
  </si>
  <si>
    <t>Megabuilding H8</t>
  </si>
  <si>
    <t>local loc = {x = -704.240601, y = 762.157471, z = 32.709610}; Game.GetTeleportationFacility():Teleport(Game.GetPlayer(), Vector4.new(loc.x, loc.y, loc.z, 1), EulerAngles.new(0, 0, 0)) PreventionSystem.ShowMessage("WESTBROOK TERMINAL - JAPANTOWN - MEGABUILDING H8", 10.0)</t>
  </si>
  <si>
    <t>Metro: Charter Hill</t>
  </si>
  <si>
    <t>local loc = {x = -113.253922, y = 119.111435, z = 12.395363}; Game.GetTeleportationFacility():Teleport(Game.GetPlayer(), Vector4.new(loc.x, loc.y, loc.z, 1), EulerAngles.new(0, 0, 0)) PreventionSystem.ShowMessage("WESTBROOK TERMINAL - CHARTER HILL - METRO: CHARTER HILL", 10.0)</t>
  </si>
  <si>
    <t>Metro: Congress &amp; Mlk</t>
  </si>
  <si>
    <t>local loc = {x = -1026.743774, y = -348.339325, z = 5.734482}; Game.GetTeleportationFacility():Teleport(Game.GetPlayer(), Vector4.new(loc.x, loc.y, loc.z, 1), EulerAngles.new(0, 0, 0)) PreventionSystem.ShowMessage("HEYWOOD TERMINAL - VISTA DEL REY - METRO: CONGRESS &amp; MLK", 10.0)</t>
  </si>
  <si>
    <t>Metro: Downtown - Alexander St</t>
  </si>
  <si>
    <t>local loc = {x = -2068.953857, y = 471.648407, z = 8.052666}; Game.GetTeleportationFacility():Teleport(Game.GetPlayer(), Vector4.new(loc.x, loc.y, loc.z, 1), EulerAngles.new(0, 0, 0)) PreventionSystem.ShowMessage("CITY CENTER TERMINAL - DOWNTOWN - METRO: DOWNTOWN - ALEXANDER ST", 10.0)</t>
  </si>
  <si>
    <t>Metro: Ebunike</t>
  </si>
  <si>
    <t>local loc = {x = -1363.395630, y = -657.781311, z = 5.843338}; Game.GetTeleportationFacility():Teleport(Game.GetPlayer(), Vector4.new(loc.x, loc.y, loc.z, 1), EulerAngles.new(0, 0, 0)) PreventionSystem.ShowMessage("HEYWOOD TERMINAL - THE GLEN - METRO: EBUNIKE ", 10.0)</t>
  </si>
  <si>
    <t>Metro: Eisenhower St</t>
  </si>
  <si>
    <t>local loc = {x = -1770.518921, y = 1868.567017, z = 18.260002}; Game.GetTeleportationFacility():Teleport(Game.GetPlayer(), Vector4.new(loc.x, loc.y, loc.z, 1), EulerAngles.new(0, 0, 0)) PreventionSystem.ShowMessage("WATSON TERMINAL - LITTLE CHINA - METRO: EISENHOWER ST", 10.0)</t>
  </si>
  <si>
    <t>Metro: Ellison St</t>
  </si>
  <si>
    <t>local loc = {x = -1387.874634, y = 1031.565430, z = 27.113693}; Game.GetTeleportationFacility():Teleport(Game.GetPlayer(), Vector4.new(loc.x, loc.y, loc.z, 1), EulerAngles.new(0, 0, 0)) PreventionSystem.ShowMessage("WATSON TERMINAL - LITTLE CHINA - METRO: ELLISON ST", 10.0)</t>
  </si>
  <si>
    <t>Metro: Farrier St</t>
  </si>
  <si>
    <t>local loc = {x = -1608.440186, y = 1474.657471, z = 18.209999}; Game.GetTeleportationFacility():Teleport(Game.GetPlayer(), Vector4.new(loc.x, loc.y, loc.z, 1), EulerAngles.new(0, 0, 0)) PreventionSystem.ShowMessage("WATSON TERMINAL - LITTLE CHINA - METRO: FARRIER ST", 10.0)</t>
  </si>
  <si>
    <t>Metro: Glen North</t>
  </si>
  <si>
    <t>local loc = {x = -1553.949219, y = -643.955994, z = 5.639999}; Game.GetTeleportationFacility():Teleport(Game.GetPlayer(), Vector4.new(loc.x, loc.y, loc.z, 1), EulerAngles.new(0, 0, 0)) PreventionSystem.ShowMessage("HEYWOOD TERMINAL - THE GLEN - METRO: GLEN NORTH", 10.0)</t>
  </si>
  <si>
    <t>Metro: Glen South</t>
  </si>
  <si>
    <t>local loc = {x = -1590.054688, y = -1302.666626, z = 47.980003}; Game.GetTeleportationFacility():Teleport(Game.GetPlayer(), Vector4.new(loc.x, loc.y, loc.z, 1), EulerAngles.new(0, 0, 0)) PreventionSystem.ShowMessage("HEYWOOD TERMINAL - THE GLEN - METRO: GLEN SOUTH", 10.0)</t>
  </si>
  <si>
    <t>Metro: Japantown South</t>
  </si>
  <si>
    <t>local loc = {x = -568.453064, y = 206.492645, z = 22.269997}; Game.GetTeleportationFacility():Teleport(Game.GetPlayer(), Vector4.new(loc.x, loc.y, loc.z, 1), EulerAngles.new(0, 0, 0)) PreventionSystem.ShowMessage("WESTBROOK TERMINAL - JAPANTOWN - METRO: JAPANTOWN SOUTH", 10.0)</t>
  </si>
  <si>
    <t>Metro: Market St</t>
  </si>
  <si>
    <t>local loc = {x = -2118.219482, y = -694.199463, z = 6.803810}; Game.GetTeleportationFacility():Teleport(Game.GetPlayer(), Vector4.new(loc.x, loc.y, loc.z, 1), EulerAngles.new(0, 0, 0)) PreventionSystem.ShowMessage("HEYWOOD TERMINAL - WELLSPRINGS - METRO: MARKET ST", 10.0)</t>
  </si>
  <si>
    <t>Metro: Med Center</t>
  </si>
  <si>
    <t>local loc = {x = -1416.752319, y = 1757.611694, z = 16.266396}; Game.GetTeleportationFacility():Teleport(Game.GetPlayer(), Vector4.new(loc.x, loc.y, loc.z, 1), EulerAngles.new(0, 0, 0)) PreventionSystem.ShowMessage("WATSON TERMINAL - LITTLE CHINA - METRO: MED CENTER", 10.0)</t>
  </si>
  <si>
    <t>Metro: Megabuilding H7</t>
  </si>
  <si>
    <t>local loc = {x = 156.445908, y = -1181.237549, z = 31.560959}; Game.GetTeleportationFacility():Teleport(Game.GetPlayer(), Vector4.new(loc.x, loc.y, loc.z, 1), EulerAngles.new(0, 0, 0)) PreventionSystem.ShowMessage("SANTO DOMINGO TERMINAL - RANCHO CORONADO - METRO: MEGABUILDING H7", 10.0)</t>
  </si>
  <si>
    <t>Metro: Memorial Park</t>
  </si>
  <si>
    <t>local loc = {x = -1333.292114, y = -86.132751, z = -3.801445}; Game.GetTeleportationFacility():Teleport(Game.GetPlayer(), Vector4.new(loc.x, loc.y, loc.z, 1), EulerAngles.new(0, 0, 0)) PreventionSystem.ShowMessage("CITY CENTER TERMINAL - CORPO PLAZA - METRO: MEMORIAL PARK", 10.0)</t>
  </si>
  <si>
    <t>Metro: Monroe St</t>
  </si>
  <si>
    <t>local loc = {x = -528.150574, y = 1131.684326, z = 34.690002}; Game.GetTeleportationFacility():Teleport(Game.GetPlayer(), Vector4.new(loc.x, loc.y, loc.z, 1), EulerAngles.new(0, 0, 0)) PreventionSystem.ShowMessage("WESTBROOK TERMINAL - JAPANTOWN - METRO: MONROE ST", 10.0)</t>
  </si>
  <si>
    <t>Metro: Republic Way</t>
  </si>
  <si>
    <t>local loc = {x = -1473.428589, y = 460.060974, z = 5.816879}; Game.GetTeleportationFacility():Teleport(Game.GetPlayer(), Vector4.new(loc.x, loc.y, loc.z, 1), EulerAngles.new(0, 0, 0)) PreventionSystem.ShowMessage("CITY CENTER TERMINAL - CORPO PLAZA - METRO: REPUBLIC WAY", 10.0)</t>
  </si>
  <si>
    <t>Metro: Stadium</t>
  </si>
  <si>
    <t>local loc = {x = -1542.123413, y = -1939.206909, z = 62.844879}; Game.GetTeleportationFacility():Teleport(Game.GetPlayer(), Vector4.new(loc.x, loc.y, loc.z, 1), EulerAngles.new(0, 0, 0)) PreventionSystem.ShowMessage("PACIFICA TERMINAL - COASTVIEW - METRO: STADIUM", 10.0)</t>
  </si>
  <si>
    <t>Metro: Wolleson St</t>
  </si>
  <si>
    <t>local loc = {x = -1069.117554, y = -1427.714355, z = 30.788025}; Game.GetTeleportationFacility():Teleport(Game.GetPlayer(), Vector4.new(loc.x, loc.y, loc.z, 1), EulerAngles.new(0, 0, 0)) PreventionSystem.ShowMessage("SANTO DOMINGO TERMINAL - ARROYO - METRO: WOLLESON ST", 10.0)</t>
  </si>
  <si>
    <t>Metro: Zocalo</t>
  </si>
  <si>
    <t>local loc = {x = -1456.623901, y = 1181.346069, z = 45.950813}; Game.GetTeleportationFacility():Teleport(Game.GetPlayer(), Vector4.new(loc.x, loc.y, loc.z, 1), EulerAngles.new(0, 0, 0)) PreventionSystem.ShowMessage("WATSON TERMINAL - LITTLE CHINA - METRO: ZOCALO", 10.0)</t>
  </si>
  <si>
    <t>Mlk &amp; Brandon</t>
  </si>
  <si>
    <t>local loc = {x = -506.400146, y = -760.188049, z = 7.425461}; Game.GetTeleportationFacility():Teleport(Game.GetPlayer(), Vector4.new(loc.x, loc.y, loc.z, 1), EulerAngles.new(0, 0, 0)) PreventionSystem.ShowMessage("SANTO DOMINGO TERMINAL - ARROYO - MLK &amp; BRANDON", 10.0)</t>
  </si>
  <si>
    <t>Nid: Docks</t>
  </si>
  <si>
    <t>local loc = {x = -1869.271729, y = 2701.620361, z = 7.186920}; Game.GetTeleportationFacility():Teleport(Game.GetPlayer(), Vector4.new(loc.x, loc.y, loc.z, 1), EulerAngles.new(0, 0, 0)) PreventionSystem.ShowMessage("WATSON TERMINAL - NORTHSIDE - NID: DOCKS", 10.0)</t>
  </si>
  <si>
    <t>Nid: East</t>
  </si>
  <si>
    <t>local loc = {x = -541.702148, y = 1855.456543, z = 36.304100}; Game.GetTeleportationFacility():Teleport(Game.GetPlayer(), Vector4.new(loc.x, loc.y, loc.z, 1), EulerAngles.new(0, 0, 0)) PreventionSystem.ShowMessage("WATSON TERMINAL - NORTHSIDE - NID: EAST", 10.0)</t>
  </si>
  <si>
    <t>local loc = {x = 1802.307129, y = 2248.607910, z = 180.210815}; Game.GetTeleportationFacility():Teleport(Game.GetPlayer(), Vector4.new(loc.x, loc.y, loc.z, 1), EulerAngles.new(0, 0, 0)) PreventionSystem.ShowMessage("BADLANDS TERMINAL - ROCKY RIDGE - NOMAD CAMP", 10.0)</t>
  </si>
  <si>
    <t>North Oak Sign</t>
  </si>
  <si>
    <t>local loc = {x = 282.838745, y = 801.340881, z = 146.418640}; Game.GetTeleportationFacility():Teleport(Game.GetPlayer(), Vector4.new(loc.x, loc.y, loc.z, 1), EulerAngles.new(0, 0, 0)) PreventionSystem.ShowMessage("WESTBROOK TERMINAL - NORTH OAK - NORTH OAK SIGN", 8.0)</t>
  </si>
  <si>
    <t>Offshore St</t>
  </si>
  <si>
    <t>local loc = {x = -1256.379028, y = 2913.908936, z = 7.186905}; Game.GetTeleportationFacility():Teleport(Game.GetPlayer(), Vector4.new(loc.x, loc.y, loc.z, 1), EulerAngles.new(0, 0, 0)) PreventionSystem.ShowMessage("WATSON TERMINAL - NORTHSIDE - OFFSHORE ST", 10.0)</t>
  </si>
  <si>
    <t>Oil Fields</t>
  </si>
  <si>
    <t>local loc = {x = -1835.695190, y = 3719.295166, z = 7.013229}; Game.GetTeleportationFacility():Teleport(Game.GetPlayer(), Vector4.new(loc.x, loc.y, loc.z, 1), EulerAngles.new(0, 0, 0)) PreventionSystem.ShowMessage("BADLANDS TERMINAL - NORTHERN OILFIELDS - OIL FIELDS", 10.0)</t>
  </si>
  <si>
    <t>Old Turbines</t>
  </si>
  <si>
    <t>local loc = {x = 3702.759766, y = -1682.336914, z = 123.682465}; Game.GetTeleportationFacility():Teleport(Game.GetPlayer(), Vector4.new(loc.x, loc.y, loc.z, 1), EulerAngles.new(0, 0, 0)) PreventionSystem.ShowMessage("BADLANDS TERMINAL - ROCKY RIDGE - OLD TURBINES", 10.0)</t>
  </si>
  <si>
    <t>Pacifica Pier</t>
  </si>
  <si>
    <t>local loc = {x = -1879.231445, y = -1626.796265, z = 18.023087}; Game.GetTeleportationFacility():Teleport(Game.GetPlayer(), Vector4.new(loc.x, loc.y, loc.z, 1), EulerAngles.new(0, 0, 0)) PreventionSystem.ShowMessage("PACIFICA TERMINAL - COASTVIEW - PACIFICA PIER", 10.0)</t>
  </si>
  <si>
    <t>local loc = {x = -2357.734375, y = -810.309631, z = 12.903328}; Game.GetTeleportationFacility():Teleport(Game.GetPlayer(), Vector4.new(loc.x, loc.y, loc.z, 1), EulerAngles.new(0, 0, 0)) PreventionSystem.ShowMessage("HEYWOOD TERMINAL - WELLSPRINGS - PALMS VIEW PLAZA", 10.0)</t>
  </si>
  <si>
    <t>Palms View Way</t>
  </si>
  <si>
    <t>local loc = {x = -1719.902100, y = -886.142090, z = 8.586227}; Game.GetTeleportationFacility():Teleport(Game.GetPlayer(), Vector4.new(loc.x, loc.y, loc.z, 1), EulerAngles.new(0, 0, 0)) PreventionSystem.ShowMessage("HEYWOOD TERMINAL - THE GLEN - PALMS VIEW WAY", 10.0)</t>
  </si>
  <si>
    <t>Parque Del Mar</t>
  </si>
  <si>
    <t>local loc = {x = -2302.275879, y = -1107.943359, z = 13.998116}; Game.GetTeleportationFacility():Teleport(Game.GetPlayer(), Vector4.new(loc.x, loc.y, loc.z, 1), EulerAngles.new(0, 0, 0)) PreventionSystem.ShowMessage("HEYWOOD TERMINAL - WELLSPRINGS - PARQUE DEL MAR", 10.0)</t>
  </si>
  <si>
    <t>Pershing St</t>
  </si>
  <si>
    <t>local loc = {x = -1731.353516, y = 2308.193604, z = 18.152237}; Game.GetTeleportationFacility():Teleport(Game.GetPlayer(), Vector4.new(loc.x, loc.y, loc.z, 1), EulerAngles.new(0, 0, 0)) PreventionSystem.ShowMessage("WATSON TERMINAL - NORTHSIDE - PERSHING ST", 10.0)</t>
  </si>
  <si>
    <t>Petrel St</t>
  </si>
  <si>
    <t>local loc = {x = -923.717590, y = 105.703064, z = 7.315521}; Game.GetTeleportationFacility():Teleport(Game.GetPlayer(), Vector4.new(loc.x, loc.y, loc.z, 1), EulerAngles.new(0, 0, 0)) PreventionSystem.ShowMessage("CITY CENTER TERMINAL - CORPO PLAZA - PETREL ST", 10.0)</t>
  </si>
  <si>
    <t>Piez</t>
  </si>
  <si>
    <t>local loc = {x = -152.410934, y = -2017.032593, z = 6.166397}; Game.GetTeleportationFacility():Teleport(Game.GetPlayer(), Vector4.new(loc.x, loc.y, loc.z, 1), EulerAngles.new(0, 0, 0)) PreventionSystem.ShowMessage("SANTO DOMINGO TERMINAL - RANCHO CORONADO - PIEZ", 10.0)</t>
  </si>
  <si>
    <t>Pinewood St South</t>
  </si>
  <si>
    <t>local loc = {x = -1154.416626, y = 1160.809204, z = 17.333702}; Game.GetTeleportationFacility():Teleport(Game.GetPlayer(), Vector4.new(loc.x, loc.y, loc.z, 1), EulerAngles.new(0, 0, 0)) PreventionSystem.ShowMessage("WATSON TERMINAL - KABUKI - PINEWOOD ST SOUTH", 10.0)</t>
  </si>
  <si>
    <t>Protein Farm</t>
  </si>
  <si>
    <t>local loc = {x = -3478.909424, y = -4183.663574, z = 68.069092}; Game.GetTeleportationFacility():Teleport(Game.GetPlayer(), Vector4.new(loc.x, loc.y, loc.z, 1), EulerAngles.new(0, 0, 0)) PreventionSystem.ShowMessage("BADLANDS TERMINAL - BIOTECHNICA FLATS - PROTEIN FARM", 10.0)</t>
  </si>
  <si>
    <t>Pumping Station</t>
  </si>
  <si>
    <t>local loc = {x = -2410.059814, y = -960.999878, z = 8.134583}; Game.GetTeleportationFacility():Teleport(Game.GetPlayer(), Vector4.new(loc.x, loc.y, loc.z, 1), EulerAngles.new(0, 0, 0)) PreventionSystem.ShowMessage("HEYWOOD TERMINAL - WELLSPRINGS - PUMPING STATION", 10.0)</t>
  </si>
  <si>
    <t>local loc = {x = 436.225586, y = -2147.127441, z = 14.605293}; Game.GetTeleportationFacility():Teleport(Game.GetPlayer(), Vector4.new(loc.x, loc.y, loc.z, 1), EulerAngles.new(0, 0, 0)) PreventionSystem.ShowMessage("SANTO DOMINGO TERMINAL - RANCHO CORONADO - RANCHO CORONADO EAST", 10.0)</t>
  </si>
  <si>
    <t>Rancho Coronado North</t>
  </si>
  <si>
    <t>local loc = {x = 703.346069, y = -980.738953, z = 28.830177}; Game.GetTeleportationFacility():Teleport(Game.GetPlayer(), Vector4.new(loc.x, loc.y, loc.z, 1), EulerAngles.new(0, 0, 0)) PreventionSystem.ShowMessage("SANTO DOMINGO TERMINAL - RANCHO CORONADO - RANCHO CORONADO NORTH", 10.0)</t>
  </si>
  <si>
    <t>Rancho Coronado South</t>
  </si>
  <si>
    <t>local loc = {x = -498.177765, y = -1850.802856, z = 7.427170}; Game.GetTeleportationFacility():Teleport(Game.GetPlayer(), Vector4.new(loc.x, loc.y, loc.z, 1), EulerAngles.new(0, 0, 0)) PreventionSystem.ShowMessage("SANTO DOMINGO TERMINAL - RANCHO CORONADO - RANCHO CORONADO SOUTH", 10.0)</t>
  </si>
  <si>
    <t>local loc = {x = -1624.472046, y = -333.643585, z = -13.775887}; Game.GetTeleportationFacility():Teleport(Game.GetPlayer(), Vector4.new(loc.x, loc.y, loc.z, 1), EulerAngles.new(0, 0, 0)) PreventionSystem.ShowMessage("HEYWOOD TERMINAL - THE GLEN - RECONCILIATION PARK", 10.0)</t>
  </si>
  <si>
    <t>Red Dirt Bar</t>
  </si>
  <si>
    <t>local loc = {x = -735.426514, y = -978.518555, z = 7.929443}; Game.GetTeleportationFacility():Teleport(Game.GetPlayer(), Vector4.new(loc.x, loc.y, loc.z, 1), EulerAngles.new(0, 0, 0)) PreventionSystem.ShowMessage("SANTO DOMINGO TERMINAL - ARROYO - RED DIRT BAR", 10.0)</t>
  </si>
  <si>
    <t>Redwood Market</t>
  </si>
  <si>
    <t>local loc = {x = -388.397888, y = 702.516052, z = 114.989990}; Game.GetTeleportationFacility():Teleport(Game.GetPlayer(), Vector4.new(loc.x, loc.y, loc.z, 1), EulerAngles.new(0, 0, 0)) PreventionSystem.ShowMessage("WESTBROOK TERMINAL - JAPANTOWN - REDWOOD MARKET", 10.0)</t>
  </si>
  <si>
    <t>Regional Airport</t>
  </si>
  <si>
    <t>local loc = {x = -1513.856079, y = -5080.905273, z = 83.008774}; Game.GetTeleportationFacility():Teleport(Game.GetPlayer(), Vector4.new(loc.x, loc.y, loc.z, 1), EulerAngles.new(0, 0, 0)) PreventionSystem.ShowMessage("BADLANDS TERMINAL - JACKSON PLAINS - REGIONAL AIRPORT", 10.0)</t>
  </si>
  <si>
    <t>Republic &amp; Vine</t>
  </si>
  <si>
    <t>local loc = {x = -596.915161, y = -121.975250, z = 7.680000}; Game.GetTeleportationFacility():Teleport(Game.GetPlayer(), Vector4.new(loc.x, loc.y, loc.z, 1), EulerAngles.new(0, 0, 0)) PreventionSystem.ShowMessage("HEYWOOD TERMINAL - VISTA DEL REY - REPUBLIC &amp; VINE", 10.0)</t>
  </si>
  <si>
    <t>Republic East</t>
  </si>
  <si>
    <t>local loc = {x = 121.322052, y = -631.642151, z = 7.586525}; Game.GetTeleportationFacility():Teleport(Game.GetPlayer(), Vector4.new(loc.x, loc.y, loc.z, 1), EulerAngles.new(0, 0, 0)) PreventionSystem.ShowMessage("SANTO DOMINGO TERMINAL - ARROYO - REPUBLIC EAST", 10.0)</t>
  </si>
  <si>
    <t>Ring Road</t>
  </si>
  <si>
    <t>local loc = {x = -1148.650513, y = 135.858231, z = 7.348907}; Game.GetTeleportationFacility():Teleport(Game.GetPlayer(), Vector4.new(loc.x, loc.y, loc.z, 1), EulerAngles.new(0, 0, 0)) PreventionSystem.ShowMessage("CITY CENTER TERMINAL - CORPO PLAZA - RING ROAD", 10.0)</t>
  </si>
  <si>
    <t>Riot</t>
  </si>
  <si>
    <t>local loc = {x = -1658.837036, y = 997.896973, z = 23.833389}; Game.GetTeleportationFacility():Teleport(Game.GetPlayer(), Vector4.new(loc.x, loc.y, loc.z, 1), EulerAngles.new(0, 0, 0)) PreventionSystem.ShowMessage("WATSON TERMINAL - LITTLE CHINA - RIOT", 10.0)</t>
  </si>
  <si>
    <t>local loc = {x = 2534.720215, y = -95.229065, z = 81.400574}; Game.GetTeleportationFacility():Teleport(Game.GetPlayer(), Vector4.new(loc.x, loc.y, loc.z, 1), EulerAngles.new(0, 0, 0)) PreventionSystem.ShowMessage("BADLANDS TERMINAL - ROCKY RIDGE - ROCKY RIDGE", 10.0)</t>
  </si>
  <si>
    <t>Sagan &amp; Diamond</t>
  </si>
  <si>
    <t>local loc = {x = -715.033447, y = 1278.142456, z = 29.565125}; Game.GetTeleportationFacility():Teleport(Game.GetPlayer(), Vector4.new(loc.x, loc.y, loc.z, 1), EulerAngles.new(0, 0, 0)) PreventionSystem.ShowMessage("WESTBROOK TERMINAL - JAPANTOWN - SAGAN &amp; DIAMOND", 10.0)</t>
  </si>
  <si>
    <t>San Amaro St</t>
  </si>
  <si>
    <t>local loc = {x = 684.129761, y = -593.860046, z = 9.958153}; Game.GetTeleportationFacility():Teleport(Game.GetPlayer(), Vector4.new(loc.x, loc.y, loc.z, 1), EulerAngles.new(0, 0, 0)) PreventionSystem.ShowMessage("SANTO DOMINGO TERMINAL - RANCHO CORONADO - SAN AMARO ST", 10.0)</t>
  </si>
  <si>
    <t>Senate &amp; Market</t>
  </si>
  <si>
    <t>local loc = {x = -1888.368164, y = -574.491638, z = 7.874062}; Game.GetTeleportationFacility():Teleport(Game.GetPlayer(), Vector4.new(loc.x, loc.y, loc.z, 1), EulerAngles.new(0, 0, 0)) PreventionSystem.ShowMessage("HEYWOOD TERMINAL - THE GLEN - SENATE &amp; MARKET", 10.0)</t>
  </si>
  <si>
    <t>Shooting Range</t>
  </si>
  <si>
    <t>local loc = {x = -1048.270630, y = -914.849792, z = 8.182121}; Game.GetTeleportationFacility():Teleport(Game.GetPlayer(), Vector4.new(loc.x, loc.y, loc.z, 1), EulerAngles.new(0, 0, 0)) PreventionSystem.ShowMessage("HEYWOOD TERMINAL - VISTA DEL REY - SHOOTING RANGE", 10.0)</t>
  </si>
  <si>
    <t>Silk Road West</t>
  </si>
  <si>
    <t>local loc = {x = -695.708374, y = 403.711273, z = 19.426750}; Game.GetTeleportationFacility():Teleport(Game.GetPlayer(), Vector4.new(loc.x, loc.y, loc.z, 1), EulerAngles.new(0, 0, 0)) PreventionSystem.ShowMessage("WESTBROOK TERMINAL - JAPANTOWN - SILK ROAD WEST", 10.0)</t>
  </si>
  <si>
    <t>local loc = {x = -2354.447021, y = 432.617096, z = 7.844719}; Game.GetTeleportationFacility():Teleport(Game.GetPlayer(), Vector4.new(loc.x, loc.y, loc.z, 1), EulerAngles.new(0, 0, 0)) PreventionSystem.ShowMessage("CITY CENTER TERMINAL - DOWNTOWN - SKYLINE &amp; REPUBLIC", 10.0)</t>
  </si>
  <si>
    <t>Skyline &amp; Salinas</t>
  </si>
  <si>
    <t>local loc = {x = -457.240997, y = 1402.604004, z = 37.284058}; Game.GetTeleportationFacility():Teleport(Game.GetPlayer(), Vector4.new(loc.x, loc.y, loc.z, 1), EulerAngles.new(0, 0, 0)) PreventionSystem.ShowMessage("WESTBROOK TERMINAL - JAPANTOWN - SKYLINE &amp; SALINAS", 10.0)</t>
  </si>
  <si>
    <t>Skyline East</t>
  </si>
  <si>
    <t>local loc = {x = -657.992432, y = -434.298370, z = 8.199997}; Game.GetTeleportationFacility():Teleport(Game.GetPlayer(), Vector4.new(loc.x, loc.y, loc.z, 1), EulerAngles.new(0, 0, 0)) PreventionSystem.ShowMessage("HEYWOOD TERMINAL - VISTA DEL REY - SKYLINE EAST", 10.0)</t>
  </si>
  <si>
    <t>Solar Arrays</t>
  </si>
  <si>
    <t>local loc = {x = -660.850952, y = -3837.256104, z = 72.010223}; Game.GetTeleportationFacility():Teleport(Game.GetPlayer(), Vector4.new(loc.x, loc.y, loc.z, 1), EulerAngles.new(0, 0, 0)) PreventionSystem.ShowMessage("BADLANDS TERMINAL - JACKSON PLAINS - SOLAR ARRAYS", 10.0)</t>
  </si>
  <si>
    <t>Solar Power Station</t>
  </si>
  <si>
    <t>local loc = {x = -176.844849, y = -2613.227783, z = 28.573807}; Game.GetTeleportationFacility():Teleport(Game.GetPlayer(), Vector4.new(loc.x, loc.y, loc.z, 1), EulerAngles.new(0, 0, 0)) PreventionSystem.ShowMessage("BADLANDS TERMINAL - JACKSON PLAINS - SOLAR POWER STATION", 10.0)</t>
  </si>
  <si>
    <t>Stadium Parking</t>
  </si>
  <si>
    <t>local loc = {x = -1306.254883, y = -1670.878662, z = 44.026367}; Game.GetTeleportationFacility():Teleport(Game.GetPlayer(), Vector4.new(loc.x, loc.y, loc.z, 1), EulerAngles.new(0, 0, 0)) PreventionSystem.ShowMessage("PACIFICA TERMINAL - COASTVIEW - STADIUM PARKING", 10.0)</t>
  </si>
  <si>
    <t>local loc = {x = 1634.151611, y = -738.672607, z = 49.941101}; Game.GetTeleportationFacility():Teleport(Game.GetPlayer(), Vector4.new(loc.x, loc.y, loc.z, 1), EulerAngles.new(0, 0, 0)) PreventionSystem.ShowMessage("BADLANDS TERMINAL - RED PEAKS - SUNSET MOTEL", 10.0)</t>
  </si>
  <si>
    <t>local loc = {x = 3583.741455, y = -895.678528, z = 119.448807}; Game.GetTeleportationFacility():Teleport(Game.GetPlayer(), Vector4.new(loc.x, loc.y, loc.z, 1), EulerAngles.new(0, 0, 0)) PreventionSystem.ShowMessage("BADLANDS TERMINAL - ROCKY RIDGE - SUNSHINE MOTEL", 10.0)</t>
  </si>
  <si>
    <t>Sutter St</t>
  </si>
  <si>
    <t>local loc = {x = -1202.809692, y = 1616.376221, z = 22.914032}; Game.GetTeleportationFacility():Teleport(Game.GetPlayer(), Vector4.new(loc.x, loc.y, loc.z, 1), EulerAngles.new(0, 0, 0)) PreventionSystem.ShowMessage("WATSON TERMINAL - KABUKI - SUTTER ST", 10.0)</t>
  </si>
  <si>
    <t>Tango Tors Motel</t>
  </si>
  <si>
    <t>local loc = {x = -202.297058, y = -4915.824707, z = 77.359116}; Game.GetTeleportationFacility():Teleport(Game.GetPlayer(), Vector4.new(loc.x, loc.y, loc.z, 1), EulerAngles.new(0, 0, 0)) PreventionSystem.ShowMessage("BADLANDS TERMINAL - JACKSON PLAINS - TANGO TORS MOTEL", 10.0)</t>
  </si>
  <si>
    <t>Trailer Park</t>
  </si>
  <si>
    <t>local loc = {x = 1194.174927, y = -592.335266, z = 32.617661}; Game.GetTeleportationFacility():Teleport(Game.GetPlayer(), Vector4.new(loc.x, loc.y, loc.z, 1), EulerAngles.new(0, 0, 0)) PreventionSystem.ShowMessage("BADLANDS TERMINAL - RED PEAKS - TRAILER PARK", 10.0)</t>
  </si>
  <si>
    <t>Valentino Alley</t>
  </si>
  <si>
    <t>local loc = {x = -1610.903442, y = -1180.620117, z = 24.885757}; Game.GetTeleportationFacility():Teleport(Game.GetPlayer(), Vector4.new(loc.x, loc.y, loc.z, 1), EulerAngles.new(0, 0, 0)) PreventionSystem.ShowMessage("HEYWOOD TERMINAL - THE GLEN - VALENTINO ALLEY", 10.0)</t>
  </si>
  <si>
    <t>Ventura &amp; Skyline</t>
  </si>
  <si>
    <t>local loc = {x = -1860.255249, y = -1206.401001, z = 20.227318}; Game.GetTeleportationFacility():Teleport(Game.GetPlayer(), Vector4.new(loc.x, loc.y, loc.z, 1), EulerAngles.new(0, 0, 0)) PreventionSystem.ShowMessage("HEYWOOD TERMINAL - THE GLEN - VENTURA &amp; SKYLINE", 10.0)</t>
  </si>
  <si>
    <t>V's Apartment - Terminal</t>
  </si>
  <si>
    <t>local loc = {x = -1598.482056, y = 346.462311, z = 8.171249}; Game.GetTeleportationFacility():Teleport(Game.GetPlayer(), Vector4.new(loc.x, loc.y, loc.z, 1), EulerAngles.new(0, 0, 0)) PreventionSystem.ShowMessage("CITY CENTER TERMINAL - CORPO PLAZA - V'S APARTMENT", 10.0)</t>
  </si>
  <si>
    <t>local loc = {x = -1523.809814, y = -992.123108, z = 9.100990}; Game.GetTeleportationFacility():Teleport(Game.GetPlayer(), Vector4.new(loc.x, loc.y, loc.z, 1), EulerAngles.new(0, 0, 0)) PreventionSystem.ShowMessage("HEYWOOD TERMINAL - THE GLEN - V'S APARTMENT", 10.0)</t>
  </si>
  <si>
    <t>local loc = {x = -1474.946899, y = 2188.042236, z = 18.193954}; Game.GetTeleportationFacility():Teleport(Game.GetPlayer(), Vector4.new(loc.x, loc.y, loc.z, 1), EulerAngles.new(0, 0, 0)) PreventionSystem.ShowMessage("WATSON TERMINAL - NORTHSIDE - V'S APARTMENT", 10.0)</t>
  </si>
  <si>
    <t>local loc = {x = -783.724121, y = 992.393494, z = 12.057030}; Game.GetTeleportationFacility():Teleport(Game.GetPlayer(), Vector4.new(loc.x, loc.y, loc.z, 1), EulerAngles.new(0, 0, 0)) PreventionSystem.ShowMessage("WESTBROOK TERMINAL - JAPANTOWN - V'S APARTMENT", 10.0)</t>
  </si>
  <si>
    <t>West Wind Apartments</t>
  </si>
  <si>
    <t>local loc = {x = -2658.608154, y = -2487.474854, z = 18.037674}; Game.GetTeleportationFacility():Teleport(Game.GetPlayer(), Vector4.new(loc.x, loc.y, loc.z, 1), EulerAngles.new(0, 0, 0)) PreventionSystem.ShowMessage("PACIFICA TERMINAL - WEST WIND ESTATE - WEST WIND APARTMENTS", 10.0)</t>
  </si>
  <si>
    <t>Wraith Camp</t>
  </si>
  <si>
    <t>local loc = {x = 3079.315918, y = -2223.864014, z = 131.535812}; Game.GetTeleportationFacility():Teleport(Game.GetPlayer(), Vector4.new(loc.x, loc.y, loc.z, 1), EulerAngles.new(0, 0, 0)) PreventionSystem.ShowMessage("BADLANDS TERMINAL - SIERRA SONORA - WRAITH CAMP", 10.0)</t>
  </si>
  <si>
    <t>Cosmetic Piece</t>
  </si>
  <si>
    <t>Cop Set - Face</t>
  </si>
  <si>
    <t>local loc = {x = -1628.734009, y = 2163.019531, z = 18.144112, rot = -140}; local warning = "The presence of the item may be related to the storyline, come back later if you don't find it."; local name = "Cop - Face [WATSON - NORTHSIDE]";  Game.GetTeleportationFacility():Teleport(Game.GetPlayer(), Vector4.new(loc.x, loc.y, loc.z, 1), EulerAngles.new(0, 0, loc.rot)) PreventionSystem.ShowMessage(name.."\n"..warning, 15.0) print(" \n\tWARNING: "..warning.."\n ")</t>
  </si>
  <si>
    <t>Cop Set - Outer Torso</t>
  </si>
  <si>
    <t>local loc = {x = 13.579834, y = -1910.416016, z = 2.494057, rot = 131}; local warning = "The presence of the item may be related to the storyline, come back later if you don't find it."; local name = "Cop - Outer Torso [SANTO DOMINGO - RANCHO CORONADO]";  Game.GetTeleportationFacility():Teleport(Game.GetPlayer(), Vector4.new(loc.x, loc.y, loc.z, 1), EulerAngles.new(0, 0, loc.rot)) PreventionSystem.ShowMessage(name.."\n"..warning, 15.0) print(" \n\tWARNING: "..warning.."\n ")</t>
  </si>
  <si>
    <t>Heavy-duty Aramid-reinforced Badge Coat</t>
  </si>
  <si>
    <t>Cop Set - Legs</t>
  </si>
  <si>
    <t>local loc = {x = -1743.077881, y = 1488.088867, z = 13.681496, rot = -25}; local warning = "The presence of the item may be related to the storyline, come back later if you don't find it."; local name = "Cop - Legs [WATSON - LITTLE CHINA]";  Game.GetTeleportationFacility():Teleport(Game.GetPlayer(), Vector4.new(loc.x, loc.y, loc.z, 1), EulerAngles.new(0, 0, loc.rot)) PreventionSystem.ShowMessage(name.."\n"..warning, 15.0) print(" \n\tWARNING: "..warning.."\n ")</t>
  </si>
  <si>
    <t>Anti-puncture Neotac Pants with Composite Lining</t>
  </si>
  <si>
    <t>Cop Set - Feet</t>
  </si>
  <si>
    <t>local loc = {x = 530.435791, y = -2244.718018, z = 46.673561, rot = 118}; local warning = "The presence of the item may be related to the storyline, come back later if you don't find it."; local name = "Cop - Feet [SANTO DOMINGO - RANCHO CORONADO]";  Game.GetTeleportationFacility():Teleport(Game.GetPlayer(), Vector4.new(loc.x, loc.y, loc.z, 1), EulerAngles.new(0, 0, loc.rot)) PreventionSystem.ShowMessage(name.."\n"..warning, 15.0) print(" \n\tWARNING: "..warning.."\n ")</t>
  </si>
  <si>
    <t>Corpo Set - Face</t>
  </si>
  <si>
    <t>local loc = {x = 276.353943, y = -2366.103027, z = 84.744339, rot = 10}; local warning = "The presence of the item may be related to the storyline, come back later if you don't find it."; local name = "Corpo - Face [SANTO DOMINGO - RANCHO CORONADO]";  Game.GetTeleportationFacility():Teleport(Game.GetPlayer(), Vector4.new(loc.x, loc.y, loc.z, 1), EulerAngles.new(0, 0, loc.rot)) PreventionSystem.ShowMessage(name.."\n"..warning, 15.0) print(" \n\tWARNING: "..warning.."\n ")</t>
  </si>
  <si>
    <t>Tactical Hybrid-glass Corporate Glasses</t>
  </si>
  <si>
    <t>local loc = {x = -2126.188721, y = -4905.085449, z = 86.995987, rot = 69}; local warning = "The presence of the item may be related to the storyline, come back later if you don't find it."; local name = "Corpo - Face [BADLANDS - JACKSON PLAINS]";  Game.GetTeleportationFacility():Teleport(Game.GetPlayer(), Vector4.new(loc.x, loc.y, loc.z, 1), EulerAngles.new(0, 0, loc.rot)) PreventionSystem.ShowMessage(name.."\n"..warning, 15.0) print(" \n\tWARNING: "..warning.."\n ")</t>
  </si>
  <si>
    <t>Corpo Set - Outer Torso</t>
  </si>
  <si>
    <t>local loc = {x = -1017.911011, y = 3382.362305, z = 8.456146, rot = -149}; local warning = "The presence of the item may be related to the storyline, come back later if you don't find it."; local name = "Corpo - Outer Torso [WATSON - NORTHSIDE]";  Game.GetTeleportationFacility():Teleport(Game.GetPlayer(), Vector4.new(loc.x, loc.y, loc.z, 1), EulerAngles.new(0, 0, loc.rot)) PreventionSystem.ShowMessage(name.."\n"..warning, 15.0) print(" \n\tWARNING: "..warning.."\n ")</t>
  </si>
  <si>
    <t>Corporate Blazer with Bulletproof Lining</t>
  </si>
  <si>
    <t>Corpo Set - Inner Torso</t>
  </si>
  <si>
    <t>local loc = {x = -1942.423950, y = -138.755524, z = 7.445045, rot = -33}; local warning = "The presence of the item may be related to the storyline, come back later if you don't find it."; local name = "Corpo - Inner Torso [HEYWOOD - THE GLEN]";  Game.GetTeleportationFacility():Teleport(Game.GetPlayer(), Vector4.new(loc.x, loc.y, loc.z, 1), EulerAngles.new(0, 0, loc.rot)) PreventionSystem.ShowMessage(name.."\n"..warning, 15.0) print(" \n\tWARNING: "..warning.."\n ")</t>
  </si>
  <si>
    <t>Corpo Set - Legs</t>
  </si>
  <si>
    <t>local loc = {x = -1509.844971, y = 3470.895264, z = 7.091209, rot = -89}; local warning = "The presence of the item may be related to the storyline, come back later if you don't find it."; local name = "Corpo - Legs [WATSON - NORTHSIDE]";  Game.GetTeleportationFacility():Teleport(Game.GetPlayer(), Vector4.new(loc.x, loc.y, loc.z, 1), EulerAngles.new(0, 0, loc.rot)) PreventionSystem.ShowMessage(name.."\n"..warning, 15.0) print(" \n\tWARNING: "..warning.."\n ")</t>
  </si>
  <si>
    <t>Breathable Reinforced Bio-cotton Corporate Slacks</t>
  </si>
  <si>
    <t>Corpo Set - Feet</t>
  </si>
  <si>
    <t>local loc = {x = 668.178589, y = -401.594879, z = 6.129723, rot = -170}; local warning = "The presence of the item may be related to the storyline, come back later if you don't find it."; local name = "Corpo - Feet [WESTBROOK - CHARTER HILL]";  Game.GetTeleportationFacility():Teleport(Game.GetPlayer(), Vector4.new(loc.x, loc.y, loc.z, 1), EulerAngles.new(0, 0, loc.rot)) PreventionSystem.ShowMessage(name.."\n"..warning, 15.0) print(" \n\tWARNING: "..warning.."\n ")</t>
  </si>
  <si>
    <t>Ergonomic Reinforced Corporate Evening Shoes / Ergonomic Reinforced Corporate Pumps</t>
  </si>
  <si>
    <t>Fixer Set - Face</t>
  </si>
  <si>
    <t>local loc = {x = -719.423950, y = -2013.604980, z = 6.448364, rot = 66}; local warning = "The presence of the item may be related to the storyline, come back later if you don't find it."; local name = "Fixer - Face [SANTO DOMINGO - ARROYO]";  Game.GetTeleportationFacility():Teleport(Game.GetPlayer(), Vector4.new(loc.x, loc.y, loc.z, 1), EulerAngles.new(0, 0, loc.rot)) PreventionSystem.ShowMessage(name.."\n"..warning, 15.0) print(" \n\tWARNING: "..warning.."\n ")</t>
  </si>
  <si>
    <t>Polycarbonate Opti-enhanced Fixer Glasses</t>
  </si>
  <si>
    <t>Fixer Set - Outer Torso</t>
  </si>
  <si>
    <t>local loc = {x = 461.026947, y = -1665.187500, z = 10.335487, rot = -23}; local warning = "The presence of the item may be related to the storyline, come back later if you don't find it."; local name = "Fixer - Outer Torso [SANTO DOMINGO - RANCHO CORONADO]";  Game.GetTeleportationFacility():Teleport(Game.GetPlayer(), Vector4.new(loc.x, loc.y, loc.z, 1), EulerAngles.new(0, 0, loc.rot)) PreventionSystem.ShowMessage(name.."\n"..warning, 15.0) print(" \n\tWARNING: "..warning.."\n ")</t>
  </si>
  <si>
    <t>Trilayer Aramid-weave Fixer Coat / Trilayer Aramid-weave Fixer Skirt with Jacket</t>
  </si>
  <si>
    <t>Fixer Set - Inner Torso</t>
  </si>
  <si>
    <t>local loc = {x = -1159.524780, y = -732.304810, z = 8.136116, rot = 119}; local warning = "The presence of the item may be related to the storyline, come back later if you don't find it."; local name = "Fixer - Inner Torso [HEYWOOD - THE GLEN]";  Game.GetTeleportationFacility():Teleport(Game.GetPlayer(), Vector4.new(loc.x, loc.y, loc.z, 1), EulerAngles.new(0, 0, loc.rot)) PreventionSystem.ShowMessage(name.."\n"..warning, 15.0) print(" \n\tWARNING: "..warning.."\n ")</t>
  </si>
  <si>
    <t>Heat-resistant Aramid-weave Fixer Shirt / Heat-resistant Aramid-weave Fixer Bustier</t>
  </si>
  <si>
    <t>Fixer Set - Legs</t>
  </si>
  <si>
    <t>local loc = {x = -622.975830, y = 874.069824, z = 42.390511, rot = 19}; local warning = "The presence of the item may be related to the storyline, come back later if you don't find it."; local name = "Fixer - Legs [WESTBROOK - JAPANTOWN]";  Game.GetTeleportationFacility():Teleport(Game.GetPlayer(), Vector4.new(loc.x, loc.y, loc.z, 1), EulerAngles.new(0, 0, loc.rot)) PreventionSystem.ShowMessage(name.."\n"..warning, 15.0) print(" \n\tWARNING: "..warning.."\n ")</t>
  </si>
  <si>
    <t>Protective-layer Fixer Pants / Protective-layer Fixer Skirt</t>
  </si>
  <si>
    <t>Fixer Set - Feet</t>
  </si>
  <si>
    <t>local loc = {x = -412.646973, y = 457.303131, z = 25.966133, rot = -136}; local warning = "The presence of the item may be related to the storyline, come back later if you don't find it."; local name = "Fixer - Feet [WESTBROOK - JAPANTOWN]";  Game.GetTeleportationFacility():Teleport(Game.GetPlayer(), Vector4.new(loc.x, loc.y, loc.z, 1), EulerAngles.new(0, 0, loc.rot)) PreventionSystem.ShowMessage(name.."\n"..warning, 15.0) print(" \n\tWARNING: "..warning.."\n ")</t>
  </si>
  <si>
    <t>Elastiweave Fixer Shoes with Reinforced Seams / Elastiweave Fixer Pumps with Reinforced Seams</t>
  </si>
  <si>
    <t>Media Set - Head</t>
  </si>
  <si>
    <t>local loc = {x = -1377.962158, y = -5105.477539, z = 99.778946, rot = 160}; local warning = "The presence of the item may be related to the storyline, come back later if you don't find it."; local name = "Media - Head [BADLANDS - JACKSON PLAINS]";  Game.GetTeleportationFacility():Teleport(Game.GetPlayer(), Vector4.new(loc.x, loc.y, loc.z, 1), EulerAngles.new(0, 0, loc.rot)) PreventionSystem.ShowMessage(name.."\n"..warning, 15.0) print(" \n\tWARNING: "..warning.."\n ")</t>
  </si>
  <si>
    <t>Media Baseball Cap with Reactive Layer</t>
  </si>
  <si>
    <t>Media Set - Face</t>
  </si>
  <si>
    <t>local loc = {x = -2015.384888, y = -5206.455566, z = 84.710464, rot = -51}; local warning = "The presence of the item may be related to the storyline, come back later if you don't find it."; local name = "Media - Face [BADLANDS - JACKSON PLAINS]";  Game.GetTeleportationFacility():Teleport(Game.GetPlayer(), Vector4.new(loc.x, loc.y, loc.z, 1), EulerAngles.new(0, 0, loc.rot)) PreventionSystem.ShowMessage(name.."\n"..warning, 15.0) print(" \n\tWARNING: "..warning.."\n ")</t>
  </si>
  <si>
    <t>Armored Media Ocuset with Camera</t>
  </si>
  <si>
    <t>Media Set - Outer Torso</t>
  </si>
  <si>
    <t>local loc = {x = -476.580811, y = 623.248535, z = 33.933121, rot = -99}; local warning = "The presence of the item may be related to the storyline, come back later if you don't find it."; local name = "Media - Outer Torso [WESTBROOK - JAPANTOWN]";  Game.GetTeleportationFacility():Teleport(Game.GetPlayer(), Vector4.new(loc.x, loc.y, loc.z, 1), EulerAngles.new(0, 0, loc.rot)) PreventionSystem.ShowMessage(name.."\n"..warning, 15.0) print(" \n\tWARNING: "..warning.."\n ")</t>
  </si>
  <si>
    <t>Laminate-armor Media Ballistic Vest</t>
  </si>
  <si>
    <t>Media Set - Inner Torso</t>
  </si>
  <si>
    <t>local loc = {x = -2641.700928, y = -494.734985, z = 0.327019, rot = -176}; local warning = "The presence of the item may be related to the storyline, come back later if you don't find it."; local name = "Media - Inner Torso [HEYWOOD - WELLSPRINGS]";  Game.GetTeleportationFacility():Teleport(Game.GetPlayer(), Vector4.new(loc.x, loc.y, loc.z, 1), EulerAngles.new(0, 0, loc.rot)) PreventionSystem.ShowMessage(name.."\n"..warning, 15.0) print(" \n\tWARNING: "..warning.."\n ")</t>
  </si>
  <si>
    <t>Heat-resistant Nanoweave Media Shirt</t>
  </si>
  <si>
    <t>Media Set - Legs</t>
  </si>
  <si>
    <t>local loc = {x = 412.641113, y = -497.713989, z = 11.436813, rot = 126}; local warning = "The presence of the item may be related to the storyline, come back later if you don't find it."; local name = "Media - Legs [WESTBROOK - CHARTER HILL]";  Game.GetTeleportationFacility():Teleport(Game.GetPlayer(), Vector4.new(loc.x, loc.y, loc.z, 1), EulerAngles.new(0, 0, loc.rot)) PreventionSystem.ShowMessage(name.."\n"..warning, 15.0) print(" \n\tWARNING: "..warning.."\n ")</t>
  </si>
  <si>
    <t>Anti-piercing Tactical Media Cargo Pants</t>
  </si>
  <si>
    <t>local loc = {x = -243.555115, y = -109.220459, z = 11.705795, rot = 167}; local warning = "The presence of the item may be related to the storyline, come back later if you don't find it."; local name = "Media - Legs [WESTBROOK - CHARTER HILL]";  Game.GetTeleportationFacility():Teleport(Game.GetPlayer(), Vector4.new(loc.x, loc.y, loc.z, 1), EulerAngles.new(0, 0, loc.rot)) PreventionSystem.ShowMessage(name.."\n"..warning, 15.0) print(" \n\tWARNING: "..warning.."\n ")</t>
  </si>
  <si>
    <t>Media Set - Feet</t>
  </si>
  <si>
    <t>local loc = {x = -243.555115, y = -109.220459, z = 11.705795, rot = 167}; local warning = "The presence of the item may be related to the storyline, come back later if you don't find it."; local name = "Media - Feet [WESTBROOK - CHARTER HILL]";  Game.GetTeleportationFacility():Teleport(Game.GetPlayer(), Vector4.new(loc.x, loc.y, loc.z, 1), EulerAngles.new(0, 0, loc.rot)) PreventionSystem.ShowMessage(name.."\n"..warning, 15.0) print(" \n\tWARNING: "..warning.."\n ")</t>
  </si>
  <si>
    <t>Lightweight Hardened-rubber Media Steel-toes</t>
  </si>
  <si>
    <t>Netrunner Set - Face  [Body]</t>
  </si>
  <si>
    <t>local loc = {x = -731.490601, y = -5540.585938, z = 86.707306, rot = -73}; local warning = "The presence of the item may be related to the storyline, come back later if you don't find it."; local name = "Netrunner - Face [BADLANDS - JACKSON PLAINS]";  Game.GetTeleportationFacility():Teleport(Game.GetPlayer(), Vector4.new(loc.x, loc.y, loc.z, 1), EulerAngles.new(0, 0, loc.rot)) PreventionSystem.ShowMessage(name.."\n"..warning, 15.0) print(" \n\tWARNING: "..warning.."\n ")</t>
  </si>
  <si>
    <t>Antisurge ICE-protected Netrunner Infovisor, 2x</t>
  </si>
  <si>
    <t>Netrunner Set - Face  [Container, Appears After Body Is Looted]</t>
  </si>
  <si>
    <t>local loc = {x = -1217.618164, y = -5528.001465, z = 91.719376, rot = 8}; local warning = "The presence of the item may be related to the storyline, come back later if you don't find it."; local name = "Netrunner - Face [BADLANDS - JACKSON PLAINS]";  Game.GetTeleportationFacility():Teleport(Game.GetPlayer(), Vector4.new(loc.x, loc.y, loc.z, 1), EulerAngles.new(0, 0, loc.rot)) PreventionSystem.ShowMessage(name.."\n"..warning, 15.0) print(" \n\tWARNING: "..warning.."\n ")</t>
  </si>
  <si>
    <t>Netrunner Set - Inner Torso</t>
  </si>
  <si>
    <t>local loc = {x = -2013.605591, y = -1164.442871, z = 11.001144, rot = -133}; local warning = "The presence of the item may be related to the storyline, come back later if you don't find it."; local name = "Netrunner - Inner Torso [HEYWOOD - THE GLEN]";  Game.GetTeleportationFacility():Teleport(Game.GetPlayer(), Vector4.new(loc.x, loc.y, loc.z, 1), EulerAngles.new(0, 0, loc.rot)) PreventionSystem.ShowMessage(name.."\n"..warning, 15.0) print(" \n\tWARNING: "..warning.."\n ")</t>
  </si>
  <si>
    <t>Heat-resistant Hybridweave Netrunning Suit</t>
  </si>
  <si>
    <t>Netrunner Set - Legs</t>
  </si>
  <si>
    <t>local loc = {x = -1724.858276, y = 2512.137451, z = 46.966324, rot = 121}; local warning = "The presence of the item may be related to the storyline, come back later if you don't find it."; local name = "Netrunner - Legs [WATSON - NORTHSIDE]";  Game.GetTeleportationFacility():Teleport(Game.GetPlayer(), Vector4.new(loc.x, loc.y, loc.z, 1), EulerAngles.new(0, 0, loc.rot)) PreventionSystem.ShowMessage(name.."\n"..warning, 15.0) print(" \n\tWARNING: "..warning.."\n ")</t>
  </si>
  <si>
    <t>Dura-membrane Netrunner Neotac Pants</t>
  </si>
  <si>
    <t>Netrunner Set - Feet</t>
  </si>
  <si>
    <t>local loc = {x = -59.998169, y = -229.929932, z = 6.273247, rot = -79}; local warning = "The presence of the item may be related to the storyline, come back later if you don't find it."; local name = "Netrunner - Feet [SANTO DOMINGO - RANCHO CORONADO]";  Game.GetTeleportationFacility():Teleport(Game.GetPlayer(), Vector4.new(loc.x, loc.y, loc.z, 1), EulerAngles.new(0, 0, loc.rot)) PreventionSystem.ShowMessage(name.."\n"..warning, 15.0) print(" \n\tWARNING: "..warning.."\n ")</t>
  </si>
  <si>
    <t>Hardened Netrunner Boots with Composite Inserts</t>
  </si>
  <si>
    <t>Nomad Set - Face</t>
  </si>
  <si>
    <t>local loc = {x = -694.363647, y = -4234.912109, z = 58.173187, rot = 42}; local warning = "The presence of the item may be related to the storyline, come back later if you don't find it."; local name = "Nomad - Face [BADLANDS - JACKSON PLAINS]";  Game.GetTeleportationFacility():Teleport(Game.GetPlayer(), Vector4.new(loc.x, loc.y, loc.z, 1), EulerAngles.new(0, 0, loc.rot)) PreventionSystem.ShowMessage(name.."\n"..warning, 15.0) print(" \n\tWARNING: "..warning.."\n ")</t>
  </si>
  <si>
    <t>Manganese-laminate Nomad Gas Mask</t>
  </si>
  <si>
    <t>Nomad Set - Outer Torso</t>
  </si>
  <si>
    <t>local loc = {x = -2359.660889, y = -5301.808594, z = 90.238464, rot = -149}; local warning = "The presence of the item may be related to the storyline, come back later if you don't find it."; local name = "Nomad - Outer Torso [BADLANDS - JACKSON PLAINS]";  Game.GetTeleportationFacility():Teleport(Game.GetPlayer(), Vector4.new(loc.x, loc.y, loc.z, 1), EulerAngles.new(0, 0, loc.rot)) PreventionSystem.ShowMessage(name.."\n"..warning, 15.0) print(" \n\tWARNING: "..warning.."\n ")</t>
  </si>
  <si>
    <t>Duolayer Microplate-mesh Nomad Jacket, open the door to the basement</t>
  </si>
  <si>
    <t>Nomad Set - Inner Torso</t>
  </si>
  <si>
    <t>local loc = {x = -662.427002, y = -5390.349121, z = 80.526154, rot = -38}; local warning = "The presence of the item may be related to the storyline, come back later if you don't find it."; local name = "Nomad - Inner Torso [BADLANDS - JACKSON PLAINS]";  Game.GetTeleportationFacility():Teleport(Game.GetPlayer(), Vector4.new(loc.x, loc.y, loc.z, 1), EulerAngles.new(0, 0, loc.rot)) PreventionSystem.ShowMessage(name.."\n"..warning, 15.0) print(" \n\tWARNING: "..warning.."\n ")</t>
  </si>
  <si>
    <t>Polycarbonate Nomad Shirt with Reinforced Seams</t>
  </si>
  <si>
    <t>Nomad Set - Legs</t>
  </si>
  <si>
    <t>local loc = {x = -1251.864136, y = -3473.707520, z = 45.035057, rot = -49}; local warning = "The presence of the item may be related to the storyline, come back later if you don't find it."; local name = "Nomad - Legs [BADLANDS - JACKSON PLAINS]";  Game.GetTeleportationFacility():Teleport(Game.GetPlayer(), Vector4.new(loc.x, loc.y, loc.z, 1), EulerAngles.new(0, 0, loc.rot)) PreventionSystem.ShowMessage(name.."\n"..warning, 15.0) print(" \n\tWARNING: "..warning.."\n ")</t>
  </si>
  <si>
    <t>Ultralight Tear-resistant Nomad Pants - WARNING: 1 Enemy drone present</t>
  </si>
  <si>
    <t>Nomad Set - Feet</t>
  </si>
  <si>
    <t>local loc = {x = 3337.314941, y = -1544.571045, z = 107.869354, rot = 2}; local warning = "The presence of the item may be related to the storyline, come back later if you don't find it."; local name = "Nomad - Feet [BADLANDS - RED PEAKS]";  Game.GetTeleportationFacility():Teleport(Game.GetPlayer(), Vector4.new(loc.x, loc.y, loc.z, 1), EulerAngles.new(0, 0, loc.rot)) PreventionSystem.ShowMessage(name.."\n"..warning, 15.0) print(" \n\tWARNING: "..warning.."\n ")</t>
  </si>
  <si>
    <t>Durable Bioleather Nomad Western Boots, open the door to the basement</t>
  </si>
  <si>
    <t>Rockerboy Set - Face</t>
  </si>
  <si>
    <t>local loc = {x = 150.086914, y = -1715.036621, z = -10.166969, rot = 177}; local warning = "The presence of the item may be related to the storyline, come back later if you don't find it."; local name = "Rockerboy - Face [SANTO DOMINGO - RANCHO CORONADO]";  Game.GetTeleportationFacility():Teleport(Game.GetPlayer(), Vector4.new(loc.x, loc.y, loc.z, 1), EulerAngles.new(0, 0, loc.rot)) PreventionSystem.ShowMessage(name.."\n"..warning, 15.0) print(" \n\tWARNING: "..warning.."\n ")</t>
  </si>
  <si>
    <t>Scratch-resistant Polarized Rocker Aviators</t>
  </si>
  <si>
    <t>Rockerboy Set - Outer Torso</t>
  </si>
  <si>
    <t>local loc = {x = -1174.080811, y = 1473.541748, z = 38.242996, rot = 88}; local warning = "The presence of the item may be related to the storyline, come back later if you don't find it."; local name = "Rockerboy - Outer Torso [WATSON - KABUKI]";  Game.GetTeleportationFacility():Teleport(Game.GetPlayer(), Vector4.new(loc.x, loc.y, loc.z, 1), EulerAngles.new(0, 0, loc.rot)) PreventionSystem.ShowMessage(name.."\n"..warning, 15.0) print(" \n\tWARNING: "..warning.."\n ")</t>
  </si>
  <si>
    <t>Duolayer Polyamide Rocker Vest / Reinforced Composite-lined Rocker Foldtop</t>
  </si>
  <si>
    <t>Rockerboy Set - Inner Torso</t>
  </si>
  <si>
    <t>local loc = {x = -1868.720215, y = -1738.307129, z = 48.458015, rot = 79}; local warning = "The presence of the item may be related to the storyline, come back later if you don't find it."; local name = "Rockerboy - Inner Torso [PACIFICA- COASTVIEW]";  Game.GetTeleportationFacility():Teleport(Game.GetPlayer(), Vector4.new(loc.x, loc.y, loc.z, 1), EulerAngles.new(0, 0, loc.rot)) PreventionSystem.ShowMessage(name.."\n"..warning, 15.0) print(" \n\tWARNING: "..warning.."\n ")</t>
  </si>
  <si>
    <t>Reinforced-seam Cotton Rocker Tank / Armorweave Rocker Bra</t>
  </si>
  <si>
    <t>Rockerboy Set - Legs</t>
  </si>
  <si>
    <t>local loc = {x = -1656.666260, y = 655.627930, z = 12.602745, rot = -96}; local warning = "The presence of the item may be related to the storyline, come back later if you don't find it."; local name = "Rockerboy - Legs [CITY CENTER - CORPO PLAZA]";  Game.GetTeleportationFacility():Teleport(Game.GetPlayer(), Vector4.new(loc.x, loc.y, loc.z, 1), EulerAngles.new(0, 0, loc.rot)) PreventionSystem.ShowMessage(name.."\n"..warning, 15.0) print(" \n\tWARNING: "..warning.."\n ")</t>
  </si>
  <si>
    <t>Elastic Flame-resistant Rocker Pants, requires climbing through a gap on top or body stat *15*</t>
  </si>
  <si>
    <t>Rockerboy Set - Feet</t>
  </si>
  <si>
    <t>local loc = {x = -2267.447510, y = 570.919189, z = 9.319031, rot = -116}; local warning = "The presence of the item may be related to the storyline, come back later if you don't find it."; local name = "Rockerboy - Feet [CITY CENTER - DOWNTOWN]";  Game.GetTeleportationFacility():Teleport(Game.GetPlayer(), Vector4.new(loc.x, loc.y, loc.z, 1), EulerAngles.new(0, 0, loc.rot)) PreventionSystem.ShowMessage(name.."\n"..warning, 15.0) print(" \n\tWARNING: "..warning.."\n ")</t>
  </si>
  <si>
    <t>Puncture-resistant Rocker Ankle Boots, requires slipping through on the side or body stat *11*</t>
  </si>
  <si>
    <t>Solo Set - Face</t>
  </si>
  <si>
    <t>local loc = {x = -2829.981201, y = -4199.482910, z = 67.995422, rot = 50}; local warning = "The presence of the item may be related to the storyline, come back later if you don't find it."; local name = "Solo - Face [BADLANDS - BIOTECHNICA FLATS]";  Game.GetTeleportationFacility():Teleport(Game.GetPlayer(), Vector4.new(loc.x, loc.y, loc.z, 1), EulerAngles.new(0, 0, loc.rot)) PreventionSystem.ShowMessage(name.."\n"..warning, 15.0) print(" \n\tWARNING: "..warning.."\n ")</t>
  </si>
  <si>
    <t>Titanium Solo Techgogs with Tactical Software</t>
  </si>
  <si>
    <t>Solo Set - Outer Torso</t>
  </si>
  <si>
    <t>local loc = {x = -1656.865234, y = -574.495117, z = 7.368843, rot = 161}; local warning = "The presence of the item may be related to the storyline, come back later if you don't find it."; local name = "Solo - Outer Torso [HEYWOOD - THE GLEN]";  Game.GetTeleportationFacility():Teleport(Game.GetPlayer(), Vector4.new(loc.x, loc.y, loc.z, 1), EulerAngles.new(0, 0, loc.rot)) PreventionSystem.ShowMessage(name.."\n"..warning, 15.0) print(" \n\tWARNING: "..warning.."\n ")</t>
  </si>
  <si>
    <t>Heavy Shock-absorbent Solo Jacket, requires Technical Ability *15*</t>
  </si>
  <si>
    <t>Solo Set - Inner Torso</t>
  </si>
  <si>
    <t>local loc = {x = 3965.433105, y = -1572.225586, z = 135.174500, rot = 32}; local warning = "The presence of the item may be related to the storyline, come back later if you don't find it."; local name = "Solo - Inner Torso [BADLANDS - RED PEAKS]";  Game.GetTeleportationFacility():Teleport(Game.GetPlayer(), Vector4.new(loc.x, loc.y, loc.z, 1), EulerAngles.new(0, 0, loc.rot)) PreventionSystem.ShowMessage(name.."\n"..warning, 15.0) print(" \n\tWARNING: "..warning.."\n ")</t>
  </si>
  <si>
    <t>Ultrathin Composite-print Solo Shirt</t>
  </si>
  <si>
    <t>Solo Set - Legs</t>
  </si>
  <si>
    <t>local loc = {x = -2529.092285, y = -1016.365417, z = 3.851158, rot = -88}; local warning = "The presence of the item may be related to the storyline, come back later if you don't find it."; local name = "Solo - Legs [HEYWOOD - WELLSPRINGS]";  Game.GetTeleportationFacility():Teleport(Game.GetPlayer(), Vector4.new(loc.x, loc.y, loc.z, 1), EulerAngles.new(0, 0, loc.rot)) PreventionSystem.ShowMessage(name.."\n"..warning, 15.0) print(" \n\tWARNING: "..warning.."\n ")</t>
  </si>
  <si>
    <t>Armor-plated Syn-leather Solo Pants, climb over shack to get inside</t>
  </si>
  <si>
    <t>Solo Set - Feet</t>
  </si>
  <si>
    <t>local loc = {x = -1212.614258, y = 1951.691162, z = 25.962715, rot = 108}; local warning = "The presence of the item may be related to the storyline, come back later if you don't find it."; local name = "Solo - Feet [WATSON - KABUKI]";  Game.GetTeleportationFacility():Teleport(Game.GetPlayer(), Vector4.new(loc.x, loc.y, loc.z, 1), EulerAngles.new(0, 0, loc.rot)) PreventionSystem.ShowMessage(name.."\n"..warning, 15.0) print(" \n\tWARNING: "..warning.."\n ")</t>
  </si>
  <si>
    <t>Gold-tipped Manganese Steel Solo Boots</t>
  </si>
  <si>
    <t>Techie Set - Head</t>
  </si>
  <si>
    <t>local loc = {x = 2600.303711, y = 117.597168, z = 77.476273, rot = -133}; local warning = "The presence of the item may be related to the storyline, come back later if you don't find it."; local name = "Techie - Head [BADLANDS - ROCKY RIDGE]";  Game.GetTeleportationFacility():Teleport(Game.GetPlayer(), Vector4.new(loc.x, loc.y, loc.z, 1), EulerAngles.new(0, 0, loc.rot)) PreventionSystem.ShowMessage(name.."\n"..warning, 15.0) print(" \n\tWARNING: "..warning.."\n ")</t>
  </si>
  <si>
    <t>Cushioned Techie Baseball Cap, open the door to the basement, requires Technical Ability *11*</t>
  </si>
  <si>
    <t>Techie Set - Face</t>
  </si>
  <si>
    <t>local loc = {x = 2071.379883, y = -1369.402832, z = 53.708931, rot = -101}; local warning = "The presence of the item may be related to the storyline, come back later if you don't find it."; local name = "Techie - Face [BADLANDS - ROCKY RIDGE]";  Game.GetTeleportationFacility():Teleport(Game.GetPlayer(), Vector4.new(loc.x, loc.y, loc.z, 1), EulerAngles.new(0, 0, loc.rot)) PreventionSystem.ShowMessage(name.."\n"..warning, 15.0) print(" \n\tWARNING: "..warning.."\n ")</t>
  </si>
  <si>
    <t>Laminated ICE-protected Techie Ocuset (CAUTION: Minefield!)</t>
  </si>
  <si>
    <t>Techie Set - Outer Torso</t>
  </si>
  <si>
    <t>local loc = {x = -1968.344482, y = -1334.408813, z = 14.449242, rot = -167}; local warning = "The presence of the item may be related to the storyline, come back later if you don't find it."; local name = "Techie - Outer Torso [HEYWOOD - THE GLEN]";  Game.GetTeleportationFacility():Teleport(Game.GetPlayer(), Vector4.new(loc.x, loc.y, loc.z, 1), EulerAngles.new(0, 0, loc.rot)) PreventionSystem.ShowMessage(name.."\n"..warning, 15.0) print(" \n\tWARNING: "..warning.."\n ")</t>
  </si>
  <si>
    <t>Polycarbonate Nanoweave Techie Harness, open storage unit behind forklift, requires Body stat *15*</t>
  </si>
  <si>
    <t>Techie Set - Inner Torso</t>
  </si>
  <si>
    <t>local loc = {x = 1866.920166, y = -52.589264, z = 54.945038, rot = 147}; local warning = "The presence of the item may be related to the storyline, come back later if you don't find it."; local name = "Techie - Inner Torso [BADLANDS - ROCKY RIDGE]";  Game.GetTeleportationFacility():Teleport(Game.GetPlayer(), Vector4.new(loc.x, loc.y, loc.z, 1), EulerAngles.new(0, 0, loc.rot)) PreventionSystem.ShowMessage(name.."\n"..warning, 15.0) print(" \n\tWARNING: "..warning.."\n ")</t>
  </si>
  <si>
    <t>Thermoactive Tear-resistant Techie Shirt, AFTER quest "Ghost Town" and Street Cred 40, inside Shipping Container with Car</t>
  </si>
  <si>
    <t>Techie Set - Legs</t>
  </si>
  <si>
    <t>local loc = {x = 750.811523, y = -2076.219727, z = 125.766876, rot = 136}; local warning = "The presence of the item may be related to the storyline, come back later if you don't find it."; local name = "Techie - Legs [SANTO DOMINGO - RANCHO CORONADO]";  Game.GetTeleportationFacility():Teleport(Game.GetPlayer(), Vector4.new(loc.x, loc.y, loc.z, 1), EulerAngles.new(0, 0, loc.rot)) PreventionSystem.ShowMessage(name.."\n"..warning, 15.0) print(" \n\tWARNING: "..warning.."\n ")</t>
  </si>
  <si>
    <t>Techie Set - Feet</t>
  </si>
  <si>
    <t>local loc = {x = -1365.188477, y = -275.926392, z = 7.714317, rot = -164}; local warning = "The presence of the item may be related to the storyline, come back later if you don't find it."; local name = "Techie - Feet [CITY CENTER - CORPO PLAZA]";  Game.GetTeleportationFacility():Teleport(Game.GetPlayer(), Vector4.new(loc.x, loc.y, loc.z, 1), EulerAngles.new(0, 0, loc.rot)) PreventionSystem.ShowMessage(name.."\n"..warning, 15.0) print(" \n\tWARNING: "..warning.."\n ")</t>
  </si>
  <si>
    <t>Cushioned Aramid-sole Techie Shoes, requires Technical Ability *11* to open door</t>
  </si>
  <si>
    <t>Extra</t>
  </si>
  <si>
    <t>Developers Secret Room  [ Door Pin: 605185 ]</t>
  </si>
  <si>
    <t>local loc = {x = -1183.588135, y = 2074.615967, z = 6.841331}; Game.GetTeleportationFacility():Teleport(Game.GetPlayer(), Vector4.new(loc.x, loc.y, loc.z, 1), EulerAngles.new(0, 0, 0)) PreventionSystem.ShowMessage("Developers Room [DOOR PIN: 605185]  [WATSON - KABUKI]", 15.0)</t>
  </si>
  <si>
    <t>Raining Roof</t>
  </si>
  <si>
    <t>local loc = {x = -990.564514, y = -312.707764, z = 100.377411}; Game.GetTeleportationFacility():Teleport(Game.GetPlayer(), Vector4.new(loc.x, loc.y, loc.z, 1), EulerAngles.new(0, 0, 120)) PreventionSystem.ShowMessage("Raining Roof  [HEYWOOD - VISTA DEL RAY]", 10.0)</t>
  </si>
  <si>
    <t>Akulov Penthouse</t>
  </si>
  <si>
    <t>local loc = {x = -1218.135986, y = 1409.635010, z = 113.524445}; Game.GetTeleportationFacility():Teleport(Game.GetPlayer(), Vector4.new(loc.x, loc.y, loc.z, 1), EulerAngles.new(0, 0, 0)) PreventionSystem.ShowMessage("Akulov Penthouse  [WATSON - KABUKI]", 10.0)</t>
  </si>
  <si>
    <t>Arasaka Alt Interrogation Room</t>
  </si>
  <si>
    <t>local loc = {x = -1474.23803, y = 160.720550, z = 208.6376037}; Game.GetTeleportationFacility():Teleport(Game.GetPlayer(), Vector4.new(loc.x, loc.y, loc.z, 1), EulerAngles.new(0, 0, 0)) PreventionSystem.ShowMessage("Arasaka Alt Interrogation Room  [CITY CENTER - CORPO PLAZA]", 10.0)</t>
  </si>
  <si>
    <t>Arasaka Lower Lower Atrium</t>
  </si>
  <si>
    <t>local loc = {x = -1446.63110, y = 73.8905639, z = 238.3479919}; Game.GetTeleportationFacility():Teleport(Game.GetPlayer(), Vector4.new(loc.x, loc.y, loc.z, 1), EulerAngles.new(0, 0, 0)) PreventionSystem.ShowMessage("Arasaka Lower Lower Atrium  [CITY CENTER - CORPO PLAZA]", 10.0)</t>
  </si>
  <si>
    <t>Arasaka Lower Upper Atrium</t>
  </si>
  <si>
    <t>local loc = {x = -1446.63110, y = 73.8905639, z = 238.3479919}; Game.GetTeleportationFacility():Teleport(Game.GetPlayer(), Vector4.new(loc.x, loc.y, loc.z, 1), EulerAngles.new(0, 0, 0)) PreventionSystem.ShowMessage("Arasaka Lower Upper Atrium  [CITY CENTER - CORPO PLAZA]", 10.0)</t>
  </si>
  <si>
    <t>Arasaka Orbital Station</t>
  </si>
  <si>
    <t>local loc = {x = 4743.650879, y = -1091.755127, z = 1310.439575}; Game.GetTeleportationFacility():Teleport(Game.GetPlayer(), Vector4.new(loc.x, loc.y, loc.z, 1), EulerAngles.new(0, 0, 0)) PreventionSystem.ShowMessage("Arasaka Orbital Station  [ORBITAL STATION]", 10.0)</t>
  </si>
  <si>
    <t>ORBITAL STATION</t>
  </si>
  <si>
    <t>Arasaka Residence</t>
  </si>
  <si>
    <t>local loc = {x =  278.537811, y = 1040.076782, z = 229.9181823}; Game.GetTeleportationFacility():Teleport(Game.GetPlayer(), Vector4.new(loc.x, loc.y, loc.z, 1), EulerAngles.new(0, 0, 0)) PreventionSystem.ShowMessage("Arasaka Residence  [WESTBROOK - NORTH OAK]", 10.0)</t>
  </si>
  <si>
    <t>Arasaka Tower Counterintel</t>
  </si>
  <si>
    <t>local loc = {x = -1431.73608, y = 175.0750885, z = 141.9965057}; Game.GetTeleportationFacility():Teleport(Game.GetPlayer(), Vector4.new(loc.x, loc.y, loc.z, 1), EulerAngles.new(0, 0, 0)) PreventionSystem.ShowMessage("Arasaka Tower Counterintel  [CITY CENTER - CORPO PLAZA]", 10.0)</t>
  </si>
  <si>
    <t>Arasaka Tower Exec Office</t>
  </si>
  <si>
    <t>local loc = {x = -1415.58630, y = 108.2116851, z = 142.0234069}; Game.GetTeleportationFacility():Teleport(Game.GetPlayer(), Vector4.new(loc.x, loc.y, loc.z, 1), EulerAngles.new(0, 0, 0)) PreventionSystem.ShowMessage("Arasaka Tower Exec Office  [CITY CENTER - CORPO PLAZA]", 10.0)</t>
  </si>
  <si>
    <t>Arasaka Tower Jungle</t>
  </si>
  <si>
    <t>local loc = {x = -1449.256470, y = 118.300171, z = 321.639038}; Game.GetTeleportationFacility():Teleport(Game.GetPlayer(), Vector4.new(loc.x, loc.y, loc.z, 1), EulerAngles.new(0, 0, 0)) PreventionSystem.ShowMessage("Arasaka Tower Jungle  [CITY CENTER - CORPO PLAZA]", 10.0)</t>
  </si>
  <si>
    <t>Arasaka Tower Server Level</t>
  </si>
  <si>
    <t>local loc = {x = -1427.063476, y = 181.7188110, z = 206.625991}; Game.GetTeleportationFacility():Teleport(Game.GetPlayer(), Vector4.new(loc.x, loc.y, loc.z, 1), EulerAngles.new(0, 0, 0)) PreventionSystem.ShowMessage("Arasaka Tower Server Level  [CITY CENTER - CORPO PLAZA]", 10.0)</t>
  </si>
  <si>
    <t>Arasaka Tower Temple</t>
  </si>
  <si>
    <t>local loc = {x = -1383.655518, y = 118.832474, z = 542.696289}; Game.GetTeleportationFacility():Teleport(Game.GetPlayer(), Vector4.new(loc.x, loc.y, loc.z, 1), EulerAngles.new(0, 0, 0)) PreventionSystem.ShowMessage("Arasaka Tower Temple  [CITY CENTER - CORPO PLAZA]", 10.0)</t>
  </si>
  <si>
    <t>Badlands Movie Site</t>
  </si>
  <si>
    <t>local loc = {x = 3492.3449707, y = 1171.157348, z = 138.113952}; Game.GetTeleportationFacility():Teleport(Game.GetPlayer(), Vector4.new(loc.x, loc.y, loc.z, 1), EulerAngles.new(0, 0, 0)) PreventionSystem.ShowMessage("Badlands Movie Site  [BADLANDS - ROCKY RIDGE]", 10.0)</t>
  </si>
  <si>
    <t>Badlands Tunnel Entrance</t>
  </si>
  <si>
    <t>local loc = {x = 185.345749, y = 2365.449707, z = 67.081177}; Game.GetTeleportationFacility():Teleport(Game.GetPlayer(), Vector4.new(loc.x, loc.y, loc.z, 1), EulerAngles.new(0, 0, 0)) PreventionSystem.ShowMessage("Badlands Tunnel Entrance  [WESTBROOK - NORTH OAK]", 10.0)</t>
  </si>
  <si>
    <t>Black Sapphire Casino  [ Phantom Liberty ]</t>
  </si>
  <si>
    <t>local loc = {x = -1887.639648, y = -2286.009033, z = 445.771881, rot = 0}; local name = 'BLACK SAPPHIRE CASINO  [PACIFICA - DOGTOWN]';  Game.GetTeleportationFacility():Teleport(Game.GetPlayer(), Vector4.new(loc.x, loc.y, loc.z, 1), EulerAngles.new(0, 0, loc.rot)) PreventionSystem.ShowMessage(name, 10.0)</t>
  </si>
  <si>
    <t>Embers [Restaurant]</t>
  </si>
  <si>
    <t>local loc = {x = -1798.728027, y = -522.037048, z = 74.2440643}; Game.GetTeleportationFacility():Teleport(Game.GetPlayer(), Vector4.new(loc.x, loc.y, loc.z, 1), EulerAngles.new(0, 0, 0)) PreventionSystem.ShowMessage("Embers [Restaurant]  [HEYWOOD - THE GLEN]", 10.0)</t>
  </si>
  <si>
    <t>Gutierez Apartment</t>
  </si>
  <si>
    <t>local loc = {x = 11.151092529, y = 21.74945068, z = 134.843887}; Game.GetTeleportationFacility():Teleport(Game.GetPlayer(), Vector4.new(loc.x, loc.y, loc.z, 1), EulerAngles.new(0, 0, 0)) PreventionSystem.ShowMessage("Gutierez Apartment  [WESTBROOK - CHARTER HILL]", 10.0)</t>
  </si>
  <si>
    <t>Joanne Koch Hotel Suite</t>
  </si>
  <si>
    <t>local loc = {x = -2154.804931, y = 461.6751708, z = 89.4671630}; Game.GetTeleportationFacility():Teleport(Game.GetPlayer(), Vector4.new(loc.x, loc.y, loc.z, 1), EulerAngles.new(0, 0, 0)) PreventionSystem.ShowMessage("Joanne Koch Hotel Suite  [CITY CENTER - DOWNTOWN]", 10.0)</t>
  </si>
  <si>
    <t>Johnny Interrogation Room</t>
  </si>
  <si>
    <t>local loc = {x = -1389.446533, y = 141.266556, z = -139.361572}; Game.GetTeleportationFacility():Teleport(Game.GetPlayer(), Vector4.new(loc.x, loc.y, loc.z, 1), EulerAngles.new(0, 0, 0)) PreventionSystem.ShowMessage("Johnny Interrogation Room  [CITY CENTER - CORPO PLAZA]", 10.0)</t>
  </si>
  <si>
    <t>Johnny's Apartment [Reaper Ending]</t>
  </si>
  <si>
    <t>local loc = {x = -2475.615478, y = -2437.458496, z = 17.587516}; Game.GetTeleportationFacility():Teleport(Game.GetPlayer(), Vector4.new(loc.x, loc.y, loc.z, 1), EulerAngles.new(0, 0, 0)) PreventionSystem.ShowMessage("Johnny's Apartment [Reaper Ending]  [PACIFICA - WEST WIND ESTATE]", 10.0)</t>
  </si>
  <si>
    <t>Konpeki Plaza Hotel Suite</t>
  </si>
  <si>
    <t>local loc = {x = -2202.186035, y = 1783.184204, z = 163.000000}; Game.GetTeleportationFacility():Teleport(Game.GetPlayer(), Vector4.new(loc.x, loc.y, loc.z, 1), EulerAngles.new(0, 0, 0)) PreventionSystem.ShowMessage("Konpeki Plaza Hotel Suite  [WATSON - ARASAKA WATERFRONT]", 10.0)</t>
  </si>
  <si>
    <t>Konpeki Plaza Pool</t>
  </si>
  <si>
    <t>local loc = {x = -2176.370849, y = 1784.473632, z = 275.0}; Game.GetTeleportationFacility():Teleport(Game.GetPlayer(), Vector4.new(loc.x, loc.y, loc.z, 1), EulerAngles.new(0, 0, 0)) PreventionSystem.ShowMessage("Konpeki Plaza Pool  [WATSON - ARASAKA WATERFRONT]", 10.0)</t>
  </si>
  <si>
    <t>Konpeki Plaza Yorinobu's Room</t>
  </si>
  <si>
    <t>local loc = {x = -2226.746582, y = 1767.182129, z = 308.000000}; Game.GetTeleportationFacility():Teleport(Game.GetPlayer(), Vector4.new(loc.x, loc.y, loc.z, 1), EulerAngles.new(0, 0, 0)) PreventionSystem.ShowMessage("Konpeki Plaza Yorinobu's Room  [WATSON - ARASAKA WATERFRONT]", 10.0)</t>
  </si>
  <si>
    <t>Megabuilding H 8 Top</t>
  </si>
  <si>
    <t>local loc = {x = -701.484680, y = 849.270264, z = 322.252228}; Game.GetTeleportationFacility():Teleport(Game.GetPlayer(), Vector4.new(loc.x, loc.y, loc.z, 1), EulerAngles.new(0, 0, 0)) PreventionSystem.ShowMessage("Megabuilding H 8 Top  [WESTBROOK - JAPANTOWN]", 10.0)</t>
  </si>
  <si>
    <t>Megabuilding H 10 Top</t>
  </si>
  <si>
    <t>local loc = {x = -1371.780029, y = 1340.888550, z = 311.471313}; Game.GetTeleportationFacility():Teleport(Game.GetPlayer(), Vector4.new(loc.x, loc.y, loc.z, 1), EulerAngles.new(0, 0, 0)) PreventionSystem.ShowMessage("Megabuilding H 10 Top  [WATSON - LITTLE CHINA]", 10.0)</t>
  </si>
  <si>
    <t>Ncpd Room</t>
  </si>
  <si>
    <t>local loc = {x = -1761.547729, y = -1010.821655, z = 94.300003}; Game.GetTeleportationFacility():Teleport(Game.GetPlayer(), Vector4.new(loc.x, loc.y, loc.z, 1), EulerAngles.new(0, 0, 0)) PreventionSystem.ShowMessage("NCPD Room  [HEYWOOD - THE GLEN]", 10.0)</t>
  </si>
  <si>
    <t>Peralez Apartment</t>
  </si>
  <si>
    <t>local loc = {x = -81.35485839, y = -121.200210, z = 119.157287}; Game.GetTeleportationFacility():Teleport(Game.GetPlayer(), Vector4.new(loc.x, loc.y, loc.z, 1), EulerAngles.new(0, 0, 0)) PreventionSystem.ShowMessage("Peralez Apartment  [WESTBROOK - CHARTER HILL]", 10.0)</t>
  </si>
  <si>
    <t>Saburo Arasaka Office</t>
  </si>
  <si>
    <t>local loc = {x = -1466.582885, y = 179.7639617, z = 594.373107}; Game.GetTeleportationFacility():Teleport(Game.GetPlayer(), Vector4.new(loc.x, loc.y, loc.z, 1), EulerAngles.new(0, 0, 0)) PreventionSystem.ShowMessage("Saburo Arasaka Office  [CITY CENTER - CORPO PLAZA]", 10.0)</t>
  </si>
  <si>
    <t>Side Job: "The Highwayman"  [ Open The Garage ]</t>
  </si>
  <si>
    <t>local loc = {x = 574.540000, y = -2214.950000, z = 34.900000}; Game.GetTeleportationFacility():Teleport(Game.GetPlayer(), Vector4.new(loc.x, loc.y, loc.z, 1), EulerAngles.new(0, 0, 0)) PreventionSystem.ShowMessage("SIDE JOB: \"THE HIGHWAYMAN\" [OPEN THE GARAGE AND LOOK AT THE PC/PICTURE]", 10.0)</t>
  </si>
  <si>
    <t>Side Job: "The Highwayman"  [ James Location ]</t>
  </si>
  <si>
    <t>local loc = {x = -867.264000, y = 1102.393000, z = 21.117000}; Game.GetTeleportationFacility():Teleport(Game.GetPlayer(), Vector4.new(loc.x, loc.y, loc.z, 1), EulerAngles.new(0, 0, 0)) PreventionSystem.ShowMessage("SIDE JOB: \"THE HIGHWAYMAN\" [JAMES LOCATION]", 10.0)</t>
  </si>
  <si>
    <t>Side Job: "The Highwayman"  [ Josie's Location ]</t>
  </si>
  <si>
    <t>local loc = {x = -1381.62800, y = -647.655000, z = 7.742700}; Game.GetTeleportationFacility():Teleport(Game.GetPlayer(), Vector4.new(loc.x, loc.y, loc.z, 1), EulerAngles.new(0, 0, 0)) PreventionSystem.ShowMessage("SIDE JOB: \"THE HIGHWAYMAN\" [JOSIE LOCATION]", 10.0)</t>
  </si>
  <si>
    <t>Side Job: "The Highwayman"  [ Garage Pin: 0214 ]</t>
  </si>
  <si>
    <t>local loc = {x = -721.562000, y = 2238.205000, z = 53.046000}; Game.GetTeleportationFacility():Teleport(Game.GetPlayer(), Vector4.new(loc.x, loc.y, loc.z, 1), EulerAngles.new(0, 0, 0)) PreventionSystem.ShowMessage("SIDE JOB: \"THE HIGHWAYMAN\" [STOLEN BIKE - GARAGE PIN: 0214]", 10.0)</t>
  </si>
  <si>
    <t>Tucker Albach's Apartment</t>
  </si>
  <si>
    <t>local loc = {x = -1681.287963, y = -987.1466064, z = 10.789474}; Game.GetTeleportationFacility():Teleport(Game.GetPlayer(), Vector4.new(loc.x, loc.y, loc.z, 1), EulerAngles.new(0, 0, 0)) PreventionSystem.ShowMessage("Tucker Albach's Apartment  [HEYWOOD - THE GLEN]", 10.0)</t>
  </si>
  <si>
    <t>Smasher's Ebunike Cabin</t>
  </si>
  <si>
    <t>local loc = {x = -1571.076538, y = 3112.1782226, z = 20.135002}; Game.GetTeleportationFacility():Teleport(Game.GetPlayer(), Vector4.new(loc.x, loc.y, loc.z, 1), EulerAngles.new(0, 0, 0)) PreventionSystem.ShowMessage("Smasher's Ebunike Cabin  [WATSON - NORTHSIDE]", 10.0)</t>
  </si>
  <si>
    <t>Vodoo Boys Subway</t>
  </si>
  <si>
    <t>local loc = {x = -1663.618774, y = -1867.443726, z = 54.990150}; Game.GetTeleportationFacility():Teleport(Game.GetPlayer(), Vector4.new(loc.x, loc.y, loc.z, 1), EulerAngles.new(0, 0, 0)) PreventionSystem.ShowMessage("Vodoo Boys Subway  [PACIFICA - COASTVIEW]", 10.0)</t>
  </si>
  <si>
    <r>
      <rPr>
        <rFont val="Syncopate"/>
        <b/>
        <color rgb="FFFFFFFF"/>
        <sz val="16.0"/>
      </rPr>
      <t xml:space="preserve">Progression Items </t>
    </r>
    <r>
      <rPr>
        <rFont val="Syncopate"/>
        <b/>
        <color rgb="FFFFFFFF"/>
        <sz val="10.0"/>
      </rPr>
      <t>v</t>
    </r>
    <r>
      <rPr>
        <rFont val="Syncopate"/>
        <b/>
        <color rgb="FFFFFFFF"/>
        <sz val="16.0"/>
      </rPr>
      <t>2.2</t>
    </r>
  </si>
  <si>
    <r>
      <rPr>
        <rFont val="Syncopate"/>
        <b/>
        <color rgb="FF666666"/>
        <sz val="12.0"/>
      </rPr>
      <t>Category/</t>
    </r>
    <r>
      <rPr>
        <rFont val="Syncopate"/>
        <b/>
        <color theme="1"/>
        <sz val="12.0"/>
      </rPr>
      <t>Name</t>
    </r>
  </si>
  <si>
    <t>Character</t>
  </si>
  <si>
    <t>Player Level Up</t>
  </si>
  <si>
    <t>ProfType = gamedataProficiencyType.Level DS = PlayerDevelopmentSystem.GetInstance(Game.GetPlayer()):GetDevelopmentData(Game.GetPlayer()); ExpAmount = DS:GetRemainingExpForLevelUp(ProfType); DS:AddExperience(ExpAmount, ProfType, telemetryLevelGainReason.Gameplay)</t>
  </si>
  <si>
    <t>Add 1 level to Player</t>
  </si>
  <si>
    <t>Street Cred Level Up</t>
  </si>
  <si>
    <t>ProfType = gamedataProficiencyType.StreetCred DS = PlayerDevelopmentSystem.GetInstance(Game.GetPlayer()):GetDevelopmentData(Game.GetPlayer()); ExpAmount = DS:GetRemainingExpForLevelUp(ProfType); DS:AddExperience(ExpAmount, ProfType, telemetryLevelGainReason.Gameplay)</t>
  </si>
  <si>
    <t>Add 1 level to Street Cred</t>
  </si>
  <si>
    <t>Attribute Shard Tier 4</t>
  </si>
  <si>
    <t>Game.AddToInventory("Items.AttributePointSkillbook", 1)</t>
  </si>
  <si>
    <t>Provides 1 Attribute Point</t>
  </si>
  <si>
    <t>Perk Shard Tier 5</t>
  </si>
  <si>
    <t>Game.AddToInventory("Items.PerkPointSkillbook", 1)</t>
  </si>
  <si>
    <t>Provides 1 Perk Point</t>
  </si>
  <si>
    <t>Carry Capacity Shard</t>
  </si>
  <si>
    <t>Game.AddToInventory("Items.AirdropPermaReward", 1)</t>
  </si>
  <si>
    <t>Permanently increases Carry Capacity 2</t>
  </si>
  <si>
    <t>Dendritic Protoplasma Supplier</t>
  </si>
  <si>
    <t>Game.AddToInventory("Items.PermanentMemoryRegenFood", 1)</t>
  </si>
  <si>
    <t>Permanently increases RAM regeneration by up to 1%</t>
  </si>
  <si>
    <t>Prototype Pseudoembryonic Cell Builder</t>
  </si>
  <si>
    <t>Game.AddToInventory("Items.PermanentHealthFood", 1)</t>
  </si>
  <si>
    <t>Permanently increases health by 2</t>
  </si>
  <si>
    <t>Military-Grade Lactic Acid Recyclers</t>
  </si>
  <si>
    <t>Game.AddToInventory("Items.PermanentStaminaRegenFood", 1)</t>
  </si>
  <si>
    <t>Permanently increases stamina regeneration by up to 1%</t>
  </si>
  <si>
    <t>Training Shard Tier 5 [PL]</t>
  </si>
  <si>
    <t>Game.AddToInventory("Items.Espionage_Skillbook", 1)</t>
  </si>
  <si>
    <t xml:space="preserve">Provides 1 Relic Point </t>
  </si>
  <si>
    <t>* Any amount higher than 1 will be stored in your inventory</t>
  </si>
  <si>
    <t>The first will be applied, the rest will be in your inventory</t>
  </si>
  <si>
    <t>Cyberware Capacity</t>
  </si>
  <si>
    <t>Cyberware Capacity Shard Tier 2</t>
  </si>
  <si>
    <t>Game.AddToInventory("Items.CWCapacityPermaReward_Uncommon", 1)</t>
  </si>
  <si>
    <t>Permanently increases Cyberware Capacity by 2</t>
  </si>
  <si>
    <t>Cyberware Capacity Shard Tier 3</t>
  </si>
  <si>
    <t>Game.AddToInventory("Items.CWCapacityPermaReward_Rare", 1)</t>
  </si>
  <si>
    <t>Permanently increases Cyberware Capacity by 3</t>
  </si>
  <si>
    <t>Cyberware Capacity Shard Tier 4</t>
  </si>
  <si>
    <t>Game.AddToInventory("Items.CWCapacityPermaReward_Epic", 1)</t>
  </si>
  <si>
    <t>Permanently increases Cyberware Capacity by 4</t>
  </si>
  <si>
    <t>Cyberware Capacity Shard Tier 5</t>
  </si>
  <si>
    <t>Game.AddToInventory("Items.CWCapacityPermaReward_Legendary", 1)</t>
  </si>
  <si>
    <t>Permanently increases Cyberware Capacity by 6</t>
  </si>
  <si>
    <t>Skills Experience</t>
  </si>
  <si>
    <t>Skill Shard: Headhunter</t>
  </si>
  <si>
    <t>Game.AddToInventory("Items.CoolSkill_Skillbook", 1)</t>
  </si>
  <si>
    <t>Gives XP for the Headhunter Skill.</t>
  </si>
  <si>
    <t>Skill Shard: Headhunter (Legendary)</t>
  </si>
  <si>
    <t>Game.AddToInventory("Items.CoolSkill_Skillbook_Legendary", 1)</t>
  </si>
  <si>
    <t>Gives More XP for the Headhunter Skill.</t>
  </si>
  <si>
    <t>Skill Shard: Headhunter (Iconic)</t>
  </si>
  <si>
    <t>Game.AddToInventory("Items.CoolSkillbook_Strong", 1)</t>
  </si>
  <si>
    <t>Give 5000 XP for the Headhunter Skill.</t>
  </si>
  <si>
    <t>Skill Shard: Netrunner</t>
  </si>
  <si>
    <t>Game.AddToInventory("Items.IntelligenceSkill_Skillbook", 1)</t>
  </si>
  <si>
    <t>Gives XP for the Netrunner Skill.</t>
  </si>
  <si>
    <t>Skill Shard: Netrunner (Legendary)</t>
  </si>
  <si>
    <t>Game.AddToInventory("Items.IntelligenceSkill_Skillbook_Legendary", 1)</t>
  </si>
  <si>
    <t>Gives More XP for the Netrunner Skill.</t>
  </si>
  <si>
    <t>Skill Shard: Netrunner  (Iconic)</t>
  </si>
  <si>
    <t>Game.AddToInventory("Items.IntelligenceSkillbook_Strong", 1)</t>
  </si>
  <si>
    <t>Give 5000 XP for the Netrunner Skill.</t>
  </si>
  <si>
    <t>Shinobi</t>
  </si>
  <si>
    <t>Skill Shard: Shinobi</t>
  </si>
  <si>
    <t>Game.AddToInventory("Items.ReflexesSkill_Skillbook", 1)</t>
  </si>
  <si>
    <t>Gives XP for the Shinobi Skill.</t>
  </si>
  <si>
    <t>Skill Shard: Shinobi (Legendary)</t>
  </si>
  <si>
    <t>Game.AddToInventory("Items.ReflexesSkill_Skillbook_Legendary", 1)</t>
  </si>
  <si>
    <t>Gives More XP for the Shinobi Skill.</t>
  </si>
  <si>
    <t>Skill Shard: Shinobi (Iconic)</t>
  </si>
  <si>
    <t>Game.AddToInventory("Items.ReflexSkillbook_Strong", 1)</t>
  </si>
  <si>
    <t>Give 5000 XP for the Shinobi Skill.</t>
  </si>
  <si>
    <t>Skill Shard: Solo</t>
  </si>
  <si>
    <t>Game.AddToInventory("Items.BodySkill_Skillbook", 1)</t>
  </si>
  <si>
    <t>Gives XP for the Solo Skill.</t>
  </si>
  <si>
    <t>Skill Shard: Solo (Legendary)</t>
  </si>
  <si>
    <t>Game.AddToInventory("Items.BodySkill_Skillbook_Legendary", 1)</t>
  </si>
  <si>
    <t>Gives More XP for the Solo Skill.</t>
  </si>
  <si>
    <t>Skill Shard: Solo (Iconic)</t>
  </si>
  <si>
    <t>Game.AddToInventory("Items.BodySkillbook_Strong", 1)</t>
  </si>
  <si>
    <t>Give 5000 XP for the Solo Skill.</t>
  </si>
  <si>
    <t>Engineer</t>
  </si>
  <si>
    <t>Skill Shard: Engineer</t>
  </si>
  <si>
    <t>Game.AddToInventory("Items.TechnicalAbilitySkill_Skillbook", 1)</t>
  </si>
  <si>
    <t>Gives XP for the Engineer Skill.</t>
  </si>
  <si>
    <t>Skill Shard: Engineer (Legendary)</t>
  </si>
  <si>
    <t>Game.AddToInventory("Items.TechnicalAbilitySkill_Skillbook_Legendary", 1)</t>
  </si>
  <si>
    <t>Gives More XP for the Engineer Skill.</t>
  </si>
  <si>
    <t>Skill Shard: Engineer (Iconic)</t>
  </si>
  <si>
    <t>Game.AddToInventory("Items.TechnicalSkillbook_Strong", 1)</t>
  </si>
  <si>
    <t>Give 5000 XP for the Engineer Skill.</t>
  </si>
  <si>
    <r>
      <rPr>
        <rFont val="Syncopate"/>
        <b/>
        <color rgb="FFFFFFFF"/>
        <sz val="16.0"/>
      </rPr>
      <t xml:space="preserve">Miscellaneous Commands </t>
    </r>
    <r>
      <rPr>
        <rFont val="Syncopate"/>
        <b/>
        <color rgb="FFFFFFFF"/>
        <sz val="10.0"/>
      </rPr>
      <t>v</t>
    </r>
    <r>
      <rPr>
        <rFont val="Syncopate"/>
        <b/>
        <color rgb="FFFFFFFF"/>
        <sz val="16.0"/>
      </rPr>
      <t>2.2</t>
    </r>
  </si>
  <si>
    <r>
      <rPr>
        <rFont val="Syncopate"/>
        <b/>
        <color rgb="FF666666"/>
        <sz val="12.0"/>
      </rPr>
      <t>Category/</t>
    </r>
    <r>
      <rPr>
        <rFont val="Syncopate"/>
        <b/>
        <color theme="1"/>
        <sz val="12.0"/>
      </rPr>
      <t>discription</t>
    </r>
  </si>
  <si>
    <t>Max Everything</t>
  </si>
  <si>
    <t>Max All Everything &amp; Gives All Perks</t>
  </si>
  <si>
    <t xml:space="preserve">maxEverything_AllPerks = function() local P = Game.GetPlayer(); local DS = PlayerDevelopmentSystem.GetInstance(P):GetDevelopmentData(P); local Levels = {'Level', 'StreetCred', 'CoolSkill', 'IntelligenceSkill', 'ReflexesSkill', 'StrengthSkill', 'TechnicalAbilitySkill'}; local Attributes = {'Strength', 'Reflexes', 'TechnicalAbility', 'Intelligence', 'Cool'}; local Stage_0 = {'Body_Central_Milestone_1', 'Cool_Central_Milestone_1', 'Intelligence_Central_Milestone_1', 'Reflexes_Central_Milestone_1', 'Tech_Central_Milestone_2'}; local Stage_1 = {'Body_Left_Milestone_2', 'Body_Right_Milestone_1', 'Body_Right_Milestone_2', 'Cool_Left_Milestone_1', 'Cool_Left_Milestone_2', 'Cool_Right_Milestone_1', 'Cool_Right_Milestone_2', 'Intelligence_Left_Milestone_1', 'Intelligence_Right_Milestone_1', 'Intelligence_Right_Milestone_2', 'Reflexes_Left_Milestone_1', 'Reflexes_Left_Milestone_2', 'Tech_Left_Milestone_1', 'Tech_Right_Milestone_1', 'Tech_Right_Milestone_3'}; local Stage_2 = {'Body_Central_Perk_1_3', 'Body_Right_Perk_2_4', 'Body_Left_Perk_2_1', 'Body_Right_Perk_2_3', 'Body_Central_Perk_1_2', 'Body_Left_Perk_2_3', 'Body_Central_Perk_1_4', 'Body_Right_Perk_2_1', 'Body_Right_Perk_2_2', 'Body_Left_Perk_2_4', 'Body_Central_Perk_1_1', 'Cool_Central_Perk_1_1', 'Cool_Central_Perk_1_2', 'Cool_Central_Perk_1_4', 'Cool_Left_Perk_2_1', 'Cool_Left_Perk_2_2', 'Cool_Left_Perk_2_3', 'Cool_Left_Perk_2_4', 'Cool_Right_Perk_1_1', 'Cool_Right_Perk_1_2', 'Cool_Right_Perk_2_1', 'Cool_Right_Perk_2_2', 'Cool_Right_Perk_2_3', 'Cool_Right_Perk_2_4', 'Intelligence_Central_Perk_1_1', 'Intelligence_Central_Perk_1_2', 'Intelligence_Central_Perk_1_3', 'Intelligence_Left_Perk_1_1', 'Intelligence_Left_Perk_1_2', 'Intelligence_Right_Perk_2_1', 'Intelligence_Right_Perk_2_2', 'Reflexes_Central_Perk_1_1', 'Reflexes_Central_Perk_1_2', 'Reflexes_Central_Perk_1_3', 'Reflexes_Central_Perk_1_4', 'Reflexes_Left_Perk_2_2', 'Reflexes_Left_Perk_2_3', 'Reflexes_Left_Perk_2_4', 'Tech_Central_Perk_2_1', 'Tech_Central_Perk_2_2', 'Tech_Central_Perk_2_3', 'Tech_Central_Perk_2_4', 'Tech_Left_Perk_1_1', 'Tech_Left_Perk_1_2', 'Tech_Right_Perk_3_1', 'Tech_Right_Perk_3_2', 'Tech_Right_Perk_3_3', 'Tech_Right_Perk_3_4'}; local Stage_3 = {'Body_Central_Milestone_3', 'Body_Right_Milestone_3', 'Body_Left_Milestone_3', 'Cool_Central_Milestone_3', 'Cool_Left_Milestone_3', 'Cool_Right_Milestone_3', 'Intelligence_Central_Milestone_2', 'Intelligence_Left_Milestone_2', 'Intelligence_Right_Milestone_3', 'Reflexes_Central_Milestone_2', 'Reflexes_Left_Milestone_3', 'Reflexes_Right_Milestone_2', 'Tech_Central_Milestone_3', 'Tech_Inbetween_Right_2', 'Tech_Left_Milestone_2', 'Tech_Master_Perk_5'}; local Stage_4 = {'Body_Right_Perk_3_2', 'Body_Central_Perk_3_1', 'Body_Left_Perk_3_4', 'Body_Left_Perk_3_3', 'Body_Right_Perk_3_1', 'Body_Central_Perk_3_2', 'Body_Left_Perk_3_1', 'Body_Left_Perk_3_2', 'Body_Central_Perk_3_4', 'Cool_Central_Perk_3_1', 'Cool_Central_Perk_3_2', 'Cool_Central_Perk_3_4', 'Cool_Inbetween_Left_2', 'Cool_Left_Perk_3_1', 'Cool_Left_Perk_3_2', 'Cool_Left_Perk_3_3', 'Cool_Left_Perk_3_4', 'Cool_Right_Perk_3_1', 'Cool_Right_Perk_3_2', 'Cool_Right_Perk_3_4', 'Intelligence_Central_Perk_2_1', 'Intelligence_Central_Perk_2_2', 'Intelligence_Central_Perk_2_3', 'Intelligence_Central_Perk_2_4', 'Intelligence_Left_Perk_2_1', 'Intelligence_Left_Perk_2_2', 'Intelligence_Left_Perk_2_4', 'Intelligence_Right_Perk_3_1', 'Intelligence_Right_Perk_3_2', 'Reflexes_Central_Perk_2_1', 'Reflexes_Central_Perk_2_2', 'Reflexes_Central_Perk_2_3', 'Reflexes_Central_Perk_2_4', 'Reflexes_Left_Perk_3_1', 'Reflexes_Left_Perk_3_2', 'Reflexes_Left_Perk_3_3', 'Reflexes_Left_Perk_3_4', 'Reflexes_Right_Perk_2_1', 'Reflexes_Right_Perk_2_2', 'Tech_Central_Perk_3_1', 'Tech_Central_Perk_3_2', 'Tech_Central_Perk_3_3', 'Tech_Central_Perk_3_4', 'Tech_Left_Perk_2_1', 'Tech_Left_Perk_2_2', 'Tech_Left_Perk_2_3', 'Tech_Left_Perk_2_4'}; local Stage_5 = {'Body_Master_Perk_5', 'Body_Master_Perk_2', 'Body_Master_Perk_3', 'Body_Master_Perk_1', 'Cool_Master_Perk_1', 'Cool_Master_Perk_2', 'Cool_Master_Perk_4', 'Intelligence_Central_Milestone_3', 'Intelligence_Left_Milestone_3', 'Reflexes_Central_Milestone_3', 'Reflexes_Master_Perk_1', 'Reflexes_Master_Perk_2', 'Reflexes_Right_Milestone_3', 'Tech_Left_Milestone_3', 'Tech_Master_Perk_3'}; local Stage_6 = {'Body_Inbetween_Left_3', 'Body_Inbetween_Right_3', 'Cool_Inbetween_Left_3', 'Cool_Inbetween_Right_3', 'Intelligence_Central_Perk_3_1', 'Intelligence_Central_Perk_3_2', 'Intelligence_Central_Perk_3_3', 'Intelligence_Inbetween_Left_2', 'Intelligence_Inbetween_Right_2', 'Intelligence_Left_Perk_2_3', 'Intelligence_Left_Perk_3_1', 'Intelligence_Left_Perk_3_2', 'Intelligence_Left_Perk_3_4', 'Reflexes_Central_Perk_3_2', 'Reflexes_Central_Perk_3_3', 'Reflexes_Inbetween_Right_2', 'Reflexes_Right_Perk_2_3', 'Reflexes_Right_Perk_3_1', 'Reflexes_Right_Perk_3_3', 'Reflexes_Right_Perk_3_4', 'Tech_Left_Perk_3_01', 'Tech_Left_Perk_3_2', 'Tech_Left_Perk_3_3', 'Tech_Left_Perk_3_4'}; local Stage_7 = {'Intelligence_Master_Perk_1', 'Intelligence_Master_Perk_3', 'Intelligence_Master_Perk_4', 'Reflexes_Inbetween_Left_3', 'Reflexes_Master_Perk_3', 'Reflexes_Master_Perk_5', 'Tech_Master_Perk_2'}; local Stage_8 = {'Intelligence_Inbetween_Left_3', 'Tech_Inbetween_Left_3'}; local function setLevelsAndPoints() for i, lev in next, Levels do DS:SetLevel(gamedataProficiencyType[lev], 60, telemetryLevelGainReason.Gameplay) end for i, att in next, Attributes do DS:SetAttribute(gamedataStatType[att], 20) end DS:AddDevelopmentPoints(222, gamedataDevelopmentPointType.Primary) end local function buyPerkStage(perkStage) for i, perk in next, perkStage do DS:UnlockNewPerk(gamedataNewPerkType[perk]) end for i, perk in next, perkStage do local perkMulti = DS:GetNewPerkMaxLevel(perk); if DS:CanNewPerkBeBought(gamedataNewPerkType[perk], false, false) then for i=1, perkMulti do DS:BuyNewPerk(gamedataNewPerkType[perk], false) end end DS:RefreshPerkAreas() end DS:RefreshPerkAreas() end local function buyAllPerkStages() for i, stage in next, {Stage_0, Stage_1, Stage_2, Stage_3, Stage_4, Stage_5, Stage_6, Stage_7, Stage_8} do buyPerkStage(stage) end end setLevelsAndPoints() buyAllPerkStages() print(' \n\tMAXED :\n\t- PLAYER LEVEL\n\t- STREET CRED LEVEL\n\t- ATTRIBUTES LEVEL\n\t- SKILLS LEVEL\n\t- ALL PERKS ADDED\n \n\t[ END ]  Use "REMOVE ALL UNSPENT POINTS" to remove remaining points.\n ') end maxEverything_AllPerks() </t>
  </si>
  <si>
    <t>Max All Everything</t>
  </si>
  <si>
    <t xml:space="preserve">maxEverything = function() local LvL = 60; local AttrLvL = 20; local DS = PlayerDevelopmentSystem.GetInstance(Game.GetPlayer()):GetDevelopmentData(Game.GetPlayer()); for i, lev in next, {'Level', 'StreetCred', 'CoolSkill', 'IntelligenceSkill', 'ReflexesSkill', 'StrengthSkill', 'TechnicalAbilitySkill'} do DS:SetLevel(gamedataProficiencyType[lev], LvL, telemetryLevelGainReason.Gameplay) end for i, attr in next, {'Strength', 'Reflexes', 'TechnicalAbility', 'Intelligence', 'Cool'} do DS:SetAttribute(gamedataStatType[attr], AttrLvL) end print(' \n\tMAXED :\n\t- PLAYER LEVEL\n\t- STREET CRED LEVEL\n\t- ATTRIBUTES LEVEL\n\t- SKILLS LEVEL\n ') end maxEverything() </t>
  </si>
  <si>
    <t>Max Level &amp; Street Cred</t>
  </si>
  <si>
    <t xml:space="preserve">DS = PlayerDevelopmentSystem.GetInstance(Game.GetPlayer()):GetDevelopmentData(Game.GetPlayer()); for i, v in next, {'Level', 'StreetCred'} do DS:SetLevel(gamedataProficiencyType[v], 60, telemetryLevelGainReason.Gameplay) end print(" \n\tMAXED:\n\t- PLAYER LEVEL\n\t- STREET CRED LEVEL\n ") </t>
  </si>
  <si>
    <t>Max All Attributes</t>
  </si>
  <si>
    <t xml:space="preserve">DS = PlayerDevelopmentSystem.GetInstance(Game.GetPlayer()):GetDevelopmentData(Game.GetPlayer()); for i, v in next, {'Strength', 'Reflexes', 'TechnicalAbility', 'Intelligence', 'Cool'} do DS:SetAttribute(gamedataStatType[v], 20) end print(" \n\tMAXED:\n\t- BODY LEVEL\n\t- REFLEXES LEVEL\n\t- TECHNICAL ABILITY LEVEL\n\t- INTELLIGENCE LEVEL\n\t- COOL LEVEL\n ") </t>
  </si>
  <si>
    <t>Max All Skill Levels</t>
  </si>
  <si>
    <t xml:space="preserve">DS = PlayerDevelopmentSystem.GetInstance(Game.GetPlayer()):GetDevelopmentData(Game.GetPlayer()); for i, v in next, {'CoolSkill', 'IntelligenceSkill', 'ReflexesSkill', 'StrengthSkill', 'TechnicalAbilitySkill'} do DS:SetLevel(gamedataProficiencyType[v], 60, telemetryLevelGainReason.Gameplay) end print(" \n\tMAXED:\n\t- HEADHUNTER LEVEL\n\t- NETRUNNER LEVEL\n\t- SHINOBI LEVEL\n\t- SOLO LEVEL\n\t- ENGINEER LEVEL\n ") </t>
  </si>
  <si>
    <t>Max All Perks</t>
  </si>
  <si>
    <t xml:space="preserve">maxAllPerks = function() local P = Game.GetPlayer(); local DS = PlayerDevelopmentSystem.GetInstance(P):GetDevelopmentData(P); local Attributes = {'Strength', 'Reflexes', 'TechnicalAbility', 'Intelligence', 'Cool'}; local Stage_0 = {'Body_Central_Milestone_1', 'Cool_Central_Milestone_1', 'Intelligence_Central_Milestone_1', 'Reflexes_Central_Milestone_1', 'Tech_Central_Milestone_2'}; local Stage_1 = {'Body_Left_Milestone_2', 'Body_Right_Milestone_1', 'Body_Right_Milestone_2', 'Cool_Left_Milestone_1', 'Cool_Left_Milestone_2', 'Cool_Right_Milestone_1', 'Cool_Right_Milestone_2', 'Intelligence_Left_Milestone_1', 'Intelligence_Right_Milestone_1', 'Intelligence_Right_Milestone_2', 'Reflexes_Left_Milestone_1', 'Reflexes_Left_Milestone_2', 'Tech_Left_Milestone_1', 'Tech_Right_Milestone_1', 'Tech_Right_Milestone_3'}; local Stage_2 = {'Body_Central_Perk_1_3', 'Body_Right_Perk_2_4', 'Body_Left_Perk_2_1', 'Body_Right_Perk_2_3', 'Body_Central_Perk_1_2', 'Body_Left_Perk_2_3', 'Body_Central_Perk_1_4', 'Body_Right_Perk_2_1', 'Body_Right_Perk_2_2', 'Body_Left_Perk_2_4', 'Body_Central_Perk_1_1', 'Cool_Central_Perk_1_1', 'Cool_Central_Perk_1_2', 'Cool_Central_Perk_1_4', 'Cool_Left_Perk_2_1', 'Cool_Left_Perk_2_2', 'Cool_Left_Perk_2_3', 'Cool_Left_Perk_2_4', 'Cool_Right_Perk_1_1', 'Cool_Right_Perk_1_2', 'Cool_Right_Perk_2_1', 'Cool_Right_Perk_2_2', 'Cool_Right_Perk_2_3', 'Cool_Right_Perk_2_4', 'Intelligence_Central_Perk_1_1', 'Intelligence_Central_Perk_1_2', 'Intelligence_Central_Perk_1_3', 'Intelligence_Left_Perk_1_1', 'Intelligence_Left_Perk_1_2', 'Intelligence_Right_Perk_2_1', 'Intelligence_Right_Perk_2_2', 'Reflexes_Central_Perk_1_1', 'Reflexes_Central_Perk_1_2', 'Reflexes_Central_Perk_1_3', 'Reflexes_Central_Perk_1_4', 'Reflexes_Left_Perk_2_2', 'Reflexes_Left_Perk_2_3', 'Reflexes_Left_Perk_2_4', 'Tech_Central_Perk_2_1', 'Tech_Central_Perk_2_2', 'Tech_Central_Perk_2_3', 'Tech_Central_Perk_2_4', 'Tech_Left_Perk_1_1', 'Tech_Left_Perk_1_2', 'Tech_Right_Perk_3_1', 'Tech_Right_Perk_3_2', 'Tech_Right_Perk_3_3', 'Tech_Right_Perk_3_4'}; local Stage_3 = {'Body_Central_Milestone_3', 'Body_Right_Milestone_3', 'Body_Left_Milestone_3', 'Cool_Central_Milestone_3', 'Cool_Left_Milestone_3', 'Cool_Right_Milestone_3', 'Intelligence_Central_Milestone_2', 'Intelligence_Left_Milestone_2', 'Intelligence_Right_Milestone_3', 'Reflexes_Central_Milestone_2', 'Reflexes_Left_Milestone_3', 'Reflexes_Right_Milestone_2', 'Tech_Central_Milestone_3', 'Tech_Inbetween_Right_2', 'Tech_Left_Milestone_2', 'Tech_Master_Perk_5'}; local Stage_4 = {'Body_Right_Perk_3_2', 'Body_Central_Perk_3_1', 'Body_Left_Perk_3_4', 'Body_Left_Perk_3_3', 'Body_Right_Perk_3_1', 'Body_Central_Perk_3_2', 'Body_Left_Perk_3_1', 'Body_Left_Perk_3_2', 'Body_Central_Perk_3_4', 'Cool_Central_Perk_3_1', 'Cool_Central_Perk_3_2', 'Cool_Central_Perk_3_4', 'Cool_Inbetween_Left_2', 'Cool_Left_Perk_3_1', 'Cool_Left_Perk_3_2', 'Cool_Left_Perk_3_3', 'Cool_Left_Perk_3_4', 'Cool_Right_Perk_3_1', 'Cool_Right_Perk_3_2', 'Cool_Right_Perk_3_4', 'Intelligence_Central_Perk_2_1', 'Intelligence_Central_Perk_2_2', 'Intelligence_Central_Perk_2_3', 'Intelligence_Central_Perk_2_4', 'Intelligence_Left_Perk_2_1', 'Intelligence_Left_Perk_2_2', 'Intelligence_Left_Perk_2_4', 'Intelligence_Right_Perk_3_1', 'Intelligence_Right_Perk_3_2', 'Reflexes_Central_Perk_2_1', 'Reflexes_Central_Perk_2_2', 'Reflexes_Central_Perk_2_3', 'Reflexes_Central_Perk_2_4', 'Reflexes_Left_Perk_3_1', 'Reflexes_Left_Perk_3_2', 'Reflexes_Left_Perk_3_3', 'Reflexes_Left_Perk_3_4', 'Reflexes_Right_Perk_2_1', 'Reflexes_Right_Perk_2_2', 'Tech_Central_Perk_3_1', 'Tech_Central_Perk_3_2', 'Tech_Central_Perk_3_3', 'Tech_Central_Perk_3_4', 'Tech_Left_Perk_2_1', 'Tech_Left_Perk_2_2', 'Tech_Left_Perk_2_3', 'Tech_Left_Perk_2_4'}; local Stage_5 = {'Body_Master_Perk_5', 'Body_Master_Perk_2', 'Body_Master_Perk_3', 'Body_Master_Perk_1', 'Cool_Master_Perk_1', 'Cool_Master_Perk_2', 'Cool_Master_Perk_4', 'Intelligence_Central_Milestone_3', 'Intelligence_Left_Milestone_3', 'Reflexes_Central_Milestone_3', 'Reflexes_Master_Perk_1', 'Reflexes_Master_Perk_2', 'Reflexes_Right_Milestone_3', 'Tech_Left_Milestone_3', 'Tech_Master_Perk_3'}; local Stage_6 = {'Body_Inbetween_Left_3', 'Body_Inbetween_Right_3', 'Cool_Inbetween_Left_3', 'Cool_Inbetween_Right_3', 'Intelligence_Central_Perk_3_1', 'Intelligence_Central_Perk_3_2', 'Intelligence_Central_Perk_3_3', 'Intelligence_Inbetween_Left_2', 'Intelligence_Inbetween_Right_2', 'Intelligence_Left_Perk_2_3', 'Intelligence_Left_Perk_3_1', 'Intelligence_Left_Perk_3_2', 'Intelligence_Left_Perk_3_4', 'Reflexes_Central_Perk_3_2', 'Reflexes_Central_Perk_3_3', 'Reflexes_Inbetween_Right_2', 'Reflexes_Right_Perk_2_3', 'Reflexes_Right_Perk_3_1', 'Reflexes_Right_Perk_3_3', 'Reflexes_Right_Perk_3_4', 'Tech_Left_Perk_3_01', 'Tech_Left_Perk_3_2', 'Tech_Left_Perk_3_3', 'Tech_Left_Perk_3_4'}; local Stage_7 = {'Intelligence_Master_Perk_1', 'Intelligence_Master_Perk_3', 'Intelligence_Master_Perk_4', 'Reflexes_Inbetween_Left_3', 'Reflexes_Master_Perk_3', 'Reflexes_Master_Perk_5', 'Tech_Master_Perk_2'}; local Stage_8 = {'Intelligence_Inbetween_Left_3', 'Tech_Inbetween_Left_3'}; local function setAttrsAndPoints() for i, att in next, Attributes do DS:SetAttribute(gamedataStatType[att], 20) end DS:AddDevelopmentPoints(222, gamedataDevelopmentPointType.Primary) end local function buyPerkStage(perkStage) for i, perk in next, perkStage do DS:UnlockNewPerk(gamedataNewPerkType[perk]) end for i, perk in next, perkStage do local perkMulti = DS:GetNewPerkMaxLevel(perk); if DS:CanNewPerkBeBought(gamedataNewPerkType[perk], false, false) then for i=1, perkMulti do DS:BuyNewPerk(gamedataNewPerkType[perk], false) end end DS:RefreshPerkAreas() end DS:RefreshPerkAreas() end local function buyAllPerkStages() for i, stage in next, {Stage_0, Stage_1, Stage_2, Stage_3, Stage_4, Stage_5, Stage_6, Stage_7, Stage_8} do buyPerkStage(stage) end end setAttrsAndPoints() buyAllPerkStages() print('  \n\tACTIVATED :\n\t- ALL BODY PERKS\n\t- ALL REFLEXES PERKS\n\t- ALL TECHNICAL ABILITY PERKS\n\t- ALL INTELLIGENCE PERKS\n\t- ALL COOL PERKS\n \n\t[ END ]  Use "REMOVE ALL UNSPENT POINTS" to remove remaining points.\n ') end maxAllPerks() </t>
  </si>
  <si>
    <t>Max Cyberware Capacity</t>
  </si>
  <si>
    <t>StatType = 'Humanity'; PID = Game.GetPlayer():GetEntityID(); SS = Game.GetStatsSystem(); StatValue = 450;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</si>
  <si>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Remove ...</t>
  </si>
  <si>
    <t>Reset All Progress</t>
  </si>
  <si>
    <t xml:space="preserve">function resetAllProgress() local LvL = 1; local resetPoints = 3; local DS = PlayerDevelopmentSystem.GetInstance(Game.GetPlayer()):GetDevelopmentData(Game.GetPlayer()); for i, v in next, {'Level', 'StreetCred', 'CoolSkill', 'IntelligenceSkill', 'ReflexesSkill', 'StrengthSkill', 'TechnicalAbilitySkill'} do DS:SetLevel(gamedataProficiencyType[v], LvL, telemetryLevelGainReason.Gameplay) end for i,v in next, {'Strength', 'Reflexes', 'TechnicalAbility', 'Intelligence', 'Cool' } do DS:SetAttribute(gamedataStatType[v], LvL) end DS:ClearAllDevPoints() for i,v in next, {'Attribute', 'Primary'} do DS:AddDevelopmentPoints(resetPoints, gamedataDevelopmentPointType[v]) end DS:ResetNewPerks() DS:RefreshPerkAreas() print(" \n\tRESETTED :\n\t- PLAYER LEVEL\n\t- STREET CRED LEVEL\n\t- ATTRIBUTES LEVEL\n\t- SKILLS LEVEL\n\t- ALL PERKS REMOVED\n ") end resetAllProgress() --also DS:RefreshDevelopmentSystem() but removes items &amp; cw </t>
  </si>
  <si>
    <t>Remove &amp; Rest All Perks</t>
  </si>
  <si>
    <t xml:space="preserve">resetPerks = function() DS = PlayerDevelopmentSystem.GetInstance(Game.GetPlayer()):GetDevelopmentData(Game.GetPlayer()); DS:ResetNewPerks() DS:RefreshPerkAreas() end resetPerks() print(" \n\tREMOVED:\n\t- ALL BODY PERKS\n\t- ALL REFLEXES PERKS\n\t- ALL TECHNICAL ABILITY PERKS\n\t- ALL INTELLIGENCE PERKS\n\t- ALL COOL PERKS\n ") --records = TweakDB:GetRecords('gamedataNewPerk_Record') do for _, record in ipairs(records) do ID = record:GetID() for i=1,5 do DS:ForceSellNewPerk(gamedataNewPerkType.ID) end end end </t>
  </si>
  <si>
    <t>Remove All Unspent Points</t>
  </si>
  <si>
    <t xml:space="preserve">DS = PlayerDevelopmentSystem.GetInstance(Game.GetPlayer()):GetDevelopmentData(Game.GetPlayer()); for i, v in next, {gamedataDevelopmentPointType.Primary, gamedataDevelopmentPointType.Attribute, gamedataDevelopmentPointType.Espionage} do CurrAttPoints = DS:GetDevPoints(v) DS:AddDevelopmentPoints(-CurrAttPoints, v) end print(" \n\t- ALL UNSPENT POINTS REMOVED !\n ")  --also DS:ClearAllDevPoints() </t>
  </si>
  <si>
    <t>Remove Unspent Attribute Points</t>
  </si>
  <si>
    <t>DS = PlayerDevelopmentSystem.GetInstance(Game.GetPlayer()):GetDevelopmentData(Game.GetPlayer()); PointType = gamedataDevelopmentPointType.Attribute; CurrAttPoints = DS:GetDevPoints(PointType) DS:AddDevelopmentPoints(-CurrAttPoints, PointType)  print(" \n\t- ALL UNSPENT ATTRIBUTE POINTS REMOVED !\n ")</t>
  </si>
  <si>
    <t>Remove Unspent Perk Points</t>
  </si>
  <si>
    <t>DS = PlayerDevelopmentSystem.GetInstance(Game.GetPlayer()):GetDevelopmentData(Game.GetPlayer()); PointType = gamedataDevelopmentPointType.Primary; CurrAttPoints = DS:GetDevPoints(PointType) DS:AddDevelopmentPoints(-CurrAttPoints, PointType) print(" \n\t- ALL UNSPENT PERK POINTS REMOVED !\n ")</t>
  </si>
  <si>
    <t>Remove Unspent Relic Points</t>
  </si>
  <si>
    <t>DS = PlayerDevelopmentSystem.GetInstance(Game.GetPlayer()):GetDevelopmentData(Game.GetPlayer()); PointType = gamedataDevelopmentPointType.Espionage; CurrAttPoints = DS:GetDevPoints(PointType) DS:AddDevelopmentPoints(-CurrAttPoints, PointType) print(" \n\t- ALL UNSPENT RELIC POINTS REMOVED !\n ")</t>
  </si>
  <si>
    <t>Attributes</t>
  </si>
  <si>
    <t>Reset Attributes*</t>
  </si>
  <si>
    <t>PlayerDevelopmentSystem.GetInstance(Game.GetPlayer()):GetDevelopmentData(Game.GetPlayer()):ResetAttributes();</t>
  </si>
  <si>
    <t>*Use Remove Unspent Attribute Points first</t>
  </si>
  <si>
    <t>Perks</t>
  </si>
  <si>
    <t>Remove All Perks</t>
  </si>
  <si>
    <t>Relic</t>
  </si>
  <si>
    <t>Unlock Relic Skill Tree</t>
  </si>
  <si>
    <t xml:space="preserve">local check, tree = 'RelicDevelopmentData', 'ep1_tree_unlocked'; local QS = Game.GetQuestsSystem(); if QS:GetFactStr(check) == 0 then print(' \n\t[ SCRIPT ABORTED ]  Game Version :  '..gameGameVersion.Current.value..'\n ') print('\tApparently PHANTOM LIBERTY DLC does not appear to be installed.\n\tIf this is not true, please leave feedback on the mod page.\n ') return else if QS:GetFactStr(tree) == 0 then QS:SetFactStr(tree, 1) print(' \n\tRELIC SKILL TREE UNLOCKED.\n\tEXIT &amp; RE-ENTER THE MENU TO SEE THE CHANGES.\n ') else print(' \n\tRELIC SKILL TREE ALREADY UNLOCKED.\n ') end end </t>
  </si>
  <si>
    <t>Health 999999</t>
  </si>
  <si>
    <t>StatValue = 999999; StatType = 'Health'; PID = Game.GetPlayer():GetEntityID(); SS = Game.GetStatsSystem();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</si>
  <si>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Stamina 999999</t>
  </si>
  <si>
    <t>StatValue = 999999; StatType = 'Stamina'; PID = Game.GetPlayer():GetEntityID(); SS = Game.GetStatsSystem();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</si>
  <si>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Oxygen 999999</t>
  </si>
  <si>
    <t>StatValue = 999999; StatType = 'Oxygen'; PID = Game.GetPlayer():GetEntityID(); SS = Game.GetStatsSystem();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</si>
  <si>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Carry Weight 999999</t>
  </si>
  <si>
    <t>StatValue = 999999; StatType = 'CarryCapacity'; PID = Game.GetPlayer():GetEntityID(); SS = Game.GetStatsSystem();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</si>
  <si>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Armor 999999</t>
  </si>
  <si>
    <t>StatValue = 999999; StatType = 'Armor'; PID = Game.GetPlayer():GetEntityID(); SS = Game.GetStatsSystem();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t>
  </si>
  <si>
    <t>Toggle Modes</t>
  </si>
  <si>
    <t>Toggle - God Mode</t>
  </si>
  <si>
    <t>ModStatPl = function(ID, value) Game.GetStatsSystem():AddModifier(Game.GetPlayer():GetEntityID(), RPGManager.CreateStatModifier(ID, gameStatModifierType.Additive, value)) end ApplStatEff = function(effect) Game.GetStatusEffectSystem():ApplyStatusEffect(Game.GetPlayer():GetEntityID(), effect) end RemoStatEff = function(effect) Game.GetStatusEffectSystem():RemoveStatusEffect(Game.GetPlayer():GetEntityID(), effect) end if Game.GetStatusEffectSystem():HasStatusEffect(Game.GetPlayer():GetEntityID(), "BaseStatusEffect.Invulnerable") == false then ApplStatEff("BaseStatusEffect.Invulnerable") ApplStatEff("GameplayRestriction.InfiniteAmmo") ModStatPl("Stamina", 90000) print(" [ GOD MODE TOGGLE ]") print(" - NO DAMAGE TAKEN: ON") print(" - INFINITE AMMO: ON") print(" - INFINITE STAMINA: ON") else RemoStatEff("BaseStatusEffect.Invulnerable") RemoStatEff("GameplayRestriction.InfiniteAmmo") ModStatPl("Stamina", -90000) print(" [ GOD MODE TOGGLE ]") print(" - NO DAMAGE TAKEN: OFF") print(" - INFINITE AMMO: OFF") print(" - INFINITE STAMINA: OFF") end</t>
  </si>
  <si>
    <t>*No Damage  +  Infinate Ammo  +  Infinate Stamina</t>
  </si>
  <si>
    <t>Toggle - Infinite Stamina</t>
  </si>
  <si>
    <t>stat = "Stamina"; ModStatPlayer = function(ID, value) Game.GetStatsSystem():AddModifier(Game.GetPlayer():GetEntityID(), RPGManager.CreateStatModifier(ID, gameStatModifierType.Additive, value)) end if Game.GetStatsSystem():GetStatValue(GetPlayer():GetEntityID(), stat) &lt;= 5000 then ModStatPlayer(stat, 90000) print(" - INFINITE STAMINA: ON") else ModStatPlayer(stat, -90000) print(" - INFINITE STAMINA: OFF") end</t>
  </si>
  <si>
    <t>Toggle - Infinite Ammo</t>
  </si>
  <si>
    <t>ApplStatEff = function(effect) Game.GetStatusEffectSystem():ApplyStatusEffect(Game.GetPlayer():GetEntityID(), effect) end RemoStatEff = function(effect) Game.GetStatusEffectSystem():RemoveStatusEffect(Game.GetPlayer():GetEntityID(), effect) end if Game.GetStatusEffectSystem():HasStatusEffect(Game.GetPlayer():GetEntityID(), "GameplayRestriction.InfiniteAmmo") == false then ApplStatEff("GameplayRestriction.InfiniteAmmo") print(" - INFINITE AMMO: ON") else RemoStatEff("GameplayRestriction.InfiniteAmmo") print(" - INFINITE AMMO: OFF") end</t>
  </si>
  <si>
    <t>Toggle - Infinite Jumps</t>
  </si>
  <si>
    <t>function infiniteJumpsToggle() local function hasTendonsCW() local howTo = '\t-  YOU NEED TO HAVE ANY TIER OF  "Reinforced Tendons"  EQUIPPED IN THE LEGS CW  ( double jump CW legs ).\n\t-  EQUIP THEM FIRST, THEN RE-ENTER THE COMMAND.\n '; local P = Game.GetPlayer(); local SSC = Game.GetScriptableSystemsContainer(); local TS = Game.GetTransactionSystem(); local ES = SSC:Get('EquipmentSystem'); local PD = ES:GetPlayerData(P); local ID = PD:GetItemInEquipSlot(gamedataEquipmentArea['LegsCW'], 0); if ID.tdbid.hash == 0 then print(' \n\t**  SCRIPT ABORTED  **   YOU HAVE NO CYBERWARE IN THE LEGS CW SLOT.') print(howTo) return false else local itemdata = TS:GetItemData(P, ID); local TwID = TDBID.ToStringDEBUG(itemdata:GetID().id); if string.find(TwID, 'BoostedTendons') then return true else print(' \n\t**  SCRIPT ABORTED  **') print(howTo) return false end end end local function alert(msg) PreventionSystem.ShowMessage(msg, 8.0) end local function get(rec) local val = TweakDB:GetFlat(rec) return val end; local function set(rec, v) TweakDB:SetFlat(rec, v) end; local newMultiJumps = 5000; local multiJumpFlats = { {flat = 'playerStateMachineBaseLocomotion.locomotionAir.numberOfMultiJumps', def = 1}, {flat = 'playerStateMachineBaseLocomotionTakedown.grappleAir.numberOfMultiJumps', def = 1}, {flat = 'playerStateMachineBaseLocomotionTier3.locomotionAirTier3.numberOfMultiJumps', def = 1}, {flat = 'playerStateMachineBaseLocomotionTier4.locomotionAirTier4.numberOfMultiJumps', def = 1}, {flat = 'playerStateMachineBaseLocomotionTier5.locomotionAirTier5.numberOfMultiJumps', def = 1}, {flat = 'playerStateMachineLocomotion.airHover.numberOfMultiJumps', def = 1}, {flat = 'playerStateMachineLocomotion.airThrusters.numberOfMultiJumps', def = 1}, {flat = 'playerStateMachineLocomotion.bodySlamJump.numberOfMultiJumps', def = 1}, {flat = 'playerStateMachineLocomotion.chargeJump.numberOfMultiJumps', def = 1}, {flat = 'playerStateMachineLocomotion.coolExitJump.numberOfMultiJumps', def = 1}, {flat = 'playerStateMachineLocomotion.dodgeAir.numberOfMultiJumps', def = 1}, {flat = 'playerStateMachineLocomotion.fall.numberOfMultiJumps', def = 1}, {flat = 'playerStateMachineLocomotion.hoverJump.numberOfMultiJumps', def = 1}, {flat = 'playerStateMachineLocomotion.doubleJump.numberOfMultiJumps', def = 1}, {flat = 'playerStateMachineLocomotion.jump.numberOfMultiJumps', def = 1}, {flat = 'playerStateMachineLocomotion.ladderCrouch.numberOfMultiJumps', def = 1}, {flat = 'playerStateMachineLocomotion.ladderJump.numberOfMultiJumps', def = 1}, {flat = 'playerStateMachineLocomotion.slideFall.numberOfMultiJumps', def = 1}, {flat = 'playerStateMachineLocomotion.superheroFall.numberOfMultiJumps', def = 1}, {flat = 'playerStateMachineLocomotion.unsecureFootingFall.numberOfMultiJumps', def = 1}, {flat = 'playerStateMachineLocomotionTakedown.grappleFall.numberOfMultiJumps', def = 1} }; if get(multiJumpFlats[1].flat) == multiJumpFlats[1].def then if hasTendonsCW() then for k,v in next, multiJumpFlats do set(multiJumpFlats[k].flat, newMultiJumps) end local msg1, msg2, msg3, msg4 = 'TOGGLE - INFINITE JUMPS :  ON', '-  Unless you disable it, it will last for the entire game session.', '-  If you remove  "Reinforced Tendons"  from legs CW, it won\'t work.', '-  SAVE AND RELOAD TO MAKE IT WORK. [ F5 / F9 ]'; alert(msg1..'\t'..msg2..'\n'..msg3..'\n'..msg4) print(' \n\t'..msg1..'\n\t\t'..msg2..'\n\t\t'..msg3..'\n\t\t'..msg4..'\n ') end else for k,v in next, multiJumpFlats do set(multiJumpFlats[k].flat, multiJumpFlats[k].def) end local msg1, msg2, msg3 = 'TOGGLE - INFINITE JUMPS :  OFF', '**  WARNING  **', '-  SAVE AND RELOAD TO DISABLE IT. [ F5 / F9 ]'; alert(msg1..'\n'..msg2..'\n'..msg3) print(' \n\t'..msg1..'\n\t\t'..msg2..'\n\t\t'..msg3..'\n ') end end infiniteJumpsToggle()</t>
  </si>
  <si>
    <t xml:space="preserve">*Requires "Reinforced Tendons" CW equipped and a save and reload to take effect </t>
  </si>
  <si>
    <t>Toggle - Instant Reload</t>
  </si>
  <si>
    <t>v1,v2 = "ReloadTime","EmptyReloadTime" On,Off = " - INSTANT RELOAD: ON  (IGNORE THE ANIMATION)", " - INSTANT RELOAD: OFF" SS = Game.GetStatsSystem() CurrentVal = SS:GetStatValue(GetPlayer():GetEntityID(), v1) ModStPl = function(ID, value) SS:AddModifier(Game.GetPlayer():GetEntityID(), RPGManager.CreateStatModifier(ID, gameStatModifierType.Additive, value)) end if CurrentVal == 0 then ModStPl(v1, -1) ModStPl(v2, -1) print(On) elseif CurrentVal == 1 then ModStPl(v1, -2) ModStPl(v2, -2) print(On) elseif CurrentVal ~= 0 or CurrentVal ~= 1 then ModStPl(v1, (CurrentVal*-1)+1) ModStPl(v2, (CurrentVal*-1)+1) print(Off) end for i, v in pairs {"ReloadTime","EmptyReloadTime"} do print(v..": ",  SS:GetStatValue(GetPlayer():GetEntityID(), v)) end</t>
  </si>
  <si>
    <t>*Ignore the reload animation</t>
  </si>
  <si>
    <t>Toggle - Super Speed</t>
  </si>
  <si>
    <t>SuperSpeed = not SuperSpeed TS = Game.GetTimeSystem() TDA = TS:IsTimeDilationActive() if TDA == true then TS:SetTimeDilation(CName.new(), 1.0) end if not SuperSpeed then TS:SetTimeDilationOnLocalPlayerZero(CName.new(), 3.0, false) print(" - SUPER SPEED: ON") else TS:UnsetTimeDilationOnLocalPlayerZero(CName.new()) print(" - SUPER SPEED: OFF") end</t>
  </si>
  <si>
    <t>Toggle - Invisibility / Undetectable</t>
  </si>
  <si>
    <t>P = Game.GetPlayer() SES = Game.GetStatusEffectSystem() if Game.GetStatusEffectSystem():HasStatusEffect(P:GetEntityID(), "BaseStatusEffect.Cloaked") == false then SES:ApplyStatusEffect(Game.GetPlayer():GetEntityID(), "BaseStatusEffect.Cloaked") P:SetInvisible(true) P:UpdateVisibility() print(" - INVISIBILITY / UNDETECTABLE: ON") else SES:RemoveStatusEffect(Game.GetPlayer():GetEntityID(), "BaseStatusEffect.Cloaked") P:SetInvisible(false) P:UpdateVisibility() print(" - INVISIBILITY / UNDETECTABLE: OFF") end</t>
  </si>
  <si>
    <t>Toggle - No One Attacks You</t>
  </si>
  <si>
    <t>SES = Game.GetStatusEffectSystem() if StatusEffectSystem.ObjectHasStatusEffect(GetPlayer(), TweakDBID("GameplayRestriction.NoCombat")) == false then SES:ApplyStatusEffect(GetPlayer():GetEntityID(), TweakDBID.new("GameplayRestriction.NoCombat"), GetPlayer():GetRecordID(), GetPlayer():GetEntityID()) print(" - NO ONE ATTACKS YOU:  ON") else SES:RemoveStatusEffect(GetPlayer():GetEntityID(), TweakDBID.new("GameplayRestriction.NoCombat")) print(" - NO ONE ATTACKS YOU:  OFF") end</t>
  </si>
  <si>
    <t>*Turns combat off</t>
  </si>
  <si>
    <t>Toggle - No Fall Damage</t>
  </si>
  <si>
    <t>function toggleNoFallDamage() noFallDamageToggle = not noFallDamageToggle; local function alert(msg) PreventionSystem.ShowMessage(msg, 4.0) end local function get(record) local val = TweakDB:GetFlat(record) return val end; local function set(record, value) TweakDB:SetFlat(record, value) end; local regularNew, safeNew, hardNew, veryHardNew, deathNew = 50000, 60000, 70000, 80000, 90000;local regular = { {flat = 'playerStateMachineBaseLocomotion.locomotionAir.regularLandingHeight', def = 0.2}, {flat = 'playerStateMachineBaseLocomotionLowGravity.locomotionAirLowGravity.regularLandingHeight', def = 0.2}, {flat = 'playerStateMachineBaseLocomotionTakedown.grappleAir.regularLandingHeight', def = 0.2}, {flat = 'playerStateMachineBaseLocomotionTier3.locomotionAirTier3.regularLandingHeight', def = 0.2}, {flat = 'playerStateMachineBaseLocomotionTier4.locomotionAirTier4.regularLandingHeight', def = 0.2}, {flat = 'playerStateMachineBaseLocomotionTier5.locomotionAirTier5.regularLandingHeight', def = 0.2}, {flat = 'playerStateMachineLocomotion.airHover.regularLandingHeight', def = 0.2}, {flat = 'playerStateMachineLocomotion.airThrusters.regularLandingHeight', def = 0.2}, {flat = 'playerStateMachineLocomotion.bodySlamJump.regularLandingHeight', def = 0.2}, {flat = 'playerStateMachineLocomotion.chargeJump.regularLandingHeight', def = 0.2}, {flat = 'playerStateMachineLocomotion.coolExitJump.regularLandingHeight', def = 0.2}, {flat = 'playerStateMachineLocomotion.dodgeAir.regularLandingHeight', def = 0.2}, {flat = 'playerStateMachineLocomotion.doubleJump.regularLandingHeight', def = 0.2}, {flat = 'playerStateMachineLocomotion.fall.regularLandingHeight', def = 0.2}, {flat = 'playerStateMachineLocomotion.hoverJump.regularLandingHeight', def = 0.2}, {flat = 'playerStateMachineLocomotion.jump.regularLandingHeight', def = 0.2}, {flat = 'playerStateMachineLocomotion.ladderCrouch.regularLandingHeight', def = 0.2}, {flat = 'playerStateMachineLocomotion.ladderJump.regularLandingHeight', def = 0.2}, {flat = 'playerStateMachineLocomotion.slideFall.regularLandingHeight', def = 0.2}, {flat = 'playerStateMachineLocomotion.superheroFall.regularLandingHeight', def = 0.2}, {flat = 'playerStateMachineLocomotion.unsecureFootingFall.regularLandingHeight', def = 0.2}, {flat = 'playerStateMachineLocomotionLowGravity.dodgeAirLowGravity.regularLandingHeight', def = 0.2}, {flat = 'playerStateMachineLocomotionLowGravity.fallLowGravity.regularLandingHeight', def = 0.2}, {flat = 'playerStateMachineLocomotionLowGravity.jumpLowGravity.regularLandingHeight', def = 0.2}, {flat = 'playerStateMachineLocomotionLowGravity.sprintJumpLowGravity.regularLandingHeight', def = 0.2}, {flat = 'playerStateMachineLocomotionTakedown.grappleFall.regularLandingHeight', def = 0.2} } local safe = { {flat = 'playerStateMachineBaseLocomotion.locomotionAir.safeLandingHeight', def = 1}, {flat = 'playerStateMachineLocomotion.airHover.safeLandingHeight', def = 1}, {flat = 'playerStateMachineLocomotion.airThrusters.safeLandingHeight', def = 1}, {flat = 'playerStateMachineLocomotion.bodySlamJump.safeLandingHeight', def = 1}, {flat = 'playerStateMachineLocomotion.chargeJump.safeLandingHeight', def = 1}, {flat = 'playerStateMachineLocomotion.coolExitJump.safeLandingHeight', def = 1}, {flat = 'playerStateMachineLocomotion.dodgeAir.safeLandingHeight', def = 1}, {flat = 'playerStateMachineLocomotion.doubleJump.safeLandingHeight', def = 1}, {flat = 'playerStateMachineLocomotion.fall.safeLandingHeight', def = 1}, {flat = 'playerStateMachineLocomotion.hoverJump.safeLandingHeight', def = 1}, {flat = 'playerStateMachineLocomotion.jump.safeLandingHeight', def = 1}, {flat = 'playerStateMachineLocomotion.ladderCrouch.safeLandingHeight', def = 1}, {flat = 'playerStateMachineLocomotion.ladderJump.safeLandingHeight', def = 1}, {flat = 'playerStateMachineLocomotion.slideFall.safeLandingHeight', def = 1}, {flat = 'playerStateMachineLocomotion.superheroFall.safeLandingHeight', def = 1}, {flat = 'playerStateMachineLocomotion.unsecureFootingFall.safeLandingHeight', def = 1} } local hard = { {flat = 'playerStateMachineBaseLocomotion.locomotionAir.hardLandingHeight', def = 5}, {flat = 'playerStateMachineBaseLocomotionLowGravity.locomotionAirLowGravity.hardLandingHeight', def = 24}, {flat = 'playerStateMachineBaseLocomotionTakedown.grappleAir.hardLandingHeight', def = 5}, {flat = 'playerStateMachineBaseLocomotionTier3.locomotionAirTier3.hardLandingHeight', def = 2.5}, {flat = 'playerStateMachineBaseLocomotionTier4.locomotionAirTier4.hardLandingHeight', def = 2.5}, {flat = 'playerStateMachineBaseLocomotionTier5.locomotionAirTier5.hardLandingHeight', def = 2.5}, {flat = 'playerStateMachineLocomotion.airHover.hardLandingHeight', def = 5}, {flat = 'playerStateMachineLocomotion.airThrusters.hardLandingHeight', def = 5}, {flat = 'playerStateMachineLocomotion.bodySlamJump.hardLandingHeight', def = 5}, {flat = 'playerStateMachineLocomotion.chargeJump.hardLandingHeight', def = 5}, {flat = 'playerStateMachineLocomotion.coolExitJump.hardLandingHeight', def = 5}, {flat = 'playerStateMachineLocomotion.dodgeAir.hardLandingHeight', def = 5}, {flat = 'playerStateMachineLocomotion.doubleJump.hardLandingHeight', def = 5}, {flat = 'playerStateMachineLocomotion.fall.hardLandingHeight', def = 5}, {flat = 'playerStateMachineLocomotion.hoverJump.hardLandingHeight', def = 5}, {flat = 'playerStateMachineLocomotion.jump.hardLandingHeight', def = 5}, {flat = 'playerStateMachineLocomotion.ladderCrouch.hardLandingHeight', def = 5}, {flat = 'playerStateMachineLocomotion.ladderJump.hardLandingHeight', def = 5}, {flat = 'playerStateMachineLocomotion.slideFall.hardLandingHeight', def = 5}, {flat = 'playerStateMachineLocomotion.superheroFall.hardLandingHeight', def = 5}, {flat = 'playerStateMachineLocomotion.unsecureFootingFall.hardLandingHeight', def = 5}, {flat = 'playerStateMachineLocomotionLowGravity.dodgeAirLowGravity.hardLandingHeight', def = 24}, {flat = 'playerStateMachineLocomotionLowGravity.fallLowGravity.hardLandingHeight', def = 24}, {flat = 'playerStateMachineLocomotionLowGravity.jumpLowGravity.hardLandingHeight', def = 24}, {flat = 'playerStateMachineLocomotionLowGravity.sprintJumpLowGravity.hardLandingHeight', def = 24}, {flat = 'playerStateMachineLocomotionTakedown.grappleFall.hardLandingHeight', def = 5} } local veryHard = { {flat = 'playerStateMachineBaseLocomotion.locomotionAir.veryHardLandingHeight', def = 10}, {flat = 'playerStateMachineBaseLocomotionLowGravity.locomotionAirLowGravity.veryHardLandingHeight', def = 72}, {flat = 'playerStateMachineBaseLocomotionTakedown.grappleAir.veryHardLandingHeight', def = 10}, {flat = 'playerStateMachineBaseLocomotionTier3.locomotionAirTier3.veryHardLandingHeight', def = 12}, {flat = 'playerStateMachineBaseLocomotionTier4.locomotionAirTier4.veryHardLandingHeight', def = 12}, {flat = 'playerStateMachineBaseLocomotionTier5.locomotionAirTier5.veryHardLandingHeight', def = 12}, {flat = 'playerStateMachineLocomotion.airHover.veryHardLandingHeight', def = 10}, {flat = 'playerStateMachineLocomotion.airThrusters.veryHardLandingHeight', def = 10}, {flat = 'playerStateMachineLocomotion.bodySlamJump.veryHardLandingHeight', def = 10}, {flat = 'playerStateMachineLocomotion.chargeJump.veryHardLandingHeight', def = 10}, {flat = 'playerStateMachineLocomotion.coolExitJump.veryHardLandingHeight', def = 10}, {flat = 'playerStateMachineLocomotion.dodgeAir.veryHardLandingHeight', def = 10}, {flat = 'playerStateMachineLocomotion.doubleJump.veryHardLandingHeight', def = 10}, {flat = 'playerStateMachineLocomotion.fall.veryHardLandingHeight', def = 10}, {flat = 'playerStateMachineLocomotion.hoverJump.veryHardLandingHeight', def = 10}, {flat = 'playerStateMachineLocomotion.jump.veryHardLandingHeight', def = 10}, {flat = 'playerStateMachineLocomotion.ladderCrouch.veryHardLandingHeight', def = 10}, {flat = 'playerStateMachineLocomotion.ladderJump.veryHardLandingHeight', def = 10}, {flat = 'playerStateMachineLocomotion.slideFall.veryHardLandingHeight', def = 10}, {flat = 'playerStateMachineLocomotion.superheroFall.veryHardLandingHeight', def = 10}, {flat = 'playerStateMachineLocomotion.unsecureFootingFall.veryHardLandingHeight', def = 10}, {flat = 'playerStateMachineLocomotionLowGravity.dodgeAirLowGravity.veryHardLandingHeight', def = 72}, {flat = 'playerStateMachineLocomotionLowGravity.fallLowGravity.veryHardLandingHeight', def = 72}, {flat = 'playerStateMachineLocomotionLowGravity.jumpLowGravity.veryHardLandingHeight', def = 72}, {flat = 'playerStateMachineLocomotionLowGravity.sprintJumpLowGravity.veryHardLandingHeight', def = 72}, {flat = 'playerStateMachineLocomotionTakedown.grappleFall.veryHardLandingHeight', def = 10} } local death = {{flat = 'playerStateMachineBaseLocomotion.locomotionAir.deathLanding', def = 20}, {flat = 'playerStateMachineBaseLocomotionLowGravity.locomotionAirLowGravity.deathLanding', def = 100}, {flat = 'playerStateMachineBaseLocomotionTakedown.grappleAir.deathLanding', def = 16}, {flat = 'playerStateMachineBaseLocomotionTier3.locomotionAirTier3.deathLanding', def = 16}, {flat = 'playerStateMachineBaseLocomotionTier4.locomotionAirTier4.deathLanding', def = 16}, {flat = 'playerStateMachineBaseLocomotionTier5.locomotionAirTier5.deathLanding', def = 16}, {flat = 'playerStateMachineLocomotion.airHover.deathLanding', def = 20}, {flat = 'playerStateMachineLocomotion.airThrusters.deathLanding', def = 20}, {flat = 'playerStateMachineLocomotion.bodySlamJump.deathLanding', def = 20}, {flat = 'playerStateMachineLocomotion.chargeJump.deathLanding', def = 20}, {flat = 'playerStateMachineLocomotion.coolExitJump.deathLanding', def = 20}, {flat = 'playerStateMachineLocomotion.dodgeAir.deathLanding', def = 20}, {flat = 'playerStateMachineLocomotion.doubleJump.deathLanding', def = 20}, {flat = 'playerStateMachineLocomotion.fall.deathLanding', def = 20}, {flat = 'playerStateMachineLocomotion.hoverJump.deathLanding', def = 20}, {flat = 'playerStateMachineLocomotion.jump.deathLanding', def = 20}, {flat = 'playerStateMachineLocomotion.ladderCrouch.deathLanding', def = 20}, {flat = 'playerStateMachineLocomotion.ladderJump.deathLanding', def = 20}, {flat = 'playerStateMachineLocomotion.slideFall.deathLanding', def = 20}, {flat = 'playerStateMachineLocomotion.superheroFall.deathLanding', def = 20}, {flat = 'playerStateMachineLocomotion.unsecureFootingFall.deathLanding', def = 20}, {flat = 'playerStateMachineLocomotionLowGravity.dodgeAirLowGravity.deathLanding', def = 100}, {flat = 'playerStateMachineLocomotionLowGravity.fallLowGravity.deathLanding', def = 100}, {flat = 'playerStateMachineLocomotionLowGravity.jumpLowGravity.deathLanding', def = 100}, {flat = 'playerStateMachineLocomotionLowGravity.sprintJumpLowGravity.deathLanding', def = 100}, {flat = 'playerStateMachineLocomotionTakedown.grappleFall.deathLanding', def = 16} } local activeCheck = function() if get(death[1].flat) &gt; death[1].def then return true else return false end end if noFallDamageToggle and not activeCheck() then for k,v in next, regular do set(regular[k].flat, regularNew) end for k,v in next, safe do set(safe[k].flat, safeNew) end for k,v in next, hard do set(hard[k].flat, hardNew) end for k,v in next, veryHard do set(veryHard[k].flat, veryHardNew) end for k,v in next, death do set(death[k].flat, deathNew) end local on_1, on_2 = 'NO FALL DAMAGE :  ON', 'SAVE AND RELOAD TO MAKE IT WORK. [ F5 / F9 ]'; alert(on_1..'\n'..on_2) print(' \n\t-\t'..on_1..'\t-&gt;\t'..on_2..'\n ') elseif activeCheck() then for k,v in next, regular do set(regular[k].flat, regular[k].def) end for k,v in next, safe do set(safe[k].flat, safe[k].def) end for k,v in next, hard do set(hard[k].flat, hard[k].def) end for k,v in next, veryHard do set(veryHard[k].flat, veryHard[k].def) end for k,v in next, death do set(death[k].flat, death[k].def) end local off_1, off_2 = 'NO FALL DAMAGE :  OFF', 'SAVE AND RELOAD TO DISABLE IT. [ F5 / F9 ]'; alert(off_1..'\n'..off_2) print(' \n\t-\t'..off_1..'\t-&gt;\t'..off_2..'\n ') end end toggleNoFallDamage()</t>
  </si>
  <si>
    <t>*Requires a save and reload to take effect  ( once per game session )</t>
  </si>
  <si>
    <t>Toggle - Air Thruster Boots</t>
  </si>
  <si>
    <t>nofall = "HasAirThrusters" SS = Game.GetStatsSystem() alert = function(msg) PreventionSystem.ShowMessage(msg, 5.0) end ModStatPl = function(ID, value) SS:AddModifier(Game.GetPlayer():GetEntityID(), RPGManager.CreateStatModifier(ID, gameStatModifierType.Additive, value)) end GetB = SS:GetStatBoolValue(Game.GetPlayer():GetEntityID(), nofall) if GetB == false then ModStatPl(nofall, 1.0) alert("HOLD DOWN THE JUMP BUTTON IN THE AIR WHILE FALLING") print(' - NO FALL DAMAGE: ON') else ModStatPl(nofall, -1.0) alert("NO FALL DAMAGE :  OFF") print(' - NO FALL DAMAGE:  OFF') end</t>
  </si>
  <si>
    <t>*Hold down the jump button while falling</t>
  </si>
  <si>
    <t>Toggle Johnny's holographic arm.</t>
  </si>
  <si>
    <t xml:space="preserve">arm = "Items.PlayerSilverhandArm"; armID = ItemID.FromTDBID(arm); P = Game.GetPlayer(); TS = Game.GetTransactionSystem(); SSC = Game.GetScriptableSystemsContainer(); ESPD = SSC:Get('EquipmentSystem'):GetPlayerData(P); armInInv = TS:GetItemQuantity(P, armID); armInSlot = TDBID.ToStringDEBUG(ESPD:GetItemInEquipSlot(34, 0).id); if armInSlot ~= arm then if armInInv == 0 then TS:GiveItem(P, armID, 1) elseif armInInv &gt; 1 then TS:GiveItem(P, armID, 1-armInInv) end ESPD:EquipItem(ItemID.FromTDBID(arm)) print(" - JOHNNY SILVERHAND ARM: ON") elseif armInSlot == arm then ESPD:UnequipItem(armID) TS:GiveItem(P, armID, -armInInv) print(" - JOHNNY SILVERHAND ARM: OFF") end </t>
  </si>
  <si>
    <t>Toggle Johnny's Hud Colors</t>
  </si>
  <si>
    <t>JohnnyColors = not JohnnyColors if JohnnyColors then Game.GetUISystem():SetGlobalThemeOverride("Possessed") print(' - JOHNNY HUD COLORS: ON') else Game.GetUISystem():ClearGlobalThemeOverride() print(' - JOHNNY HUD COLORS: OFF') end</t>
  </si>
  <si>
    <t>Crimnal System</t>
  </si>
  <si>
    <t>Toggle Wanted / Police Ignore Crimes</t>
  </si>
  <si>
    <t>toggleCrime = function() local alert = function(txt) PreventionSystem.ShowMessage(txt, 3.5) end local PS = Game.GetScriptableSystemsContainer():Get("PreventionSystem"); local active, heatLvL  = PS:IsSystemEnabled(), PS:GetHeatStageAsInt(); if active then if heatLvL ~= 0 then PS:ChangeHeatStage(EPreventionHeatStage.Heat_0, "") end PS:TogglePreventionSystem(false) alert("CRIMINAL SYSTEM : DISABLED\nCRIMES WILL BE IGNORED BY THE POLICE.") print(" - CRIMINAL SYSTEM : DISABLED\n ") else PS:TogglePreventionSystem(true) alert("CRIMINAL SYSTEM : ENABLED\nCRIMES WILL NOT BE IGNORED BY THE POLICE.") print(" - CRIMINAL SYSTEM : ENABLED\n ") end end toggleCrime() --old Game.PrevSys_off() Game.PrevSys_on()</t>
  </si>
  <si>
    <t>Heat Level - Reset</t>
  </si>
  <si>
    <t xml:space="preserve">local PS = Game.GetScriptableSystemsContainer():Get("PreventionSystem") PSHS = PS:GetHeatStageAsInt() if PSHS ~= 0 then PS:ChangeHeatStage(EPreventionHeatStage.Heat_0, "") PS:ChangeAgentsAttitude(BackUp) local msg = "HEAT LEVEL RESETTED."; PreventionSystem.ShowMessage(msg, 2.5) print(" - "..msg.."\n ") else PreventionSystem.ShowMessage("NO NEED TO RESET THE HEAT LEVEL", 2.5) end </t>
  </si>
  <si>
    <t>Heat Level - Toggle</t>
  </si>
  <si>
    <t>toggleHeatLevel = function() local function alert(txt) PreventionSystem.ShowMessage(txt, 3.0) end msg = "TOGGLE HEAT LEVEL : "; local PS = Game.GetScriptableSystemsContainer():Get("PreventionSystem") PSHS = PS:GetHeatStageAsInt() if PSHS ~= 0 then PS:ChangeHeatStage(EPreventionHeatStage.Heat_0, "") PS:ChangeAgentsAttitude(BackUp) alert(msg.."OFF") print(" - "..msg.."OFF\n ") else PS:ChangeHeatStage(EPreventionHeatStage.Heat_5, "") alert(msg.."ON") print(" - "..msg.."ON\n ") end end toggleHeatLevel()</t>
  </si>
  <si>
    <t>Heat Level - Increase</t>
  </si>
  <si>
    <t>increaseHeatLevel = function() local alert = function(txt) PreventionSystem.ShowMessage(txt, 2.5) end local PS = Game.GetScriptableSystemsContainer():Get("PreventionSystem") PSHS, msg = PS:GetHeatStageAsInt(), "POLICE HEAT : "; if PSHS == 0 then PS:ChangeHeatStage(EPreventionHeatStage.Heat_1, "") alert(msg.."+1  (Level 1)") elseif PSHS == 1 then PS:ChangeHeatStage(EPreventionHeatStage.Heat_2, "") alert(msg.."+1  (Level 2)") elseif PSHS == 2 then PS:ChangeHeatStage(EPreventionHeatStage.Heat_3, "") alert(msg.."+1  (Level 3)") elseif PSHS == 3 then PS:ChangeHeatStage(EPreventionHeatStage.Heat_4, "") alert(msg.."+1  (Level 4)") elseif PSHS == 4 then PS:ChangeHeatStage(EPreventionHeatStage.Heat_5, "") alert(msg.."+1  (Level 5)") elseif PSHS == 5 then alert(msg.."MAX  (Level 5)") end end increaseHeatLevel() print(" - INCREASING HEAT LEVEL...\n ")</t>
  </si>
  <si>
    <t>Time</t>
  </si>
  <si>
    <t>Toggle - Day / Night</t>
  </si>
  <si>
    <t>dayH = 10; nightH = 22; TiSy = Game.GetTimeSystem(); H = TiSy:GetGameTime():Hours(); if H &gt; 19 then TiSy:SetGameTimeByHMS(dayH, 0, 0) print(" - TIME SETTED TO "..dayH.." AM [ "..dayH..":00 ]\n ") else TiSy:SetGameTimeByHMS(nightH, 0, 0) print(" - TIME SETTED TO ".. (nightH - 12) .." PM [ "..nightH..":00 ]\n ") end</t>
  </si>
  <si>
    <t>Toggle - Freeze Clock</t>
  </si>
  <si>
    <t>TiSy = Game.GetTimeSystem();  if TiSy:IsPausedState() then TiSy:SetPausedState(false, '') print(" - TOGGLE FREEZE CLOCK:  OFF") else TiSy:SetPausedState(true, '') print(" - TOGGLE FREEZE CLOCK:  ON") end</t>
  </si>
  <si>
    <t>Toggle - Slow Motion</t>
  </si>
  <si>
    <t>TS = Game.GetTimeSystem() TDA = TS:IsTimeDilationActive() if TDA == false then TS:SetTimeDilation(CName.new(), 0.4) print(" - SLOW MOTION: ON") else TS:SetTimeDilation(CName.new(), 1.0) print(" - SLOW MOTION: OFF") end  --better? TS:UnsetTimeDilation(CName.new())</t>
  </si>
  <si>
    <t>Toggle - Slow The World Around You</t>
  </si>
  <si>
    <t>TS = Game.GetTimeSystem() TDA = TS:IsTimeDilationActive() if TDA == false then TS:SetIgnoreTimeDilationOnLocalPlayerZero(true) TS:SetTimeDilation(CName.new(), 0.15) print(" - SLOW THE WORLD AROUND YOU: ON") else TS:SetIgnoreTimeDilationOnLocalPlayerZero(true) TS:UnsetTimeDilation(CName.new()) print(" - SLOW THE WORLD AROUND YOU: OFF") end</t>
  </si>
  <si>
    <t>Toggle - Stop The World Around You</t>
  </si>
  <si>
    <t>toggleStopTime = not toggleStopTime; local TS = Game.GetTimeSystem(); if toggleStopTime then TS:SetIgnoreTimeDilationOnLocalPlayerZero(true) TS:SetTimeDilation('', 0.00000000000001) print('\t- STOP THE WORLD AROUND YOU :  ON\n ') else TS:SetIgnoreTimeDilationOnLocalPlayerZero(false) TS:UnsetTimeDilation('') print('\t- STOP THE WORLD AROUND YOU :  OFF\n ') end</t>
  </si>
  <si>
    <t>Eddies</t>
  </si>
  <si>
    <t>Add 1,000,000 Eddies</t>
  </si>
  <si>
    <t>Game.AddToInventory("Items.money",1000000)</t>
  </si>
  <si>
    <t>Remove All Money</t>
  </si>
  <si>
    <t>TS = Game.GetTransactionSystem() currentMoney = TS:GetItemQuantity(GetPlayer(), MarketSystem.Money()) TS:RemoveMoney(Game.GetPlayer(), currentMoney-1, CName.new('money'))   --TS:GiveItem(Game.GetPlayer(), ItemID.new(TweakDBID.new("Items.money")), (currentMoney*-1)+1)</t>
  </si>
  <si>
    <t xml:space="preserve">Give All... </t>
  </si>
  <si>
    <t>All Stash Weapon</t>
  </si>
  <si>
    <t>msg = "STASH WALL WEAPONS ADDED !"; W1 = {"mq007_skippy", "w_melee_boss_hammer" }; W2 = { "Ajax_Moron_Legendary", "Burya_Comrade_Legendary", "Butchers_Knife_Iconic_Legendary", "Carnage_Mox_Legendary", "Copperhead_Genesis_Legendary", "Dian_Yinglong", "Grad_Panam_Legendary", "Igla_Sovereign_Legendary", "Katana_Saburo_Legendary", "Katana_Takemura_Legendary", "Katana_Wakako_Legendary", "Lexington_Shooting_Competition", "Lexington_Wilson_Legendary", "Liberty_Dex_Legendary", "Liberty_Padre_Legendary", "Nekomata_Breakthrough_Legendary", "Neurotoxin_Knife_Iconic_Legendary", "Nue_Jackie_Legendary", "Overture_Kerry_Legendary", "Overture_River_Legendary", "Pulsar_Buzzsaw_Legendary", "Punk_Knife_Iconic_Legendary", "Silverhand_3516", "Tactician_Dino_Legendary","Tactician_Headsman_Legendary", "Tanto_Saburo", "Katana_E3", "Zhuo_Eight_Star" }; for i, weap in next, W1 do Game.AddToInventory("Items."..weap, 1) end for i, weap in next, W2 do Game.AddToInventory("Items.Preset_"..weap, 1) end PreventionSystem.ShowMessage(msg, 8.0)</t>
  </si>
  <si>
    <t>All Weapons Recipes</t>
  </si>
  <si>
    <t>for i, v in next, { "EpicBatRecipe_2", "EpicSor22Recipe_2", "EpicTacticianRecipe_2", "EpicYukimuraRecipe_2", "LegendaryCarnageRecipe_2", "LegendaryKatanaRecipe_2", "LegendaryNekomataRecipe_2", "LegendaryQuasarRecipe_2", "RareGradRecipe_2", "RareKnifeRecipe_2", "RareNovaRecipe_2", "RarePulsarRecipe_2", "UncommonBatonRecipe_2", "UncommonCopperheadRecipe_2", "UncommonNueRecipe_2", "UncommonSataraRecipe_2", "CommonKatanaMilitaryRecipe", "UncommonKatanaMilitaryRecipe", "RareKatanaMilitaryRecipe", "EpicKatanaMilitaryRecipe", "LegendaryKatanaMilitaryRecipe", "CommonAchillesRecipe", "CommonAjaxRecipe", "CommonAshuraRecipe", "CommonBatonAlphaRecipe", "CommonBatonBetaRecipe", "CommonBatonGammaRecipe", "CommonBatRecipe", "CommonBuryaRecipe", "CommonButchersKnifeRecipe", "CommonCarnageRecipe", "CommonChaoRecipe", "CommonChefsKnifeRecipe", "CommonCopperheadRecipe", "CommonCrowbarRecipe", "CommonCrusherRecipe", "CommonDefenderRecipe", "CommonDianRecipe", "CommonGradRecipe", "CommonGuillotineRecipe", "CommonHammerRecipe", "CommonIglaRecipe", "CommonIronPipeRecipe", "CommonKanaboRecipe", "CommonKatanaRecipe", "CommonKenshinRecipe", "CommonKnifeRecipe", "CommonKukriRecipe", "CommonLexingtonRecipe", "CommonLibertyRecipe", "CommonMacheteRecipe", "CommonMasamuneRecipe", "CommonNekomataRecipe", "CommonNovaRecipe", "CommonNueRecipe", "CommonOmahaRecipe", "CommonOvertureRecipe", "CommonPalicaRecipe", "CommonPipeWrenchRecipe", "CommonPulsarRecipe", "CommonQuasarRecipe", "CommonSaratogaRecipe", "CommonSataraRecipe", "CommonShingenRecipe", "CommonSidewinderRecipe", "CommonSor22Recipe", "CommonTacticianRecipe", "CommonTantoRecipe", "CommonTesteraRecipe", "CommonTireIronRecipe", "CommonTomahawkRecipe", "CommonUmbraRecipe", "CommonUnityRecipe", "CommonYukimuraRecipe", "CommonZhuoRecipe", "EpicAchillesRecipe", "EpicAjaxRecipe", "EpicAshuraRecipe", "EpicBatonAlphaRecipe", "EpicBatonBetaRecipe", "EpicBatonGammaRecipe", "EpicBatRecipe", "EpicBuryaRecipe", "EpicButchersKnifeRecipe", "EpicCarnageRecipe", "EpicChaoRecipe", "EpicChefsKnifeRecipe", "EpicCopperheadRecipe", "EpicCrowbarRecipe", "EpicCrusherRecipe", "EpicDefenderRecipe", "EpicDianRecipe", "EpicGradRecipe", "EpicGuillotineRecipe", "EpicHammerRecipe", "EpicIglaRecipe", "EpicIronPipeRecipe", "EpicKanaboRecipe", "EpicKatanaRecipe", "EpicKenshinRecipe", "EpicKnifeRecipe", "EpicKukriRecipe", "EpicLexingtonRecipe", "EpicLibertyRecipe", "EpicMacheteRecipe", "EpicMasamuneRecipe", "EpicNekomataRecipe", "EpicNovaRecipe", "EpicNueRecipe", "EpicOmahaRecipe", "EpicOvertureRecipe", "EpicPalicaRecipe", "EpicPipeWrenchRecipe", "EpicPipeWrenchRecipe", "EpicPulsarRecipe", "EpicQuasarRecipe", "EpicSaratogaRecipe", "EpicSataraRecipe", "EpicShingenRecipe", "EpicSidewinderRecipe", "EpicSor22Recipe", "EpicTacticianRecipe", "EpicTantoRecipe", "EpicTesteraRecipe", "EpicTireIronRecipe", "EpicTomahawkRecipe", "EpicUmbraRecipe", "EpicUnityRecipe", "EpicYukimuraRecipe", "EpicZhuoRecipe", "LegendaryAchillesRecipe", "LegendaryAjaxRecipe", "LegendaryAshuraRecipe", "LegendaryBatonAlphaRecipe", "LegendaryBatonBetaRecipe", "LegendaryBatonGammaRecipe", "LegendaryBatRecipe", "LegendaryBuryaRecipe", "LegendaryButchersKnifeRecipe", "LegendaryCarnageRecipe", "LegendaryChaoRecipe", "LegendaryChefsKnifeRecipe", "LegendaryCopperheadRecipe", "LegendaryCrowbarRecipe", "LegendaryCrusherRecipe", "LegendaryDefenderRecipe", "LegendaryDianRecipe", "LegendaryGradRecipe", "LegendaryGuillotineRecipe", "LegendaryHammerRecipe", "LegendaryIglaRecipe", "LegendaryIronPipeRecipe", "LegendaryKanaboRecipe", "LegendaryKatanaRecipe", "LegendaryKenshinRecipe", "LegendaryKnifeRecipe", "LegendaryKukriRecipe", "LegendaryLexingtonRecipe", "LegendaryLibertyRecipe", "LegendaryMacheteRecipe", "LegendaryMasamuneRecipe", "LegendaryNekomataRecipe", "LegendaryNovaRecipe", "LegendaryNueRecipe", "LegendaryOmahaRecipe", "LegendaryOvertureRecipe", "LegendaryPalicaRecipe", "LegendaryPipeWrenchRecipe", "LegendaryPulsarRecipe", "LegendaryQuasarRecipe", "LegendarySaratogaRecipe", "LegendarySataraRecipe", "LegendaryShingenRecipe", "LegendarySidewinderRecipe", "LegendarySor22Recipe", "LegendaryTacticianRecipe", "LegendaryTantoRecipe", "LegendaryTesteraRecipe", "LegendaryTireIronRecipe", "LegendaryTomahawkRecipe", "LegendaryUmbraRecipe", "LegendaryUnityRecipe", "LegendaryYukimuraRecipe", "LegendaryZhuoRecipe", "RareAchillesRecipe", "RareAjaxRecipe", "RareAshuraRecipe", "RareBatonAlphaRecipe", "RareBatonBetaRecipe", "RareBatonGammaRecipe", "RareBatRecipe", "RareBuryaRecipe", "RareButchersKnifeRecipe", "RareCarnageRecipe", "RareChaoRecipe", "RareChefsKnifeRecipe", "RareCopperheadRecipe", "RareCrowbarRecipe", "RareCrusherRecipe", "RareDefenderRecipe", "RareDianRecipe", "RareGradRecipe", "RareGuillotineRecipe", "RareHammerRecipe", "RareIglaRecipe", "RareIronPipeRecipe", "RareKanaboRecipe", "RareKatanaRecipe", "RareKenshinRecipe", "RareKnifeRecipe", "RareKukriRecipe", "RareLexingtonRecipe", "RareLibertyRecipe", "RareMacheteRecipe", "RareMasamuneRecipe", "RareNekomataRecipe", "RareNovaRecipe", "RareNueRecipe", "RareOmahaRecipe", "RareOvertureRecipe", "RarePalicaRecipe", "RarePipeWrenchRecipe", "RarePulsarRecipe", "RareQuasarRecipe", "RareSaratogaRecipe", "RareSataraRecipe", "RareShingenRecipe", "RareSidewinderRecipe", "RareSor22Recipe", "RareTacticianRecipe", "RareTantoRecipe", "RareTesteraRecipe", "RareTireIronRecipe", "RareTomahawkRecipe", "RareUmbraRecipe", "RareUnityRecipe", "RareYukimuraRecipe", "RareZhuoRecipe", "Recipe_Preset_Achilles_Nash_Epic", "Recipe_Preset_Achilles_Nash_Legendary", "Recipe_Preset_Ajax_Moron", "Recipe_Preset_Ajax_Moron_Legendary", "Recipe_Preset_Baseball_Bat_Denny_Epic", "Recipe_Preset_Baseball_Bat_Denny_Legendary", "Recipe_Preset_Baton_Tinker_Bell_Epic", "Recipe_Preset_Baton_Tinker_Bell_Legendary", "Recipe_Preset_Burya_Comrade", "Recipe_Preset_Burya_Comrade_Legendary", "Recipe_Preset_Cane_Fingers_Epic", "Recipe_Preset_Cane_Fingers_Legendary", "Recipe_Preset_Carnage_Mox_Epic", "Recipe_Preset_Carnage_Mox_Legendary", "Recipe_Preset_Copperhead_Genesis", "Recipe_Preset_Copperhead_Genesis_Epic", "Recipe_Preset_Copperhead_Genesis_Legendary", "Recipe_Preset_Dian_Yinglong", "Recipe_Preset_Dildo_Stout_Epic", "Recipe_Preset_Dildo_Stout_Legendary", "Recipe_Preset_Grad_Buck_Legendary", "Recipe_Preset_Grad_Panam", "Recipe_Preset_Grad_Panam_Epic", "Recipe_Preset_Grad_Panam_Legendary", "Recipe_Preset_Igla_Sovereign", "Recipe_Preset_Igla_Sovereign_Legendary", "Recipe_Preset_Katana_Cocktail_Epic", "Recipe_Preset_Katana_Cocktail_Legendary", "Recipe_Preset_Katana_GoG_Epic", "Recipe_Preset_Katana_GoG_Legendary", "Recipe_Preset_Katana_Hiromi_Epic", "Recipe_Preset_Katana_Hiromi_Legendary", "Recipe_Preset_Katana_Saburo_Epic", "Recipe_Preset_Katana_Saburo_Legendary", "Recipe_Preset_Katana_Surgeon_Epic", "Recipe_Preset_Katana_Surgeon_Legendary", "Recipe_Preset_Katana_Takemura_Legendary", "Recipe_Preset_Kenshin_Frank_Legendary", "Recipe_Preset_Kenshin_Royce_Epic", "Recipe_Preset_Kenshin_Royce_Legendary", "Recipe_Preset_Knife_Stinger_Epic", "Recipe_Preset_Knife_Stinger_Legendary", "Recipe_Preset_Lexington_Wilson_Epic", "Recipe_Preset_Lexington_Wilson_Legendary", "Recipe_Preset_Lexington_Wilson_Rare", "Recipe_Preset_Liberty_Dex_Epic", "Recipe_Preset_Liberty_Dex_Legendary", "Recipe_Preset_Liberty_Yorinobu_Epic", "Recipe_Preset_Liberty_Yorinobu_Legendary", "Recipe_Preset_Nekomata_Breakthrough", "Recipe_Preset_Nekomata_Breakthrough_Legendary", "Recipe_Preset_Nova_Doom_Doom_Epic", "Recipe_Preset_Nova_Doom_Doom_Legendary", "Recipe_Preset_Nue_Jackie_Epic", "Recipe_Preset_Nue_Jackie_Legendary", "Recipe_Preset_Nue_Maiko_Epic", "Recipe_Preset_Nue_Maiko_Legendary", "Recipe_Preset_Omaha_Suzie_Epic", "Recipe_Preset_Omaha_Suzie_Legendary", "Recipe_Preset_Overture_Cassidy_Legendary", "Recipe_Preset_Overture_Kerry_Epic", "Recipe_Preset_Overture_Kerry_Legendary", "Recipe_Preset_Overture_River_Legendary", "Recipe_Preset_Pulsar_Buzzsaw", "Recipe_Preset_Pulsar_Buzzsaw_Epic", "Recipe_Preset_Pulsar_Buzzsaw_Legendary", "Recipe_Preset_Saratoga_Maelstrom_Epic", "Recipe_Preset_Saratoga_Maelstrom_Legendary", "Recipe_Preset_Saratoga_Raffen_Epic", "Recipe_Preset_Saratoga_Raffen_Legendary", "Recipe_Preset_Sidewinder_Divided_Epic", "Recipe_Preset_Sidewinder_Divided_Legendary", "Recipe_Preset_Tactician_Headsman", "Recipe_Preset_Tactician_Headsman_Legendary", "Recipe_Preset_Yukimura_Kiji_Legendary", "Recipe_Preset_Zhuo_Eight_Star", "UncommonAchillesRecipe", "UncommonAjaxRecipe", "UncommonAshuraRecipe", "UncommonBatonBetaRecipe", "UncommonBatonGammaRecipe", "UncommonBatonRecipe", "UncommonBatRecipe", "UncommonBuryaRecipe", "UncommonButchersKnifeRecipe", "UncommonCarnageRecipe", "UncommonChaoRecipe", "UncommonChefsKnifeRecipe", "UncommonCopperheadRecipe", "UncommonCrowbarRecipe", "UncommonCrusherRecipe", "UncommonDefenderRecipe", "UncommonDianRecipe", "UncommonGradRecipe", "UncommonGuillotineRecipe", "UncommonHammerRecipe", "UncommonIglaRecipe", "UncommonIronPipeRecipe", "UncommonKanaboRecipe", "UncommonKatanaRecipe", "UncommonKenshinRecipe", "UncommonKnifeRecipe", "UncommonKukriRecipe", "UncommonLexingtonRecipe", "UncommonLibertyRecipe", "UncommonMacheteRecipe", "UncommonMasamuneRecipe", "UncommonNekomataRecipe", "UncommonNovaRecipe", "UncommonNueRecipe", "UncommonOmahaRecipe", "UncommonOvertureRecipe", "UncommonPalicaRecipe", "UncommonPipeWrenchRecipe", "UncommonPulsarRecipe", "UncommonQuasarRecipe", "UncommonSaratogaRecipe", "UncommonSataraRecipe", "UncommonShingenRecipe", "UncommonSidewinderRecipe", "UncommonSor22Recipe", "UncommonTacticianRecipe", "UncommonTantoRecipe", "UncommonTesteraRecipe", "UncommonTireIronRecipe", "UncommonTomahawkRecipe", "UncommonUmbraRecipe", "UncommonUnityRecipe", "UncommonYukimuraRecipe", "UncommonZhuoRecipe", "CommonSenkohRecipe", "UncommonSenkohRecipe", "RareSenkohRecipe", "EpicSenkohRecipe", "LegendarySenkohRecipe", "CommonNeurotoxinKnifeRecipe", "UncommonNeurotoxinKnifeRecipe", "RareNeurotoxinKnifeRecipe", "EpicNeurotoxinKnifeRecipe", "LegendaryNeurotoxinKnifeRecipe", "CommonFangedAxeRecipe", "UncommonFangedAxeRecipe", "RareFangedAxeRecipe", "EpicFangedAxeRecipe", "LegendaryFangedAxeRecipe", "CommonChainswordRecipe", "UncommonChainswordRecipe", "RareChainswordRecipe", "EpicChainswordRecipe", "LegendaryChainswordRecipe", "CommonPunkKnifeRecipe", "UncommonPunkKnifeRecipe", "RarePunkKnifeRecipe", "EpicPunkKnifeRecipe", "LegendaryPunkKnifeRecipe", "CommonMA70Recipe", "UncommonMA70Recipe", "RareMA70Recipe", "EpicMA70Recipe", "LegendaryMA70Recipe", "CommonMacheteBorgRecipe", "UncommonMacheteBorgRecipe", "RareMacheteBorgRecipe", "EpicMacheteBorgRecipe", "LegendaryMacheteBorgRecipe", "CommonPozharRecipe", "UncommonPozharRecipe", "RarePozharRecipe", "EpicPozharRecipe", "LegendaryPozharRecipe", "CommonKappaRecipe", "UncommonKappaRecipe", "RareKappaRecipe", "EpicKappaRecipe", "LegendaryKappaRecipe", "CommonKyubiRecipe", "UncommonKyubiRecipe", "RareKyubiRecipe", "EpicKyubiRecipe", "LegendaryKyubiRecipe", "Recipe_Preset_Neurotoxin_Knife_Iconic_Epic", "Recipe_Preset_Neurotoxin_Knife_Iconic_Legendary", "Recipe_Preset_Butchers_Knife_Iconic_Epic", "Recipe_Preset_Butchers_Knife_Iconic_Legendary", "Recipe_Preset_Carnage_Edgerunners_Legendary", "Recipe_Preset_Punk_Knife_Iconic_Epic", "Recipe_Preset_Punk_Knife_Iconic_Legendary", "Recipe_Preset_Kolac_Tiny_Mike_Legendary", "Recipe_Preset_Tactician_Dino_Legendary", "Recipe_Common_Nekomata_Breakthrough", "Recipe_Preset_Liberty_Padre_Legendary", "Recipe_Common_Dian_Yinglong", "CommonWardenRecipe", "Recipe_Common_Pulsar_Buzzsaw", "Recipe_Common_Tactician_Headsman", "Recipe_Common_Zhuo_Eight_Star", "Recipe_Common_Burya_Comrade", "Recipe_Preset_Katana_GoG", "Recipe_Common_Copperhead_Genesis", "CommonTiconRecipe", "Recipe_Common_Igla_Sovereign", "Recipe_Common_Borg4a_HauntedGun", "Recipe_Common_Ajax_Moron", "CommonMetelRecipe", "Recipe_Preset_Katana_Wakako_Legendary", "Recipe_Preset_Borg4a_HauntedGun", "CommonGritRecipe", "Recipe_Rare_Ajax_Moron", "Recipe_Rare_Copperhead_Genesis", "Recipe_Rare_Igla_Sovereign", "RareGritRecipe", "RareTiconRecipe", "Recipe_Rare_Burya_Comrade", "RareMetelRecipe", "Recipe_Rare_Zhuo_Eight_Star", "Recipe_Rare_Tactician_Headsman", "Recipe_Rare_Pulsar_Buzzsaw", "Recipe_Rare_Borg4a_HauntedGun", "RareWardenRecipe", "Recipe_Rare_Dian_Yinglong", "Recipe_Rare_Nekomata_Breakthrough", "Recipe_Uncommon_Ajax_Moron", "Recipe_Uncommon_Copperhead_Genesis", "Recipe_Uncommon_Igla_Sovereign", "UncommonGritRecipe", "UncommonTiconRecipe", "Recipe_Uncommon_Burya_Comrade", "UncommonMetelRecipe", "Recipe_Uncommon_Zhuo_Eight_Star", "Recipe_Uncommon_Tactician_Headsman", "Recipe_Uncommon_Pulsar_Buzzsaw", "Recipe_Uncommon_Borg4a_HauntedGun", "UncommonWardenRecipe", "Recipe_Uncommon_Dian_Yinglong", "Recipe_Uncommon_Nekomata_Breakthrough", "Recipe_Epic_Ajax_Moron", "Recipe_Epic_Copperhead_Genesis", "Recipe_Epic_Igla_Sovereign", "EpicGritRecipe", "EpicTiconRecipe", "Recipe_Epic_Burya_Comrade", "EpicMetelRecipe", "Recipe_Epic_Zhuo_Eight_Star", "Recipe_Epic_Tactician_Headsman", "Recipe_Epic_Pulsar_Buzzsaw", "Recipe_Epic_Borg4a_HauntedGun", "EpicWardenRecipe", "Recipe_Epic_Dian_Yinglong", "Recipe_Epic_Nekomata_Breakthrough", "Recipe_Legendary_Ajax_Moron", "Recipe_Legendary_Copperhead_Genesis", "Recipe_Legendary_Igla_Sovereign", "LegendaryGritRecipe", "LegendaryTiconRecipe", "Recipe_Legendary_Burya_Comrade", "LegendaryMetelRecipe", "Recipe_Legendary_Zhuo_Eight_Star", "Recipe_Legendary_Tactician_Headsman", "Recipe_Legendary_Pulsar_Buzzsaw", "Recipe_Legendary_Borg4a_HauntedGun", "LegendaryWardenRecipe", "Recipe_Legendary_Dian_Yinglong", "Recipe_Legendary_Nekomata_Breakthrough" } do Game.AddToInventory("Items." .. v , 1) end print(" - Added: ALL WEAPONS RECIPES\n ")</t>
  </si>
  <si>
    <t>All Mods Recipes</t>
  </si>
  <si>
    <t>for i, v in next, { "Recipe_BerserkFragment1", "Recipe_BerserkFragment2", "Recipe_BerserkFragment3", "Recipe_BerserkFragment4", "Recipe_BerserkFragment5", "Recipe_BerserkFragment6", "Recipe_BerserkFragment7", "Recipe_BerserkFragment8", "Recipe_AnimalsBerserkFragment1", "Recipe_ArasakaSandevistanFragment1", "Recipe_ArmsCyberwareSharedFragment1", "Recipe_ArmsCyberwareSharedFragment2", "Recipe_ArmsCyberwareSharedFragment3", "Recipe_ArmsCyberwareSharedFragment4", "Recipe_ChemicalDamageCable", "Recipe_ChemicalDamageEdge", "Recipe_ChemicalDamageKnuckles", "Recipe_ChemicalDamageRound", "Recipe_ElectricDamageCable", "Recipe_ElectricDamageEdge", "Recipe_ElectricDamageKnuckles", "Recipe_ElectricDamageRound", "Recipe_ExplosiveDamageRound", "Recipe_FastRotor", "Recipe_HighChargedBattery", "Recipe_HighChargedWiresBattery", "Recipe_KiroshiOpticsFragment1", "Recipe_KiroshiOpticsFragment2", "Recipe_KiroshiOpticsFragment3", "Recipe_KiroshiOpticsFragment4", "Recipe_KiroshiOpticsFragment5", "Recipe_LowChargedBattery", "Recipe_LowChargedWiresBattery", "Recipe_MediumChargedBattery", "Recipe_MediumChargedWiresBattery", "Recipe_MetalPlating", "Recipe_NeoplasticPlating", "Recipe_PhysicalDamageCable", "Recipe_PhysicalDamageEdge", "Recipe_PhysicalDamageKnuckles", "Recipe_SandevistanFragment1", "Recipe_SandevistanFragment2", "Recipe_SandevistanFragment3", "Recipe_SandevistanFragment4", "Recipe_SlowRotor", "Recipe_ThermalDamageCable", "Recipe_ThermalDamageEdge", "Recipe_ThermalDamageKnuckles", "Recipe_ThermalDamageRound", "Recipe_TitaniumPlating", "Recipe_TygerClawsSandevistanFragment1", "Recipe_ValentinosSandevistanFragment1", "ARSMGLMGMod1_Rare_Recipe", "ARSMGLMGMod3_Rare_Recipe", "ARSMGLMGMod2_Rare_Recipe", "BladeMod1_Rare_Recipe", "BladeMod3_Rare_Recipe", "BluntMod2_Rare_Recipe", "BluntMod1_Rare_Recipe", "MeleeMod1_Rare_Recipe", "MeleeMod2_Rare_Recipe", "MeleeMod3_Rare_Recipe", "HGMod3_Rare_Recipe", "HGMod1_Rare_Recipe", "HGMod2_Rare_Recipe", "PowerMod3_Rare_Recipe", "PowerMod1_Rare_Recipe", "PowerMod2_Rare_Recipe", "RangedMod3_Rare_Recipe", "RangedMod2_Rare_Recipe", "ShotgunMod3_Rare_Recipe", "ShotgunMod1_Rare_Recipe", "SmartMod2_Rare_Recipe", "SmartMod3_Rare_Recipe", "PRSRMod3_Rare_Recipe", "PRSRMod2_Rare_Recipe", "PRSRMod1_Rare_Recipe", "TechMod2_Rare_Recipe", "TechMod1_Rare_Recipe", "TechMod3_Rare_Recipe", "ThrowMod1_Rare_Recipe", "ThrowMod3_Rare_Recipe", "GenericMod1_Rare_Recipe", "ARSMGLMGMod1_Uncommon_Recipe", "ARSMGLMGMod3_Uncommon_Recipe", "ARSMGLMGMod2_Uncommon_Recipe", "BladeMod1_Uncommon_Recipe", "BladeMod3_Uncommon_Recipe", "BluntMod2_Uncommon_Recipe", "BluntMod1_Uncommon_Recipe", "MeleeMod1_Uncommon_Recipe", "MeleeMod2_Uncommon_Recipe", "MeleeMod3_Uncommon_Recipe", "HGMod3_Uncommon_Recipe", "HGMod1_Uncommon_Recipe", "HGMod2_Uncommon_Recipe", "PowerMod3_Uncommon_Recipe_1", "PowerMod1_Uncommon_Recipe", "RangedMod3_Uncommon_Recipe", "RangedMod2_Uncommon_Recipe", "ShotgunMod3_Uncommon_Recipe", "ShotgunMod1_Uncommon_Recipe", "SmartMod2_Uncommon_Recipe", "SmartMod3_Uncommon_Recipe", "PRSRMod3_Uncommon_Recipe", "PRSRMod2_Uncommon_Recipe", "PRSRMod1_Uncommon_Recipe", "TechMod2_Uncommon_Recipe", "TechMod1_Uncommon_Recipe", "TechMod3_Uncommon_Recipe", "ThrowMod1_Uncommon_Recipe", "ThrowMod3_Uncommon_Recipe", "GenericMod1_Uncommon_Recipe", "ARSMGLMGMod1_Epic_Recipe", "ARSMGLMGMod3_Epic_Recipe", "ARSMGLMGMod2_Epic_Recipe", "BladeMod1_Epic_Recipe", "BladeMod3_Epic_Recipe", "BluntMod2_Epic_Recipe", "BluntMod1_Epic_Recipe", "MeleeMod1_Epic_Recipe", "MeleeMod2_Epic_Recipe", "MeleeMod3_Epic_Recipe", "HGMod3_Epic_Recipe", "HGMod1_Epic_Recipe", "HGMod2_Epic_Recipe", "PowerMod3_Epic_Recipe", "PowerMod1_Epic_Recipe", "PowerMod2_Epic_Recipe", "RangedMod3_Epic_Recipe", "RangedMod2_Epic_Recipe", "ShotgunMod3_Epic_Recipe", "ShotgunMod1_Epic_Recipe", "SmartMod2_Epic_Recipe", "SmartMod3_Epic_Recipe", "PRSRMod3_Epic_Recipe", "PRSRMod2_Epic_Recipe", "PRSRMod1_Epic_Recipe", "TechMod2_Epic_Recipe", "TechMod1_Epic_Recipe", "TechMod3_Epic_Recipe", "ThrowMod1_Epic_Recipe", "ThrowMod3_Epic_Recipe", "ThrowMod2_Epic_Recipe", "GenericMod1_Epic_Recipe", "ARSMGLMGMod1_Legendary_Recipe", "ARSMGLMGMod3_Legendary_Recipe", "ARSMGLMGMod2_Legendary_Recipe", "BladeMod1_Legendary_Recipe", "BladeMod3_Legendary_Recipe", "BluntMod3_Legendary_Recipe", "BluntMod2_Legendary_Recipe", "BluntMod1_Legendary_Recipe", "MeleeMod1_Legendary_Recipe", "MeleeMod2_Legendary_Recipe", "ChimeraMeleeMod_Recipe", "MeleeMod3_Legendary_Recipe", "HGMod3_Legendary_Recipe", "HGMod1_Legendary_Recipe", "HGMod2_Legendary_Recipe", "PowerMod3_Legendary_Recipe", "ChimeraPowerMod_Recipe", "PowerMod1_Legendary_Recipe", "PowerMod2_Legendary_Recipe", "RangedMod1_Legendary_Recipe", "RangedMod3_Legendary_Recipe", "RangedMod2_Legendary_Recipe", "ShotgunMod3_Legendary_Recipe", "ShotgunMod1_Legendary_Recipe", "SmartMod1_Legendary_Recipe", "SmartMod2_Legendary_Recipe", "ChimeraSmartMod_Recipe", "SmartMod3_Legendary_Recipe", "PRSRMod3_Legendary_Recipe", "PRSRMod2_Legendary_Recipe", "PRSRMod1_Legendary_Recipe", "TechMod2_Legendary_Recipe", "TechMod1_Legendary_Recipe", "TechMod3_Legendary_Recipe", "ChimeraTechMod_Recipe", "ThrowMod1_Legendary_Recipe", "ThrowMod3_Legendary_Recipe", "ThrowMod2_Legendary_Recipe", "GenericMod1_Legendary_Recipe"  } do Game.AddToInventory("Items."..v, 1) end print(" - Added: ALL MODS RECIPES")</t>
  </si>
  <si>
    <t>All Grenades</t>
  </si>
  <si>
    <t>for i, v in next, { "GrenadeOzobsNose", "GrenadeBiohazardLegendaryPlus", "CuttingGrenadeLegendaryPlus", "GrenadeEMPLegendaryPlus", "GrenadeFlashLegendaryPlus", "GrenadeFragLegendaryPlus", "GrenadeIncendiaryLegendaryPlus", "GrenadeReconLegendaryPlus", "GrenadeSmokeLegendaryPlus" } do Game.AddToInventory("Items."..v, 1) end</t>
  </si>
  <si>
    <t>All Grenades Recipes</t>
  </si>
  <si>
    <t>for i, v in next, { "RecipeGrenadeIncendiaryRegular",  "RecipeGrenadeIncendiarySticky",  "RecipeGrenadeIncendiaryHoming",  "RecipeGrenadeEMPRegular",  "RecipeGrenadeEMPSticky",  "RecipeGrenadeEMPHoming",  "RecipeGrenadeFragRegular",  "RecipeGrenadeFragSticky",  "RecipeGrenadeFragHoming",  "RecipeGrenadeCuttingRegular",  "RecipeGrenadeBiohazardRegular",  "RecipeGrenadeBiohazardHoming",  "RecipeGrenadeOzobsNose",  "RecipeGrenadeReconRegular",  "RecipeGrenadeReconSticky",  "RecipeGrenadeFlashRegular",  "RecipeGrenadeFlashHoming", "RecipeGrenadeIncendiaryRare", "RecipeGrenadeEMPRare", "RecipeGrenadeReconRare", "RecipeGrenadeSmokeRare", "RecipeGrenadeEMPUncommon", "RecipeGrenadeFragUncommon", "RecipeGrenadeSmokeRegular", "RecipeGrenadeFlashUncommon", "RecipeGrenadeFragEpic", "RecipeGrenadeSmokeEpic", "RecipeGrenadeFlashEpic", "RecipeGrenadeIncendiaryLegendary", "RecipeGrenadeEMPLegendary", "RecipeGrenadeBiohazardLegendary", "RecipeGrenadeReconLegendary", "RecipeGrenadeSmokeLegendary", "RecipeGrenadeFlashLegendary" } do Game.AddToInventory("Items." .. v , 1) end print(" - Added: ALL GRENADES RECIPES")</t>
  </si>
  <si>
    <t>All Iconic Quickhacks</t>
  </si>
  <si>
    <t>Game.AddToInventory("Items.EMPOverloadLvl4PlusPlusProgram",1);Game.AddToInventory("Items.OverheatLvl4PlusPlusProgram",1);Game.AddToInventory("Items.ContagionLvl4PlusPlusProgram",1);Game.AddToInventory("Items.BrainMeltLvl4PlusPlusProgram",1);Game.AddToInventory("Items.SuicideLvl4PlusPlusProgram",1);Game.AddToInventory("Items.GrenadeExplodeLvl4PlusPlusProgram",1);Game.AddToInventory("Items.SystemCollapseLvl4PlusPlusProgram",1);Game.AddToInventory("Items.MadnessLvl4PlusPlusProgram",1);Game.AddToInventory("Items.DisableCyberwareLvl4PlusPlusProgram",1);Game.AddToInventory("Items.LocomotionMalfunctionLvl4PlusPlusProgram",1);Game.AddToInventory("Items.WeaponMalfunctionLvl4PlusPlusProgram",1);Game.AddToInventory("Items.BlindLvl4PlusPlusProgram",1);Game.AddToInventory("Items.CommsNoiseLvl4PlusPlusProgram",1);Game.AddToInventory("Items.CommsCallInLvl4PlusPlusProgram",1);Game.AddToInventory("Items.WhistleLvl4PlusPlusProgram",1);Game.AddToInventory("Items.PingLvl4PlusPlusProgram",1);Game.AddToInventory("Items.MemoryWipeLvl4PlusPlusProgram",1);</t>
  </si>
  <si>
    <t>All Quickhacks Recipes</t>
  </si>
  <si>
    <t>for i, v in next, { "Recipe_ContagionProgram",  "Recipe_ContagionLvl2Program",  "Recipe_ContagionLvl3Program",  "Recipe_ContagionLvl4Program",  "Recipe_LocomotionMalfunctionProgram",  "Recipe_LocomotionMalfunctionLvl2Program",  "Recipe_LocomotionMalfunctionLvl3Program",  "Recipe_LocomotionMalfunctionLvl4Program",  "Recipe_MadnessLvl3Program",  "Recipe_MadnessLvl4Program",  "Recipe_DisableCyberwareProgram",  "Recipe_DisableCyberwareLvl2Program",  "Recipe_DisableCyberwareLvl3Program",  "Recipe_GrenadeExplodeLvl3Program",  "Recipe_GrenadeExplodeLvl4Program",  "Recipe_MemoryWipeLvl2Program",  "Recipe_MemoryWipeLvl3Program",  "Recipe_OverheatProgram",  "Recipe_OverheatLvl2Program",  "Recipe_OverheatLvl3Program",  "Recipe_OverheatLvl4Program",  "Recipe_PingProgram",  "Recipe_PingLvl2Program",  "Recipe_PingLvl3Program",  "Recipe_PingLvl4Program",  "Recipe_BlindLvl2Program",  "Recipe_BlindLvl3Program",  "Recipe_BlindLvl4Program",  "Recipe_BlindProgram",  "Recipe_CommsCallInProgram",  "Recipe_CommsCallInLvl3Program",  "Recipe_EMPOverloadProgram",  "Recipe_EMPOverloadLvl2Program",  "Recipe_EMPOverloadLvl3Program",  "Recipe_EMPOverloadLvl4Program",  "Recipe_CommsNoiseProgram",  "Recipe_CommsNoiseLvl2Program",  "Recipe_CommsNoiseLvl3Program",  "Recipe_CommsNoiseLvl4Program",  "Recipe_SuicideLvl3Program",  "Recipe_SuicideLvl4Program",  "Recipe_BrainMeltLvl2Program",  "Recipe_BrainMeltLvl3Program",  "Recipe_BrainMeltLvl4Program",  "Recipe_SystemCollapseLvl3Program",  "Recipe_SystemCollapseLvl4Program",  "Recipe_WeaponMalfunctionProgram",  "Recipe_WeaponMalfunctionLvl2Program",  "Recipe_WeaponMalfunctionLvl3Program",  "Recipe_WeaponMalfunctionLvl4Program",  "Recipe_WhistleProgram",  "Recipe_WhistleLvl2Program",  "Recipe_WhistleLvl3Program", "Recipe_WhistleLvl0Program", "Recipe_CommsCallInLvl2Program", "Recipe_WhistleLvl1Program", "Recipe_OverheatLvl1Program", "Recipe_BlindLvl1Program", "Recipe_CommsCallInLvl1Program", "Recipe_EMPOverloadLvl1Program", "Recipe_WhistleLvl4Program", "Recipe_WhistleLvl4PlusPlusProgram", "Recipe_ContagionLvl4PlusPlusProgram", "Recipe_LocomotionMalfunctionLvl4PlusPlusProgram", "Recipe_MadnessLvl4PlusPlusProgram", "Recipe_DisableCyberwareLvl4Program", "Recipe_DisableCyberwareLvl4PlusPlusProgram", "Recipe_GrenadeExplodeLvl4PlusPlusProgram", "Recipe_MemoryWipeLvl4Program", "Recipe_MemoryWipeLvl4PlusPlusProgram", "Recipe_OverheatLvl4PlusPlusProgram", "Recipe_PingLvl4PlusPlusProgram", "Recipe_BlindLvl4PlusPlusProgram", "Recipe_CommsCallInLvl4Program", "Recipe_CommsCallInLvl4PlusPlusProgram", "Recipe_EMPOverloadLvl4PlusPlusProgram", "Recipe_CommsNoiseLvl4PlusPlusProgram", "Recipe_SuicideLvl4PlusPlusProgram", "Recipe_BrainMeltLvl4PlusPlusProgram", "Recipe_SystemCollapseLvl4PlusPlusProgram", "Recipe_WeaponMalfunctionLvl4PlusPlusProgram" } do Game.AddToInventory("Items." .. v , 1) end print(" - Added: ALL QUICKHACKS RECIPES")</t>
  </si>
  <si>
    <t>All Crafting Materials 5k</t>
  </si>
  <si>
    <t>Game.AddToInventory("Items.LegendaryMaterial1",5000);Game.AddToInventory("Items.EpicMaterial1",5000);Game.AddToInventory("Items.RareMaterial1",5000);Game.AddToInventory("Items.UncommonMaterial1",5000);Game.AddToInventory("Items.CommonMaterial1",5000);Game.AddToInventory("Items.QuickHackLegendaryMaterial1",5000);Game.AddToInventory("Items.QuickHackEpicMaterial1",5000);Game.AddToInventory("Items.QuickHackRareMaterial1",5000);Game.AddToInventory("Items.QuickHackUncommonMaterial1",5000);</t>
  </si>
  <si>
    <t>All Clothes To The Wardrobe</t>
  </si>
  <si>
    <t xml:space="preserve">local count = 0; clothes = TweakDB:GetRecords('gamedataClothing_Record'); for _, item in ipairs(clothes) do WA = Game.GetWardrobeSystem(); itemID = item:GetID(); itemTDBID = TDBID.ToStringDEBUG(itemID); locName = Game.GetLocalizedTextByKey(TDB.GetLocKey(item:GetID() .. '.displayName')); PlaGend = Game.GetPlayer():GetResolvedGenderName().value; errMsg1 = "   -   Broken / Invalid  ID"; errMsg2 = " found, skipping  -&gt;  "..itemTDBID..'   -   '..locName; local check = function(txt) if string.find(itemTDBID, txt) then return true end end if check('Test') or check('_EP1') or check('sq030_diving_suit') or check ('Q203_folded_jacket') or check('q005_militech_') or check('gle_03_johnny') or check('q203_pants') or check('Items.sp0') or check('leggins0302') or check('sq032_dogtags') or check('Q203_Spacesuit_Helmet') or check('TightJumpsuit_01_test') or check('Proficiency_TightJumpsuit') then print(errMsg1..errMsg2) elseif locName == '' or locName == 'Retrothrusters (from Rogue)' then print(errMsg1..errMsg2) elseif check('Hat_05_old_04') and PlaGend == 'Male' then print(errMsg1.." for MALE character"..errMsg2) elseif check('Hat_06_basic_05') and PlaGend == 'Male' then print(errMsg1.." for MALE character"..errMsg2) elseif WA:IsItemBlacklisted(ItemID.new(itemID)) then print("   -   Blacklisted  ID"..errMsg2) else count = count + 1; WA:StoreUniqueItemIDAndMarkNew(ItemID.new(TweakDBID.new(itemTDBID))) print(count.."   -   ADDED  -&gt;  "..locName.."   -   "..itemTDBID) end end print(' \n - [ '..count..' ] CLOTHES ADDED! \n ') </t>
  </si>
  <si>
    <t>All Clothes Recipes</t>
  </si>
  <si>
    <t>for i, v in next, { "UncommonVestRecipe",  "RareFormalShoesRecipe",  "LegendaryTechRecipe",  "EpicLooseShirtRecipe",  "UncommonVisorRecipe",  "RareFormalPantsRecipe",  "EpicShortsRecipe",  "EpicHatRecipe",  "LegendaryFormalSkirtRecipe",  "RareShortsRecipe",  "UncommonFormalShoesRecipe",  "LegendaryShortsRecipe",  "LegendaryShirtRecipe",  "UncommonCapRecipe",  "LegendaryFormalShoesRecipe",  "EpicFormalJacketRecipe",  "LegendaryTShirtRecipe",  "UncommonBalaclavaRecipe",  "LegendaryJacketRecipe",  "RareJacketRecipe",  "LegendaryCapRecipe",  "UncommonHelmetRecipe",  "UncommonPantsRecipe",  "RareFormalJacketRecipe",  "LegendaryCasualShoesRecipe",  "Recipe_GOG_Galaxy_TShirt_Epic",  "Recipe_GOG_Galaxy_TShirt_Legendary",  "EpicPantsRecipe",  "RareBootsRecipe",  "LegendaryPantsRecipe",  "EpicGlassesRecipe",  "UncommonFormalSkirtRecipe",  "EpicScarfRecipe",  "EpicCasualShoesRecipe",  "UncommonDressRecipe",  "UncommonShirtLooseRecipe",  "EpicFormalSkirtRecipe",  "UncommonJacketRecipe",  "Recipe_Q005_Johnny_Glasses_Epic",  "Recipe_Q005_Johnny_Glasses_Legendary",  "Recipe_Q005_Johnny_Pants_Epic",  "Recipe_Q005_Johnny_Pants_Legendary",  "Recipe_Q005_Johnny_Shoes_Epic",  "Recipe_Q005_Johnny_Shoes_Legendary",  "Recipe_Q005_Johnny_Shirt_Epic",  "Recipe_Q005_Johnny_Shirt_Legendary",  "EpicHelmetRecipe",  "LegendaryJumpsuitRecipe",  "UncommonTechRecipe",  "EpicMaskRecipe",  "EpicFormalShoesRecipe",  "LegendaryBootsRecipe",  "RareCoatRecipe",  "LegendaryHatRecipe",  "UncommonMaskRecipe",  "EpicUndershirtRecipe",  "EpicFormalShirtRecipe",  "EpicBootsRecipe",  "RareVestRecipe",  "RareShirtRecipe",  "RareTShirtRecipe",  "LegendaryTightJumpsuitRecipe",  "UncommonFormalShirtRecipe",  "UncommonBootsRecipe",  "Recipe_SQ031_Samurai_Jacket_Epic",  "Recipe_SQ031_Samurai_Jacket_Legendary",  "RareCasualShoesRecipe",  "LegendaryScarfRecipe",  "LegendaryVestRecipe",  "UncommonShirtRecipe",  "UncommonUndershirtRecipe",  "RareHelmetRecipe",  "UncommonFormalPantsRecipe",  "RareUndershirtRecipe",  "EpicCapRecipe",  "EpicCoatRecipe",  "RareGlassesRecipe",  "LegendaryVisorRecipe",  "UncommonCasualShoesRecipe",  "LegendaryGlassesRecipe",  "RareScarfRecipe",  "RareMaskRecipe",  "RareTechRecipe",  "EpicTShirtRecipe",  "LegendaryFormalPantsRecipe",  "RareHatRecipe",  "RarePantsRecipe",  "Recipe_GOG_DLC_Jacket_Epic",  "Recipe_GOG_DLC_Jacket_Legendary",  "Recipe_GOG_DLC_TShirt_Epic",  "Recipe_GOG_DLC_TShirt_Legendary",  "EpicVisorRecipe", "Recipe_GOG_Galaxy_TShirt", "Recipe_GOG_DLC_TShirt", "Recipe_Jacket_19_basic_04_DLC_Epic", "Recipe_Jacket_19_basic_04_DLC_Legendary", "Recipe_Jacket_20_basic_01_DLC_Epic", "Recipe_Jacket_20_basic_01_DLC_Legendary", "Recipe_Jacket_19_basic_04_DLC", "Recipe_Jacket_20_basic_01_DLC", "Recipe_GOG_DLC_Jacket" } do Game.AddToInventory("Items." .. v , 1) end print(" - Added: ALL CLOTHES RECIPES")</t>
  </si>
  <si>
    <t>Unequip/remove</t>
  </si>
  <si>
    <t>Remove all items except quest items.</t>
  </si>
  <si>
    <t>Game.GetTransactionSystem():RemoveAllItems(Game.GetPlayer())</t>
  </si>
  <si>
    <t>Remove All Inventory Items</t>
  </si>
  <si>
    <t xml:space="preserve">P = Game.GetPlayer(); currWeight = P.curInventoryWeight; equip = function(id) RPGManager.ForceEquipItemOnPlayer(P, id, true) end Game.GetTransactionSystem():RemoveAllItems(P) P:UpdateInventoryWeight(-currWeight) P:EvaluateEncumbrance() equip("Items.AdvancedMilitechParalineMKICommon") equip("Items.CharacterCustomizationArms")  equip("Items.w_melee_004__fists_a") </t>
  </si>
  <si>
    <t>Remove All Junk Items</t>
  </si>
  <si>
    <t>Tag = "Junk"; LeaveOne = false; P = Game.GetPlayer(); TS = Game.GetTransactionSystem(); INV = {TS:GetItemList(P)}; for i, item in ipairs(INV[2]) do itemID = item:GetID(); itemQua = TS:GetItemQuantity(P, itemID); itemName = Game.GetLocalizedTextByKey(TDB.GetLocKey(itemID.id..".displayName")); toStrID = TDBID.ToStringDEBUG(itemID.id); if TS:HasTag(P, Tag, itemID) and not TS:HasTag(P, "Quest ", itemID) then if LeaveOne then if itemQua &gt; 1 then TS:RemoveItem(P, itemID, (itemQua-1)) print("  -  REMOVED: "..itemName.."  x  "..itemQua-1) end else TS:RemoveItem(P, itemID, itemQua) print("  -  REMOVED: "..itemName.."  x  "..itemQua) end end end</t>
  </si>
  <si>
    <t>Quest</t>
  </si>
  <si>
    <t>Complete Active/Current Quests if stuck</t>
  </si>
  <si>
    <t>journalManager = Game.GetJournalManager() trackedEntry = journalManager:GetTrackedEntry() questEntry = journalManager:GetParentEntry(journalManager:GetParentEntry(trackedEntry)) questEntryHash = journalManager:GetEntryHash(questEntry) journalManager:ChangeEntryStateByHash(questEntryHash, "Succeeded", "Notify")</t>
  </si>
  <si>
    <r>
      <rPr>
        <rFont val="Arial"/>
        <color theme="1"/>
        <sz val="10.0"/>
      </rPr>
      <t xml:space="preserve">Force </t>
    </r>
    <r>
      <rPr>
        <rFont val="Arial"/>
        <b/>
        <i/>
        <color theme="1"/>
        <sz val="10.0"/>
      </rPr>
      <t>untrack</t>
    </r>
    <r>
      <rPr>
        <rFont val="Arial"/>
        <color theme="1"/>
        <sz val="10.0"/>
      </rPr>
      <t xml:space="preserve"> current quest</t>
    </r>
  </si>
  <si>
    <t xml:space="preserve">untrackMainQuestOnly = false; untrackQuest = function() local mainMenu = Game.GetSystemRequestsHandler():IsPreGame(); local UIDef = Game.GetAllBlackboardDefs().UI_System; local BB = Game.GetBlackboardSystem():Get(UIDef); if not mainMenu and not BB:GetBool(UIDef.IsInMenu) then local JM = Game.GetJournalManager(); if untrackMainQuestOnly then local context = JournalRequestContext.new(); local filter = JournalRequestStateFilter.new(); filter.active = true; context.stateFilter = filter; local entries = JM:GetQuests(context) for i, entry in ipairs(entries) do if JM:GetQuestType(entry) == gameJournalQuestType.MainQuest then if JM:IsEntryTracked(entry) then JM:UntrackEntry() end end end else local curEntry = JM:GetTrackedEntry(); if JM:IsEntryTracked(curEntry) then JM:UntrackEntry() end end BB:SetBool(UIDef.IsInMenu, true) BB:SetBool(UIDef.IsInMenu, false) end end untrackQuest() </t>
  </si>
  <si>
    <t>Quest Facts</t>
  </si>
  <si>
    <t>Check Quest Flags</t>
  </si>
  <si>
    <t>Prints the value of the fact; 0 (false), 1 (true)</t>
  </si>
  <si>
    <t>print(Game.GetQuestsSystem():GetFactStr("factName"))</t>
  </si>
  <si>
    <t>*factName is the fact you're looking for, e.g. "q112_takemura_dead" to see if takemura is dead. should be 0 for alive or 1 for dead</t>
  </si>
  <si>
    <t>Jackie's Fate</t>
  </si>
  <si>
    <t>Jackie Left In The Car</t>
  </si>
  <si>
    <t>Game.GetQuestsSystem():SetFactStr("q005_jackie_stay_notell", 1);Game.GetQuestsSystem():SetFactStr("q005_jackie_to_hospital", 0);Game.GetQuestsSystem():SetFactStr("q005_jackie_to_mama", 0)</t>
  </si>
  <si>
    <t>Jackie Sent To Hospital</t>
  </si>
  <si>
    <t>Game.GetQuestsSystem():SetFactStr("q005_jackie_to_hospital", 1);Game.GetQuestsSystem():SetFactStr("q005_jackie_stay_notell", 0);Game.GetQuestsSystem():SetFactStr("q005_jackie_to_mama", 0)</t>
  </si>
  <si>
    <t>Jackie Sent To Mama Welles</t>
  </si>
  <si>
    <t>Game.GetQuestsSystem():SetFactStr("q005_jackie_to_mama", 1);Game.GetQuestsSystem():SetFactStr("q005_jackie_stay_notell", 0);Game.GetQuestsSystem():SetFactStr("q005_jackie_to_hospital", 0)</t>
  </si>
  <si>
    <t>Mama Welles made up with Misty</t>
  </si>
  <si>
    <t>Game.GetQuestsSystem():SetFactStr("sq018_03a_misty_invited", 1)</t>
  </si>
  <si>
    <t>Takemura's Fate</t>
  </si>
  <si>
    <t>Save Takemura, set to alive</t>
  </si>
  <si>
    <t>Game.GetQuestsSystem():SetFactStr("q112_takemura_dead", 0)</t>
  </si>
  <si>
    <t>Abandon Takemura, set to dead</t>
  </si>
  <si>
    <t>Game.GetQuestsSystem():SetFactStr("q112_takemura_dead", 1)</t>
  </si>
  <si>
    <t>Stone Cold Killer</t>
  </si>
  <si>
    <t>Game.GetQuestsSystem():SetFactStr("mq007_skippy_aim_at_head", 1)</t>
  </si>
  <si>
    <t>Puppy-Loving Pacifist</t>
  </si>
  <si>
    <t>Game.GetQuestsSystem():SetFactStr("mq007_skippy_aim_at_head", 0)</t>
  </si>
  <si>
    <t>Hostil Attitude</t>
  </si>
  <si>
    <t>Game.GetQuestsSystem():SetFactStr("mq007_skippy_goes_emo", 0)</t>
  </si>
  <si>
    <t>Friendy Attitude</t>
  </si>
  <si>
    <t>Game.GetQuestsSystem():SetFactStr("mq007_skippy_goes_emo", 1)</t>
  </si>
  <si>
    <t>Finger's Temperment</t>
  </si>
  <si>
    <t>Finger's Friendy</t>
  </si>
  <si>
    <t>Game.GetQuestsSystem():SetFactStr("q105_fingers_dead", 0);Game.GetQuestsSystem():SetFactStr("q105_fingers_beaten", 0)</t>
  </si>
  <si>
    <t>Johnny</t>
  </si>
  <si>
    <t>Friendy Johnny/Enable Secret Ending</t>
  </si>
  <si>
    <t>Game.GetQuestsSystem():SetFactStr("sq032_johnny_friend", 1)</t>
  </si>
  <si>
    <t>Romance - Female V</t>
  </si>
  <si>
    <t>Set Judy Romanceable*</t>
  </si>
  <si>
    <t>Game.GetQuestsSystem():SetFactStr("judy_romanceable", 1)</t>
  </si>
  <si>
    <t>Set River Romanceable*</t>
  </si>
  <si>
    <t>Game.GetQuestsSystem():SetFactStr("river_romanceable", 1)</t>
  </si>
  <si>
    <t>Romance - Male V</t>
  </si>
  <si>
    <t>Set Kerry Romanceable*</t>
  </si>
  <si>
    <t>Game.GetQuestsSystem():SetFactStr("kerry_romanceable", 1)</t>
  </si>
  <si>
    <t>Set Panam Romanceable*</t>
  </si>
  <si>
    <t>Game.GetQuestsSystem():SetFactStr("panam_romanceable", 1)</t>
  </si>
  <si>
    <t>Iguana</t>
  </si>
  <si>
    <t>Get Iguana Egg*</t>
  </si>
  <si>
    <t>Game.AddToInventory("Items.q005_iguana_egg",1)</t>
  </si>
  <si>
    <t>*Make sure or place the egg in the cup at your apartment before doing the next step</t>
  </si>
  <si>
    <t>Hatch Iguana Egg**</t>
  </si>
  <si>
    <t xml:space="preserve">local function hatchTheEgg() local QS = Game.GetQuestsSystem(); local eggPlaced = 'mws_wat_02_egg_placed'; local eggHatched = 'mws_wat_02_iguana_hatched'; local endMsg = 'If you are at home (Megabuilding H10) go away and come back to see the iguana.'; if QS:GetFactStr(eggPlaced) == 0 then QS:SetFactStr(eggPlaced, 1) print(' \n\tSetting Fact :  "'..eggPlaced..'"  (required)') end if QS:GetFactStr(eggHatched) == 0 then QS:SetFactStr(eggHatched, 1) print(' \n\tSetting Fact :  "'..eggHatched..'" \n\t'..endMsg..'\n ') else print(' \n\tNo need to activate, the iguana egg has already hatched.\n\t'..endMsg..'\n ') end end hatchTheEgg() </t>
  </si>
  <si>
    <t>**if you already placed the egg, and don't want to wait</t>
  </si>
  <si>
    <t>Get, Place and Hatch Iguana Egg***</t>
  </si>
  <si>
    <t>Game.AddToInventory("Items.q005_iguana_egg",1);Game.GetQuestsSystem():SetFactStr('mws_wat_02_egg_placed', 1);local function hatchTheEgg() local QS = Game.GetQuestsSystem(); local eggPlaced = 'mws_wat_02_egg_placed'; local eggHatched = 'mws_wat_02_iguana_hatched'; local endMsg = 'If you are at home (Megabuilding H10) go away and come back to see the iguana.'; if QS:GetFactStr(eggPlaced) == 0 then QS:SetFactStr(eggPlaced, 1) print(' \n\tSetting Fact :  "'..eggPlaced..'"  (required)') end if QS:GetFactStr(eggHatched) == 0 then QS:SetFactStr(eggHatched, 1) print(' \n\tSetting Fact :  "'..eggHatched..'" \n\t'..endMsg..'\n ') else print(' \n\tNo need to activate, the iguana egg has already hatched.\n\t'..endMsg..'\n ') end end hatchTheEgg()</t>
  </si>
  <si>
    <t>***if you don't have the egg(missed it on the heist), and want to have an iguana.</t>
  </si>
  <si>
    <t>Arcade</t>
  </si>
  <si>
    <t xml:space="preserve">Toggle - Easy Win Roach Race </t>
  </si>
  <si>
    <t>function toggleEZRoach() local function get(record) local val = TweakDB:GetFlat("RoachRace."..record) return val end; local function set(record, value) TweakDB:SetFlat("RoachRace."..record, value) end; AppleScore, DefAppScore = "Apple.score", 20.0; AppleProb, DefAppProb = "Apple.probability", 0.65; if get(AppleScore) &lt;= 21.0 then set(AppleScore, 1000) set(AppleProb, 8.0) print(" \n\t TOGGLE - EASY WIN ROACH RACE :  ON\t ( apples taken will add 1000 points, spawn probability has also been increased ) \n\t If you're already inside the minigame, exit and re-enter to see the changes. \n ") else set(AppleScore, DefAppScore) set(AppleProb, DefAppProb) print(" \n\t TOGGLE - EASY WIN ROACH RACE :  OFF\t ( all values restored to default ) \n\t If you're already inside the minigame, exit and re-enter to see the changes. \n ") end end toggleEZRoach()</t>
  </si>
  <si>
    <t>*Increases apple points to 1000, increase apple spawn frequency</t>
  </si>
  <si>
    <t xml:space="preserve">Toggle - Easy Win Trauma Drama </t>
  </si>
  <si>
    <t>function toggleEZTraumaDrama() local function get(record) local val = TweakDB:GetFlat("Shooter."..record) return val end; local function set(record, value) TweakDB:SetFlat("Shooter."..record, value) end; local MaxHealt = "DefaultPlayerControllerData.maxHealth"; local DefMaxHealt = 4.0; local WeapScore = "DefaultRange.score"; local DefWeapScore = 0.0; if get(MaxHealt) &lt;= DefMaxHealt then set(MaxHealt, 20.0) set(WeapScore, 50000.0) print(" \n\t TOGGLE - EASY WIN TRAUMA DRAMA :  ON\t ( 50.000 points per kill + Maximum health set at 20 ) \n\t If you're already inside the minigame, exit and re-enter to see the changes. \n ") else set(MaxHealt, DefMaxHealt) set(WeapScore, DefWeapScore) print(" \n\t TOGGLE - EASY WIN TRAUMA DRAMA :  OFF\t ( all values restored to default ) \n\t If you're already inside the minigame, exit and re-enter to see the changes. \n ") end end toggleEZTraumaDrama()</t>
  </si>
  <si>
    <t>*50,000 points per kill and Max Health set to 20</t>
  </si>
  <si>
    <t xml:space="preserve">Toggle - Easy Win Arasaka Tower 3d </t>
  </si>
  <si>
    <t>function toggleEZArasakaTower3D() local function get(record) local val = TweakDB:GetFlat(record) return val end; local function set(record, value) TweakDB:SetFlat(record, value) end; local DPS, defDPS = 'Items.Base_Arasaka3D_Gun_inline2.value', 40.0; if get(DPS) &lt;= defDPS then set(DPS, 1000) print(' \n\t TOGGLE - EASY WIN ARASAKA TOWER 3D :  ON\t ( One Hit Kill )\n\tYou need to save and reload to see the changes.\n ') else set(DPS, defDPS) print(' \n\t TOGGLE - EASY WIN ARASAKA TOWER 3D :  OFF\t ( Values restored to default )\n\tYou need to save and reload to see the changes.\n ') end end toggleEZArasakaTower3D()</t>
  </si>
  <si>
    <t>*One Hit Kill, safe and reload, Also works with Toggle God Mode</t>
  </si>
  <si>
    <t>Vehicles</t>
  </si>
  <si>
    <t>Unlock All Vehicles</t>
  </si>
  <si>
    <t>print(" \n\tSkipping Vehicles already in the garage...") for i, v in next, { "v_sportbike2_arch_player_02", "v_sportbike2_arch_player_03", "v_sportbike1_yaiba_kusanagi_player_02", "v_sportbike1_yaiba_kusanagi_player_03", "v_sportbike3_brennan_apollo_player_02", "v_sport2_porsche_911turbo_cabrio_player", "v_standard2_archer_hella_player", "v_standard2_makigai_maimai_player", "v_standard25_mahir_supron_player", "v_standard2_thorton_galena_player", "v_standard3_chevalier_emperor_player", "v_standard25_villefort_columbus_player", "v_standard25_thorton_colby_pickup_player", "v_standard25_thorton_colby_pickup_02_player", "v_sportbike3_brennan_apollo_player", "v_sportbike3_brennan_apollo_nomad_player", "v_standard2_thorton_colby_player", "v_standard25_thorton_colby_nomad_player", "v_standard3_thorton_mackinaw_player", "v_sport2_villefort_alvarado_valentinos_player", "v_sport2_villefort_alvarado_player", "v_standard2_villefort_cortes_player", "v_standard2_villefort_cortes_delamain_player", "v_standard2_chevalier_thrax_player", "v_sport2_porsche_911turbo_player", "v_standard2_archer_bandit_player", "v_standard2_archer_quartz_player", "v_standard3_thorton_mackinaw_ncu_player", "v_standard3_thorton_mackinaw_02_player", "v_sport1_quadra_turbo_player", "v_sportbike2_arch_jackie_player", "v_sportbike2_arch_jackie_tuned_player", "v_sportbike2_arch_player", "v_sportbike2_arch_tyger_player", "v_sportbike1_yaiba_kusanagi_tyger_player", "v_sportbike1_yaiba_kusanagi_player", "v_standard2_thorton_galena_nomad_player", "v_standard2_thorton_galena_nomad_player_missiles", "v_standard2_thorton_galena_bobas_player", "v_sport2_quadra_type66_02_player", "v_sport2_quadra_type66_nomad_ncu_player", "v_sport2_quadra_type66_player", "v_sport2_mizutani_shion_player", "v_sport1_herrera_outlaw_player", "v_sport1_quadra_turbo_r_player", "v_sport2_quadra_type66_nomad_player", "v_sport2_quadra_type66_avenger_player", "v_sport1_rayfield_aerondight_player", "v_sport2_mizutani_shion_nomad_player", "v_sport2_mizutani_shion_nomad_02_player", "v_sport1_rayfield_caliburn_player", "v_sport1_rayfield_caliburn_02_player", "v_sport1_herrera_outlaw_heist_player", "v_sport1_herrera_riptide_player", "v_sport1_quadra_sport_r7_mrhands", "v_sport1_quadra_sport_r7_netrunner", "v_sport1_quadra_sport_r7_player", "v_sport1_quadra_sport_r7_player_02", "v_sport2_mizutani_shion_nomad_player_missiles", "v_sport2_quadra_type66_nomad_player_03", "v_sport2_quadra_type66_nomad_tribute", "v_sport2_villefort_alvarado_hearse_player", "v_sport2_villefort_deleon_player", "v_sportbike2_arch_linas_player", "v_standard25_thorton_colby_nomad_player_missiles", "v_standard25_thorton_colby_pickup_kurtz_player", "v_standard25_thorton_merrimac_player", "v_standard3_makigai_tanishi_player", "v_standard3_mahir_supron_kurtz_player", "v_standard3_militech_hellhound_player", "v_utility4_thorton_mackinaw_bmf_player", "v_standard2_archer_quartz_nomad_player", "v_standard2_mizutani_hozuki_player", "v_standard3_makigai_tanishi_player_mr_hands", "v_standard2_archer_quartz_nomad_player_02", "v_standard2_archer_quartz_nomad_player_02", "v_sport2_mizutani_shion_base_player", "v_sport2_mizutani_shion_targa_player", "v_sport2_quadra_type66_base_player", "v_sport2_quadra_type66_gt_player", "v_sport2_villefort_deleon_sport_player", "v_standard2_archer_quartz_base_player", "v_standard2_mizutani_hozuki_gt_player", "v_standard2_thorton_colby_gt_player", "v_standard2_thorton_galena_gt_player", "v_standard25_mahir_supron_gt_player" } do local veh = "Vehicle."..v; local VS = Game.GetVehicleSystem(); if TweakDB:GetRecord(veh) then local vehManufact = TweakDB:GetRecord(veh):Manufacturer():EnumName(); local vehName = Game.GetLocalizedTextByKey(TDB.GetLocKey(veh..'.displayName')); if VS:IsVehiclePlayerUnlocked(veh) == false then VS:EnablePlayerVehicle(veh, true, false) print("\t. . .ADDED THE GARAGE :  "..vehManufact.."  -  "..vehName) end end end PreventionSystem.ShowMessage("ALL VEHICLES ADDED TO THE GARAGE", 5.0) print(" \n\t ALL VEHICLES ADDED TO THE GARAGE.\n ") --BUGGED?: Game.GetVehicleSystem():EnableAllPlayerVehicles()</t>
  </si>
  <si>
    <t>Remove All Vehicles</t>
  </si>
  <si>
    <t>for i, v in next, { "v_sportbike2_arch_player_02", "v_sportbike2_arch_player_03", "v_sportbike1_yaiba_kusanagi_player_02", "v_sportbike1_yaiba_kusanagi_player_03", "v_sportbike3_brennan_apollo_player_02", "v_sport2_porsche_911turbo_cabrio_player", "v_standard2_archer_hella_player", "v_standard2_makigai_maimai_player", "v_standard25_mahir_supron_player", "v_standard2_thorton_galena_player", "v_standard3_chevalier_emperor_player", "v_standard25_villefort_columbus_player", "v_standard25_thorton_colby_pickup_player", "v_standard25_thorton_colby_pickup_02_player", "v_sportbike3_brennan_apollo_player", "v_sportbike3_brennan_apollo_nomad_player", "v_standard2_thorton_colby_player", "v_standard25_thorton_colby_nomad_player", "v_standard3_thorton_mackinaw_player", "v_sport2_villefort_alvarado_valentinos_player", "v_sport2_villefort_alvarado_player", "v_standard2_villefort_cortes_player", "v_standard2_villefort_cortes_delamain_player", "v_standard2_chevalier_thrax_player", "v_sport2_porsche_911turbo_player", "v_standard2_archer_bandit_player", "v_standard2_archer_quartz_player", "v_standard3_thorton_mackinaw_ncu_player", "v_standard3_thorton_mackinaw_02_player", "v_sport1_quadra_turbo_player", "v_sportbike2_arch_jackie_player", "v_sportbike2_arch_jackie_tuned_player", "v_sportbike2_arch_player", "v_sportbike2_arch_tyger_player", "v_sportbike1_yaiba_kusanagi_tyger_player", "v_sportbike1_yaiba_kusanagi_player", "v_standard2_thorton_galena_nomad_player", "v_standard2_thorton_galena_nomad_player_missiles", "v_standard2_thorton_galena_bobas_player", "v_sport2_quadra_type66_02_player", "v_sport2_quadra_type66_nomad_ncu_player", "v_sport2_quadra_type66_player", "v_sport2_mizutani_shion_player", "v_sport1_herrera_outlaw_player", "v_sport1_quadra_turbo_r_player", "v_sport2_quadra_type66_nomad_player", "v_sport2_quadra_type66_avenger_player", "v_sport1_rayfield_aerondight_player", "v_sport2_mizutani_shion_nomad_player", "v_sport2_mizutani_shion_nomad_02_player", "v_sport1_rayfield_caliburn_player", "v_sport1_rayfield_caliburn_02_player", "v_sport1_herrera_outlaw_heist_player", "v_sport1_herrera_riptide_player", "v_sport1_quadra_sport_r7_mrhands", "v_sport1_quadra_sport_r7_netrunner", "v_sport1_quadra_sport_r7_player", "v_sport1_quadra_sport_r7_player_02", "v_sport2_mizutani_shion_nomad_player_missiles", "v_sport2_quadra_type66_nomad_player_03", "v_sport2_quadra_type66_nomad_tribute", "v_sport2_villefort_alvarado_hearse_player", "v_sport2_villefort_deleon_player", "v_sportbike2_arch_linas_player", "v_standard25_thorton_colby_nomad_player_missiles", "v_standard25_thorton_colby_pickup_kurtz_player", "v_standard25_thorton_merrimac_player", "v_standard3_makigai_tanishi_player", "v_standard3_mahir_supron_kurtz_player", "v_standard3_militech_hellhound_player", "v_utility4_thorton_mackinaw_bmf_player", "v_standard2_archer_quartz_nomad_player", "v_standard2_mizutani_hozuki_player", "v_standard3_makigai_tanishi_player_mr_hands", "v_standard2_archer_quartz_nomad_player_02", "v_standard2_archer_quartz_nomad_player_02", "v_sport2_mizutani_shion_base_player", "v_sport2_mizutani_shion_targa_player", "v_sport2_quadra_type66_base_player", "v_sport2_quadra_type66_gt_player", "v_sport2_villefort_deleon_sport_player", "v_standard2_archer_quartz_base_player", "v_standard2_mizutani_hozuki_gt_player", "v_standard2_thorton_colby_gt_player", "v_standard2_thorton_galena_gt_player", "v_standard25_mahir_supron_gt_player" } do local veh = "Vehicle."..v; local VS = Game.GetVehicleSystem(); if TweakDB:GetRecord(veh) then local vehManufact = TweakDB:GetRecord(veh):Manufacturer():EnumName(); local vehName = Game.GetLocalizedTextByKey(TDB.GetLocKey(veh..'.displayName')); if VS:IsVehiclePlayerUnlocked(veh) then VS:EnablePlayerVehicle(veh, false, false) print("\t. . .REMOVED FROM THE GARAGE :  "..vehManufact.."  -  "..vehName) end end end PreventionSystem.ShowMessage("ALL VEHICLES REMOVED", 5.0) print(" \n\t ALL VEHICLES REMOVED.\n ")</t>
  </si>
  <si>
    <t>Repair Vehicle (Currently Driving)</t>
  </si>
  <si>
    <t>fixVehicle = function() alert = function(vehType, msg) PreventionSystem.ShowMessage(vehType.." "..msg, 4.0) end if not Game.GetWorkspotSystem():IsActorInWorkspot(Game.GetPlayer()) then alert('', ' You\'re not in a vehicle !') else Fix = Game['GetMountedVehicle;GameObject'](Game.GetPlayer()); if Fix then GVPS = Fix:GetVehiclePS(); GVC = Fix:GetVehicleComponent(); currVehName = Fix:GetDisplayName(); currVehType = Fix:GetVehicleType().value; GVC.damageLevel = 0; if currVehType ~= "Bike" then GVC.bumperFrontState, GVC.bumperBackState = 0, 0; for k, partState in next, {'hood_destruction', 'wheel_f_l_destruction', 'wheel_f_r_destruction', 'bumper_b_destruction', 'bumper_f_destruction', 'door_f_l_destruction', 'door_f_r_destruction', 'trunk_destruction', 'bumper_b_destruction_side_2', 'bumper_f_destruction_side_2'} do AnimationControllerComponent.SetInputFloat(Fix, partState, 0.0) end end flatTires = Fix:GetFlatTireIndex(); if flatTires &gt;= 0 then for i, v in next, {0,1,2,3} do Fix:ToggleBrokenTire(v, false) end end Fix:DestructionResetGrid() Fix:DestructionResetGlass() GVC:UpdateDamageEngineEffects() GVC:RepairVehicle() GVC:VehicleVisualDestructionSetup() GVPS:CloseAllVehDoors(true) GVPS:CloseAllVehWindows() GVPS:ForcePersistentStateChanged() alert(currVehName.." \n"..currVehType, " Fixed !") end end end fixVehicle()</t>
  </si>
  <si>
    <t>Force Despawn Vehicle (while look at it)</t>
  </si>
  <si>
    <t>despawnVehicle = function() local TSLO = Game.GetTargetingSystem():GetLookAtObject(Game.GetPlayer(), false, false) local msg = function(text) PreventionSystem.ShowMessage(text, 3.0) end if TSLO == nil then msg('LOOK AT THE VEHICLE FIRST.') return end if TSLO then local vehStr = TSLO:ToString(); local car = 'vehicleCarBaseObject'; local bike = 'vehicleBikeBaseObject'; if vehStr == car then TSLO:TurnEngineOn(false) TSLO:TurnVehicleOn(false) TSLO:Dispose() msg('CAR DESPAWNED.') elseif vehStr == bike then TSLO:TurnEngineOn(false) TSLO:TurnVehicleOn(false) TSLO:Dispose() msg('BIKE DESPAWNED.') else msg('THIS IS NOT A VEHICLE.') end end end despawnVehicle()</t>
  </si>
  <si>
    <t>Toggle Summon Mode (Spawns in front of player)</t>
  </si>
  <si>
    <t xml:space="preserve">summonMode = not summonMode; if summonMode then Game.GetVehicleSystem():ToggleSummonMode() print(" - TOGGLE VEHICLE SUMMON MODE: ON \n ") else  Game.GetVehicleSystem():ToggleSummonMode() print(" - TOGGLE VEHICLE SUMMON MODE: OFF \n ") end        </t>
  </si>
  <si>
    <t xml:space="preserve">World </t>
  </si>
  <si>
    <t>Travel</t>
  </si>
  <si>
    <t>Open fast travel menu anywhere</t>
  </si>
  <si>
    <t>local UIS = Game.GetUISystem(); UIS:RequestFastTravelMenu()</t>
  </si>
  <si>
    <t>Teleport to Current tracked Quest Marker</t>
  </si>
  <si>
    <t xml:space="preserve">local function toQuestMark() local function Alert(txt, secs) PreventionSystem.ShowMessage(txt, secs or 5.0) end local P = Game.GetPlayer(); local JM = Game.GetJournalManager(); local MS = Game.GetMappinSystem(); entry = JM:GetTrackedEntry(); if JM:IsEntryTracked(entry) then entryHash = JM:GetEntryHash(entry); local Ok, Pos = MS:GetQuestMappinPositionsByObjective(entryHash); if Ok and Pos[1] then Game.GetTeleportationFacility():Teleport(P, Vector4.new(Pos[1].x, Pos[1].y, Pos[1].z, 1), EulerAngles.new(0, 0, P:GetWorldYaw())) Alert('IF YOU ARE STUCK AT SPAWN TIME, YOU CAN USE THE " TELEPORT FORWARD " COMMAND.', 10.0) else Alert('UNABLE TO FIND THE QUEST LOCATION.') end else Alert('NO TRACKED QUEST FOUND.') end end toQuestMark() </t>
  </si>
  <si>
    <t>Teleport forward a few meters past obsticles</t>
  </si>
  <si>
    <t>ForwardAmount = 3;  teleportForward = function(amount)  P = Game.GetPlayer();  local pos = P:GetWorldPosition();  local WF = P:GetWorldForward();  forw = amount or 1;  local forwAmount = Vector4.new(pos.x + (WF.x * forw), pos.y + (WF.y * forw), pos.z, pos.w);  Game.GetTeleportationFacility():Teleport(P, forwAmount,  EulerAngles.new(0,0,P:GetWorldYaw())) end  teleportForward(ForwardAmount)  --[[ P = Game.GetPlayer(); Cam = Game.GetCameraSystem(); Game.GetTeleportationFacility():Teleport(P, Vector4.new(P:GetWorldPosition().x + Cam:GetActiveCameraForward().x, P:GetWorldPosition().y + Cam:GetActiveCameraForward().y, P:GetWorldPosition().z + Cam:GetActiveCameraForward().z, Cam:GetActiveCameraForward().w), EulerAngles.new(0,0,P:GetWorldYaw())) ]]</t>
  </si>
  <si>
    <t>Show All Point Of Interest</t>
  </si>
  <si>
    <t>if showPOIWarn then local JM = Game.GetJournalManager(); JM:DebugShowAllPoiMappins() print(' - SHOW ALL POINT OF INTEREST: ACTIVATED\n ') showPOIWarn = nil; else local warning = ' \n\t&lt;&lt;&lt; WARNING &gt;&gt;&gt;\n\t\"SHOW ALL POINT OF INTEREST\"  and  \"DISCOVER ALL POINT OF INTEREST\" are DEBUG commands.\n\tIt has been reported that they leave POI marks PERMANENTLY on the map, even for activities already completed.\n\tIF YOU STILL WANT TO ENTER THE COMMAND, ENTER IT ONCE AGAIN.\n '; print(warning) showPOIWarn = true; end</t>
  </si>
  <si>
    <t>*Enter it once for infos, twice to activate  -  backup your save</t>
  </si>
  <si>
    <t>Discover All Point Of Interest</t>
  </si>
  <si>
    <t>if discoverPOIWarn then local MS = Game.GetMappinSystem(); MS:DebugDiscoverAllPoiMappins() print(' - DISCOVER ALL POINT OF INTEREST: ACTIVATED\n ') discoverPOIWarn = nil; else local warning = ' \n\t&lt;&lt;&lt; WARNING &gt;&gt;&gt;\n\t\"SHOW ALL POINT OF INTEREST\"  and  \"DISCOVER ALL POINT OF INTEREST\" are DEBUG commands.\n\tIt has been reported that they leave POI marks PERMANENTLY on the map, even for activities already completed.\n\tIF YOU STILL WANT TO ENTER THE COMMAND, ENTER IT ONCE AGAIN.\n '; print(warning) discoverPOIWarn = true; end</t>
  </si>
  <si>
    <t>Interaction</t>
  </si>
  <si>
    <t>Toggle Door status  [ Open / Closed ]</t>
  </si>
  <si>
    <t xml:space="preserve">function toggleDoor() local P = Game.GetPlayer(); local msg = function(text) PreventionSystem.ShowMessage(text, 4.0) end local TSLO = Game.GetTargetingSystem():GetLookAtObject(P, false, false); if TSLO == nil then msg('LOOK AT THE DOOR FIRST\nDOOR NOT RECOGNIZED.') return else local Door = TSLO:ToString(); if Door == 'Door' then local DoorPS = TSLO:GetDevicePS(); local DoorProps = DoorPS.doorProperties; local DoorState = TSLO.isVisuallyOpened; if tostring(DoorProps.doorType.value) == 'AUTOMATIC' then DoorPS:SetCloseItself(true) end if DoorState then msg('OPEN DOOR DETECTED, CLOSING!"') TSLO:CloseDoor() else msg('CLOSED DOOR DETECTED, OPENING! \nIF IT IS STILL CLOSED USE THE COMMAND : \n"FORCE OPEN THE DOOR / FAKE DOOR"') TSLO:OpenDoor() DoorPS:ExecuteForceOpen(P) end elseif Door == 'FakeDoor' then msg('FAKE DOOR DETECTED, USE THE COMMAND\n"FORCE OPEN THE DOOR / FAKE DOOR"') elseif Door ~= 'Door' and Door ~= 'FakeDoor' then msg('LOOK AT THE DOOR FIRST\nDOOR NOT RECOGNIZED.') end end TSLO = nil; end toggleDoor() </t>
  </si>
  <si>
    <t>Toggle Devices/TV/Cameras/Jukebox/PC/Etc..</t>
  </si>
  <si>
    <t xml:space="preserve">function ToggleDevices() local showMsg = function(txt) PreventionSystem.ShowMessage(txt, 4.0) end local PER = Game.GetPersistencySystem() local TTLO = Game.GetTargetingSystem():GetLookAtObject(Game.GetPlayer(), false, false) if TTLO == nil then showMsg("YOU NEED TO LOOK AT THE DEVICE") return end local object = TTLO:ToString() if TTLO:IsDevice() then if object == 'Door' then showMsg(object.." DETECTED.\nUSE TOGGLE DOOR STATUS COMMAND") elseif object == 'FakeDoor' then showMsg(object.." DETECTED.\nUSE TOGGLE DOOR STATUS COMMAND") elseif object ~= 'gameObject' then local PS = TTLO:GetDevicePS(); local toggle = PS:ActionToggleON(); PER:QueuePSDeviceEvent(toggle) showMsg(object.." DETECTED.\nTOGGLED...") end else showMsg(object.." DETECTED.\nCAN'T BE TOGGLED") end end ToggleDevices() </t>
  </si>
  <si>
    <t>NPC</t>
  </si>
  <si>
    <t>Randomize NPC appearance you're looking at</t>
  </si>
  <si>
    <t xml:space="preserve">function randomizeAppearance() local function alert(msg, secs) if not secs then secs = 4.0; end PreventionSystem.ShowMessage(msg, secs) end local TSLO = Game.GetTargetingSystem():GetLookAtObject(Game.GetPlayer(), false, false) if TSLO == nil then alert('LOOK AT THE NPC FIRST', 1.5) return else local ent = Game.FindEntityByID(TSLO:GetEntityID()); local function setEntity() firstAppName = tostring(ent:GetCurrentAppearanceName().value); entHash = tostring(ent:GetEntityID():GetHash()); return firstAppName, entHash end if TSLO:ToString() == 'NPCPuppet' then local charaName = Game.GetLocalizedTextByKey(TDB.GetLocKey(TSLO:GetRecordID()..'.displayName')); if charaName == '' then charaName = 'Generic NPC' end if entHash and tostring(ent:GetEntityID():GetHash()) == entHash then newEntity = false; else setEntity() newEntity = true; end if newEntity == true then ent:ScheduleAppearanceChange('') alert(charaName..'\nAppearance Randomized.') else if tostring(ent:GetCurrentAppearanceName().value) == '' then ent:ScheduleAppearanceChange(firstAppName) else ent:ScheduleAppearanceChange('') end alert(charaName..'\nAPPEARANCE RANDOMIZED.') end elseif TSLO:ToString() == 'gameObject' then ent:ScheduleAppearanceChange('') alert('ENTITY FOUND  ( NOT AS NPC )\nTRYING TO RANDOMIZE APPEARANCE . . .') else alert(TSLO:ToString()..' \nTHIS IS NOT A NPC.', 1.5) end end end randomizeAppearance() </t>
  </si>
  <si>
    <t>Instantly KILL NPC you're looking at</t>
  </si>
  <si>
    <t>alert = function(msg) PreventionSystem.ShowMessage(msg, 5.0) end TTLO = Game.GetTargetingSystem():GetLookAtObject(Game.GetPlayer(), false, false) if TTLO == nil or TTLO:ToString() ~= "NPCPuppet" then alert("LOOK AT THE NPC FIRST") elseif TTLO:ToString() == "NPCPuppet" then Game.GetStatusEffectSystem():ApplyStatusEffect(TTLO:GetEntityID(), "BaseStatusEffect.ForceKill") alert("Bye Bye...") end</t>
  </si>
  <si>
    <t>Toggle - Traffic Presence</t>
  </si>
  <si>
    <t xml:space="preserve">function toggleTraffic() local categ = 'Traffic'; local param = 'StopSpawn'; local msg = ' \n\tTOGGLE TRAFFIC PRESENCE :  '; local traffic = GameOptions.GetBool(categ, param) if traffic then GameOptions.SetBool(categ, param, false) print(msg..'OFF\n ') else GameOptions.SetBool(categ, param, true) print(msg..'ON\n\t(Vehicles already spawned won\'t despawn)\n ') end end toggleTraffic() </t>
  </si>
  <si>
    <t>remove</t>
  </si>
  <si>
    <t>Remove Door / Fake Door*</t>
  </si>
  <si>
    <t xml:space="preserve">function destroyDoor() local P = Game.GetPlayer(); local msg = function(text) PreventionSystem.ShowMessage(text, 4.0) end local TSLO = Game.GetTargetingSystem():GetLookAtObject(P, false, false); if TSLO == nil then msg('LOOK AT THE DOOR FIRST\nDOOR NOT RECOGNIZED.') return else local Door = TSLO:ToString(); if Door == 'Door' or Door == 'FakeDoor' then TSLO:Dispose() msg('GET LOST STUPID DOOR!"') elseif Door ~= 'Door' and D ~= 'FakeDoor' then msg('LOOK AT THE DOOR FIRST\nDOOR NOT RECOGNIZED.') end end TSLO = nil; end destroyDoor() </t>
  </si>
  <si>
    <t>Remove security turrets / cameras in the area*</t>
  </si>
  <si>
    <t>function disposeSecurityDevices() local function alert(msg) PreventionSystem.ShowMessage(msg, 4.0) end local ents = Game.GetEntityList(); local nCam, nTur = 0, 0; for i, v in ipairs(ents) do local name = v:GetClassName().value; if string.find(name, 'SurveillanceCamera') then if v:IsSurveillanceCamera() then nCam = nCam + 1; v:CutPower() v:TurnOffDevice() v:DeactivateDevice() v:Dispose() end elseif string.find(name, 'SecurityTurret') then if v:IsTurret() then nTur = nTur + 1; v:ShootStop() v:TurnOffDevice() v:Dispose() end end end local noCams = 'NO Surveillance Cameras found.'; local noTurs = 'NO Security Turrets found.'; local Cams = 'REMOVED '..nCam..' Surveillance Camera/s.'; local Turs = 'REMOVED '..nTur..' Security Turret/s.'; if nCam == 0 and nTur == 0 then alert(noCams..'\n'..noTurs) print(' \n\t'..noCams..'\n\t'..noTurs..'\n ') elseif nCam &gt; 0 and nTur == 0 then alert(noTurs..'\n'..Cams) print(' \n\t'..Cams..'\n\t'..noTurs..'\n ') elseif nCam == 0 and nTur &gt; 0 then alert(noCams..'\n'..Turs) print(' \n\t'..noCams..'\n\t'..Turs..'\n ') elseif nCam &gt; 0 and nTur &gt; 0 then alert(Cams..'\n'..Turs) print(' \n\t'..Cams..'\n\t'..Turs..'\n ') end end disposeSecurityDevices()</t>
  </si>
  <si>
    <t>Remove androids / mechs / drones in the area*</t>
  </si>
  <si>
    <t>function RemoveRobots() nAndro, nDrone, nMech = 0, 0, 0; local function alert(msg) PreventionSystem.ShowMessage(msg, 4.0) end local ents = Game.GetEntityList(); for i, robot in ipairs(ents) do local class = robot:ToString(); if class == 'NPCPuppet' then local andro = robot:IsAndroid(); local drone = robot:IsDrone(); local mech = robot:IsMech(); if andro or drone or mech then if andro then nAndro = nAndro + 1; elseif drone then nDrone = nDrone + 1; elseif mech then nMech = nMech + 1; end robot:Kill() robot:Dispose() end end end local msg, aMsg, dMsg, mMsg = 'ANDROIDS / MECHS / DRONES  IN THE AREA', '[ '..nAndro..' ]  ANDROID/s FOUND AND REMOVED.', '[ '..nDrone..' ]  DRONE/s FOUND AND REMOVED.', '[ '..nMech..' ]  MECH/s FOUND AND REMOVED.'; alert(msg..'\n'..aMsg..'\n'..dMsg..'\n'..mMsg) print(' \n\t'..msg..'\n\t\t'..aMsg..'\n\t\t'..dMsg..'\n\t\t'..mMsg..'\n ') end RemoveRobots()</t>
  </si>
  <si>
    <t>Remove all mines in the area*</t>
  </si>
  <si>
    <t>function disposeMines() local function alert(msg) PreventionSystem.ShowMessage(msg, 4.0) end local ents = Game.GetEntityList(); local nMine, triggerMines = 0, false; for i, mine in ipairs(ents) do local name = mine:GetClassName().value; if string.find(name, 'ExplosiveTriggerDevice') then if triggerMines then nMine = nMine + 1; mine:StartExplosionPipeline(nil) mine:Explode(nil, nil) else nMine = nMine + 1; mine:TurnOffDevice() mine:Dispose() end end end if triggerMines then if nMine == 0 then local msg = 'NO MINES FOUND.'; alert(msg) print(' \n\t'..msg..'\n ') else local msg = 'TRIGGERED '..nMine..' MINE/s'; alert(msg) print(' \n\t'..msg..'\n ') end else if nMine == 0 then local msg = 'NO MINES FOUND.'; alert(msg) print(' \n\t'..msg..'\n ') else local msg = 'REMOVED '..nMine..' MINE/s.'; alert(msg) print(' \n\t'..msg..'\n ') end end end disposeMines()</t>
  </si>
  <si>
    <t>*Makes them Disappear</t>
  </si>
  <si>
    <t>Status Effects</t>
  </si>
  <si>
    <t>Apply All Buffs</t>
  </si>
  <si>
    <t>for i, v in next, { "WellFed", "Sated" } do Game.GetStatusEffectSystem():ApplyStatusEffect(Game.GetPlayer():GetEntityID(), "BaseStatusEffect."..v) print(" - APPLIED:", v) end for i, v in next, { "Energized", "Refreshed", "Rested", "AllowHealthRegenInCombat", "IncreasedStaminaRegen", "IncreasedXPGain" } do Game.GetStatusEffectSystem():ApplyStatusEffect(Game.GetPlayer():GetEntityID(), "HousingStatusEffect."..v) print(" - APPLIED:", v) end</t>
  </si>
  <si>
    <t>Apply All Negative Effects Immunity</t>
  </si>
  <si>
    <t>ModStatPlayer = function(ID, value) Game.GetStatsSystem():AddModifier(Game.GetPlayer():GetEntityID(), RPGManager.CreateStatModifier(ID, gameStatModifierType.Additive, value)) end effects = { "BleedingImmunity", "BlindImmunity", "BurningImmunity", "EMPImmunity", "ElectrocuteImmunity", "KnockdownImmunity", "MemoryWipeImmunity", "PoisonImmunity", "QuickHackImmunity", "StunImmunity", "SystemCollapseImmunity", "UnconsciousImmunity", "TranquilizerImmunity" } print(" ------------------- ADDING IMMUNITIES (if it's not already present)") for i, effect in ipairs(effects) do local Val = Game.GetStatsSystem():GetStatValue(GetPlayer():GetEntityID(), effect) if Val == 1 then print(" - "..effect..": IS ALREADY ACTIVATED...") elseif Val == 0 then ModStatPlayer(effect, 1.0) print(" - "..effect..": ACTIVATED !!!") end end</t>
  </si>
  <si>
    <t>Remove All Effects</t>
  </si>
  <si>
    <t>StatusEffectHelper.RemoveAllStatusEffects(GetPlayer()) print(" - ALL EFFECTS REMOVED")</t>
  </si>
  <si>
    <t>Remove All Negative Effects</t>
  </si>
  <si>
    <t>SES = StatusEffectSystem P = GetPlayer() print(" ") for i, v in next, { "Bleeding", "PlayerBleeding", "MinorBleeding", "Blind", "MajorBlind", "MinorBlind", "MajorQuickHackBlind", "BaseQuickHackBlind", "Burning", "LightBurning", "MediumBurning", "PlayerBurning", "Crippled", "Drunk", "Exhausted", "PlayerExhausted", "TemporarilyBlockMovement", "EMP", "EmpJamWeaponAccuracyDebuff", "Knockdown", "SecondaryKnockdown", "Poisoned", "PlayerPoisoned", "ConsumablePoison", "Stun", "Stunned", "JohnnySicknessHeavy", "JohnnySicknessLow", "JohnnySicknessMedium",  "JohnnySicknessMediumQuest" } do Val = SES.ObjectHasStatusEffect(P, TweakDBID("BaseStatusEffect."..v)) if Val == true then Game.GetStatusEffectSystem():RemoveStatusEffect(Game.GetPlayer():GetEntityID(), "BaseStatusEffect."..v) print(" - [NEGATIVE EFFECT REMOVED] -&gt;", v) else if Val == false then print("Effect:", v, "-&gt; [NOT PRESENT]") end end end print(" ")</t>
  </si>
  <si>
    <t>Remove Relic Malfunction Effect</t>
  </si>
  <si>
    <t>for i, v in next, { "JohnnySicknessHeavy", "JohnnySicknessLow", "JohnnySicknessMedium",  "JohnnySicknessMediumQuest" } do Game.GetStatusEffectSystem():RemoveStatusEffect(Game.GetPlayer():GetEntityID(), "BaseStatusEffect." .. v) end print(" - RELIC MALFUNCTION EFFECT REMOVED")</t>
  </si>
  <si>
    <t>Nourishment [5% Max Health, 720 sec]</t>
  </si>
  <si>
    <t>Game.GetStatusEffectSystem():ApplyStatusEffect(Game.GetPlayer():GetEntityID(), "BaseStatusEffect.WellFed")</t>
  </si>
  <si>
    <t>Hydration [10% Max Stamina 420 sec ]</t>
  </si>
  <si>
    <t>Game.GetStatusEffectSystem():ApplyStatusEffect(Game.GetPlayer():GetEntityID(), "BaseStatusEffect.Sated")</t>
  </si>
  <si>
    <t>Invisibility [15 Sec]</t>
  </si>
  <si>
    <t>Game.GetStatusEffectSystem():ApplyStatusEffect(Game.GetPlayer():GetEntityID(), "BaseStatusEffect.OpticalCamoPlayerBuffLegendary")</t>
  </si>
  <si>
    <t>Invulnerability</t>
  </si>
  <si>
    <t>Game.GetStatusEffectSystem():ApplyStatusEffect(Game.GetPlayer():GetEntityID(), "BaseStatusEffect.Invulnerable")</t>
  </si>
  <si>
    <t>Instant Suicide</t>
  </si>
  <si>
    <t>Game.GetStatusEffectSystem():ApplyStatusEffect(Game.GetPlayer():GetEntityID(), "BaseStatusEffect.ForceKill")  --also: Game.GetPlayer():Revive(0) or Game.GetPlayer():Kill()</t>
  </si>
  <si>
    <t>Drugged</t>
  </si>
  <si>
    <t>Game.GetStatusEffectSystem():ApplyStatusEffect(Game.GetPlayer():GetEntityID(), "BaseStatusEffect.DruggedSevere")</t>
  </si>
  <si>
    <t>Drunk</t>
  </si>
  <si>
    <t>Game.GetStatusEffectSystem():ApplyStatusEffect(Game.GetPlayer():GetEntityID(), "BaseStatusEffect.Drunk")</t>
  </si>
  <si>
    <t>Housing Buff</t>
  </si>
  <si>
    <t>Energized</t>
  </si>
  <si>
    <t>Game.GetStatusEffectSystem():ApplyStatusEffect(Game.GetPlayer():GetEntityID(), "HousingStatusEffect.Energized")</t>
  </si>
  <si>
    <t>Refreshed</t>
  </si>
  <si>
    <t>Game.GetStatusEffectSystem():ApplyStatusEffect(Game.GetPlayer():GetEntityID(), "HousingStatusEffect.Refreshed")</t>
  </si>
  <si>
    <t>Rested</t>
  </si>
  <si>
    <t>Game.GetStatusEffectSystem():ApplyStatusEffect(Game.GetPlayer():GetEntityID(), "HousingStatusEffect.Rested")</t>
  </si>
  <si>
    <t>Bonus Health Regen</t>
  </si>
  <si>
    <t>Game.GetStatusEffectSystem():ApplyStatusEffect(Game.GetPlayer():GetEntityID(), "HousingStatusEffect.AllowHealthRegenInCombat")</t>
  </si>
  <si>
    <t>Bonus Stamina Regen</t>
  </si>
  <si>
    <t>Game.GetStatusEffectSystem():ApplyStatusEffect(Game.GetPlayer():GetEntityID(), "HousingStatusEffect.IncreasedStaminaRegen")</t>
  </si>
  <si>
    <t>Bonus Xp Gain</t>
  </si>
  <si>
    <t>Game.GetStatusEffectSystem():ApplyStatusEffect(Game.GetPlayer():GetEntityID(), "HousingStatusEffect.IncreasedXPGain")</t>
  </si>
  <si>
    <t xml:space="preserve">To use this section you'll need to "make a copy" of this spreadsheet </t>
  </si>
  <si>
    <r>
      <rPr>
        <rFont val="Arial"/>
        <b/>
        <i/>
        <color rgb="FF00FFFF"/>
        <sz val="17.0"/>
      </rPr>
      <t xml:space="preserve">Change the </t>
    </r>
    <r>
      <rPr>
        <rFont val="Arial"/>
        <b/>
        <i/>
        <color rgb="FFFFFF00"/>
        <sz val="17.0"/>
        <u/>
      </rPr>
      <t>Varible</t>
    </r>
    <r>
      <rPr>
        <rFont val="Arial"/>
        <b/>
        <i/>
        <color rgb="FF00FFFF"/>
        <sz val="17.0"/>
      </rPr>
      <t xml:space="preserve"> in the field, this will update the command, then copy the command.</t>
    </r>
  </si>
  <si>
    <t>Commands With Varibles v2</t>
  </si>
  <si>
    <r>
      <rPr>
        <rFont val="Syncopate"/>
        <b/>
        <color rgb="FF666666"/>
        <sz val="12.0"/>
      </rPr>
      <t>Category/</t>
    </r>
    <r>
      <rPr>
        <rFont val="Syncopate"/>
        <b/>
        <color theme="1"/>
        <sz val="12.0"/>
      </rPr>
      <t>discription</t>
    </r>
  </si>
  <si>
    <t>VArible</t>
  </si>
  <si>
    <t>levels</t>
  </si>
  <si>
    <t xml:space="preserve">Set your Level (max 60) ➤ </t>
  </si>
  <si>
    <t>Street Cred</t>
  </si>
  <si>
    <t xml:space="preserve">Set your Street Cred Level (max 50) ➤ </t>
  </si>
  <si>
    <t xml:space="preserve">Set Attributes points to  ➤ </t>
  </si>
  <si>
    <t xml:space="preserve">Set Perk Points to  ➤ </t>
  </si>
  <si>
    <t xml:space="preserve">Set Relic Points to  ➤ </t>
  </si>
  <si>
    <t>Skills</t>
  </si>
  <si>
    <t xml:space="preserve">Set Skill Level to (max 60) ➤ </t>
  </si>
  <si>
    <t>30</t>
  </si>
  <si>
    <t xml:space="preserve">Set Cyberware Capacity to (max 450)➤ </t>
  </si>
  <si>
    <t>256</t>
  </si>
  <si>
    <t>* Set it lower than current to decrease or higher than current to increase or use alternate code below:</t>
  </si>
  <si>
    <r>
      <rPr>
        <rFont val="Arial"/>
        <b/>
        <i/>
        <color rgb="FF000000"/>
      </rPr>
      <t xml:space="preserve">Decrease </t>
    </r>
    <r>
      <rPr>
        <rFont val="Arial"/>
        <b/>
        <i/>
        <color rgb="FF666666"/>
      </rPr>
      <t xml:space="preserve">Cyberware Capacity by ➤ </t>
    </r>
  </si>
  <si>
    <r>
      <rPr>
        <rFont val="Arial"/>
        <b/>
        <i/>
        <color rgb="FF000000"/>
      </rPr>
      <t xml:space="preserve">Increase </t>
    </r>
    <r>
      <rPr>
        <rFont val="Arial"/>
        <b/>
        <i/>
        <color rgb="FF666666"/>
      </rPr>
      <t xml:space="preserve">Cyberware Capacity by ➤ </t>
    </r>
  </si>
  <si>
    <t>Ammo</t>
  </si>
  <si>
    <t xml:space="preserve">Enter the amount of ammo ➤ </t>
  </si>
  <si>
    <t>Set Time of Day</t>
  </si>
  <si>
    <t xml:space="preserve">Hour in Military, from 0 to 23 ➤ </t>
  </si>
  <si>
    <t xml:space="preserve">Minutes, from 0 to 59 ➤ </t>
  </si>
  <si>
    <t xml:space="preserve">Seconds, from 0 to 59  ➤ </t>
  </si>
  <si>
    <r>
      <rPr>
        <rFont val="Syncopate"/>
        <b/>
        <color rgb="FFFFFFFF"/>
        <sz val="16.0"/>
      </rPr>
      <t xml:space="preserve">Links </t>
    </r>
    <r>
      <rPr>
        <rFont val="Syncopate"/>
        <b/>
        <color rgb="FFFFFFFF"/>
        <sz val="10.0"/>
      </rPr>
      <t>v</t>
    </r>
    <r>
      <rPr>
        <rFont val="Syncopate"/>
        <b/>
        <color rgb="FFFFFFFF"/>
        <sz val="16.0"/>
      </rPr>
      <t>2.2</t>
    </r>
  </si>
  <si>
    <t>Resources</t>
  </si>
  <si>
    <t>Links</t>
  </si>
  <si>
    <t>Cyber Engine Tweaks</t>
  </si>
  <si>
    <t>https://github.com/maximegmd/CyberEngineTweaks</t>
  </si>
  <si>
    <t>Cyber Engine Tweaks Console Wiki</t>
  </si>
  <si>
    <t>https://wiki.redmodding.org/cyber-engine-tweaks/</t>
  </si>
  <si>
    <t>Cyber Engine Tweaks reference</t>
  </si>
  <si>
    <t>https://cdpr-modding-documentation.github.io/Cyberpunk-Tweaks/</t>
  </si>
  <si>
    <t>CyberPunk Fandom Wiki</t>
  </si>
  <si>
    <t>https://cyberpunk.fandom.com/wiki/Cyberpunk_Wiki</t>
  </si>
  <si>
    <t>Clothing Previews</t>
  </si>
  <si>
    <t>https://cp2077.8713.su/</t>
  </si>
  <si>
    <t xml:space="preserve">Quest Facts List </t>
  </si>
  <si>
    <t>https://docs.google.com/spreadsheets/d/1aVeMGOg7mhrz-vgs5fFTrr72bh0kudK0jQmtSDYPjBQ/edit#gid=0</t>
  </si>
  <si>
    <t xml:space="preserve">Interactive Map of Night City </t>
  </si>
  <si>
    <t>https://www.purecyberpunk.com/map/</t>
  </si>
  <si>
    <t>Character Builder/Planner</t>
  </si>
  <si>
    <t>https://nukesdragons.com/cyberpunk-2077</t>
  </si>
  <si>
    <t xml:space="preserve">Simple Menu </t>
  </si>
  <si>
    <t>https://www.nexusmods.com/cyberpunk2077/mods/818</t>
  </si>
</sst>
</file>

<file path=xl/styles.xml><?xml version="1.0" encoding="utf-8"?>
<styleSheet xmlns="http://schemas.openxmlformats.org/spreadsheetml/2006/main" xmlns:x14ac="http://schemas.microsoft.com/office/spreadsheetml/2009/9/ac" xmlns:mc="http://schemas.openxmlformats.org/markup-compatibility/2006">
  <fonts count="53">
    <font>
      <sz val="10.0"/>
      <color rgb="FF000000"/>
      <name val="Arial"/>
      <scheme val="minor"/>
    </font>
    <font>
      <color theme="1"/>
      <name val="Arial"/>
      <scheme val="minor"/>
    </font>
    <font>
      <b/>
      <sz val="20.0"/>
      <color rgb="FFFFFF00"/>
      <name val="Syncopate"/>
    </font>
    <font>
      <sz val="13.0"/>
      <color theme="1"/>
      <name val="Syncopate"/>
    </font>
    <font>
      <color theme="1"/>
      <name val="Syncopate"/>
    </font>
    <font>
      <sz val="12.0"/>
      <color theme="1"/>
      <name val="Syncopate"/>
    </font>
    <font>
      <b/>
      <sz val="12.0"/>
      <color theme="1"/>
      <name val="Syncopate"/>
    </font>
    <font>
      <b/>
      <color theme="1"/>
      <name val="Arial"/>
      <scheme val="minor"/>
    </font>
    <font>
      <color rgb="FF434343"/>
      <name val="Roboto"/>
    </font>
    <font>
      <b/>
      <color rgb="FF434343"/>
      <name val="Roboto"/>
    </font>
    <font>
      <sz val="10.0"/>
      <color theme="1"/>
      <name val="Arial"/>
      <scheme val="minor"/>
    </font>
    <font>
      <color rgb="FFCCCCCC"/>
      <name val="Arial"/>
      <scheme val="minor"/>
    </font>
    <font>
      <color theme="1"/>
      <name val="Arial"/>
    </font>
    <font>
      <b/>
      <color theme="1"/>
      <name val="Arial"/>
    </font>
    <font>
      <b/>
      <i/>
      <sz val="12.0"/>
      <color theme="1"/>
      <name val="Arial"/>
      <scheme val="minor"/>
    </font>
    <font>
      <sz val="10.0"/>
      <color theme="1"/>
      <name val="Roboto"/>
    </font>
    <font>
      <sz val="12.0"/>
      <color rgb="FF999999"/>
      <name val="Syncopate"/>
    </font>
    <font>
      <b/>
      <sz val="10.0"/>
      <color rgb="FFFFFF00"/>
      <name val="Arial"/>
      <scheme val="minor"/>
    </font>
    <font>
      <b/>
      <color rgb="FFCCCCCC"/>
      <name val="Arial"/>
      <scheme val="minor"/>
    </font>
    <font>
      <b/>
      <sz val="16.0"/>
      <color rgb="FFFFFFFF"/>
      <name val="Syncopate"/>
    </font>
    <font>
      <sz val="12.0"/>
      <color rgb="FF666666"/>
      <name val="Syncopate"/>
    </font>
    <font>
      <color rgb="FF8E7CC3"/>
      <name val="Arial"/>
      <scheme val="minor"/>
    </font>
    <font>
      <sz val="8.0"/>
      <color theme="1"/>
      <name val="Arial"/>
      <scheme val="minor"/>
    </font>
    <font>
      <b/>
      <sz val="8.0"/>
      <color theme="1"/>
      <name val="Arial"/>
      <scheme val="minor"/>
    </font>
    <font>
      <sz val="8.0"/>
      <color rgb="FF3D85C6"/>
      <name val="Arial"/>
      <scheme val="minor"/>
    </font>
    <font>
      <color rgb="FF000000"/>
      <name val="Syncopate"/>
    </font>
    <font>
      <b/>
      <sz val="10.0"/>
      <color theme="1"/>
      <name val="Arial"/>
      <scheme val="minor"/>
    </font>
    <font/>
    <font>
      <color rgb="FF000000"/>
      <name val="Arial"/>
    </font>
    <font>
      <i/>
      <sz val="8.0"/>
      <color rgb="FFE69138"/>
      <name val="Arial"/>
      <scheme val="minor"/>
    </font>
    <font>
      <color rgb="FF674EA7"/>
      <name val="Syncopate"/>
    </font>
    <font>
      <color rgb="FF674EA7"/>
      <name val="Arial"/>
    </font>
    <font>
      <color rgb="FF674EA7"/>
      <name val="Arial"/>
      <scheme val="minor"/>
    </font>
    <font>
      <sz val="10.0"/>
      <color rgb="FF1F1F1F"/>
      <name val="Arial"/>
      <scheme val="minor"/>
    </font>
    <font>
      <i/>
      <sz val="8.0"/>
      <color rgb="FFE69138"/>
      <name val="Arial"/>
    </font>
    <font>
      <color rgb="FFFF00FF"/>
      <name val="Arial"/>
      <scheme val="minor"/>
    </font>
    <font>
      <b/>
      <i/>
      <sz val="24.0"/>
      <color rgb="FF00FFFF"/>
      <name val="Arial"/>
    </font>
    <font>
      <b/>
      <i/>
      <sz val="17.0"/>
      <color rgb="FF00FFFF"/>
      <name val="Arial"/>
    </font>
    <font>
      <b/>
      <sz val="12.0"/>
      <color rgb="FFFFFF00"/>
      <name val="Syncopate"/>
    </font>
    <font>
      <b/>
      <i/>
      <color rgb="FF666666"/>
      <name val="Arial"/>
    </font>
    <font>
      <b/>
      <color theme="1"/>
      <name val="Comfortaa"/>
    </font>
    <font>
      <i/>
      <color theme="1"/>
      <name val="Arial"/>
      <scheme val="minor"/>
    </font>
    <font>
      <b/>
      <sz val="12.0"/>
      <color rgb="FF674EA7"/>
      <name val="Syncopate"/>
    </font>
    <font>
      <b/>
      <color rgb="FF674EA7"/>
      <name val="Syncopate"/>
    </font>
    <font>
      <b/>
      <i/>
      <color rgb="FF8E7CC3"/>
      <name val="Arial"/>
      <scheme val="minor"/>
    </font>
    <font>
      <b/>
      <color rgb="FF674EA7"/>
      <name val="Comfortaa"/>
    </font>
    <font>
      <b/>
      <sz val="10.0"/>
      <color theme="1"/>
      <name val="Comfortaa"/>
    </font>
    <font>
      <i/>
      <sz val="9.0"/>
      <color rgb="FF999999"/>
      <name val="Arial"/>
      <scheme val="minor"/>
    </font>
    <font>
      <b/>
      <i/>
      <color rgb="FF666666"/>
      <name val="Arial"/>
      <scheme val="minor"/>
    </font>
    <font>
      <sz val="10.0"/>
      <color theme="1"/>
      <name val="Syncopate"/>
    </font>
    <font>
      <u/>
      <sz val="10.0"/>
      <color rgb="FF0000FF"/>
    </font>
    <font>
      <u/>
      <sz val="10.0"/>
      <color theme="1"/>
      <name val="Arial"/>
      <scheme val="minor"/>
    </font>
    <font>
      <u/>
      <color rgb="FF0000FF"/>
    </font>
  </fonts>
  <fills count="12">
    <fill>
      <patternFill patternType="none"/>
    </fill>
    <fill>
      <patternFill patternType="lightGray"/>
    </fill>
    <fill>
      <patternFill patternType="solid">
        <fgColor rgb="FF9900FF"/>
        <bgColor rgb="FF9900FF"/>
      </patternFill>
    </fill>
    <fill>
      <patternFill patternType="solid">
        <fgColor rgb="FFF6F8F9"/>
        <bgColor rgb="FFF6F8F9"/>
      </patternFill>
    </fill>
    <fill>
      <patternFill patternType="solid">
        <fgColor rgb="FFFFFFFF"/>
        <bgColor rgb="FFFFFFFF"/>
      </patternFill>
    </fill>
    <fill>
      <patternFill patternType="solid">
        <fgColor rgb="FFD9D9D9"/>
        <bgColor rgb="FFD9D9D9"/>
      </patternFill>
    </fill>
    <fill>
      <patternFill patternType="solid">
        <fgColor rgb="FF666666"/>
        <bgColor rgb="FF666666"/>
      </patternFill>
    </fill>
    <fill>
      <patternFill patternType="solid">
        <fgColor rgb="FFF6F1FF"/>
        <bgColor rgb="FFF6F1FF"/>
      </patternFill>
    </fill>
    <fill>
      <patternFill patternType="solid">
        <fgColor rgb="FFEFEFEF"/>
        <bgColor rgb="FFEFEFEF"/>
      </patternFill>
    </fill>
    <fill>
      <patternFill patternType="solid">
        <fgColor rgb="FF434343"/>
        <bgColor rgb="FF434343"/>
      </patternFill>
    </fill>
    <fill>
      <patternFill patternType="solid">
        <fgColor rgb="FFF3F3F3"/>
        <bgColor rgb="FFF3F3F3"/>
      </patternFill>
    </fill>
    <fill>
      <patternFill patternType="solid">
        <fgColor rgb="FFF8F4FF"/>
        <bgColor rgb="FFF8F4FF"/>
      </patternFill>
    </fill>
  </fills>
  <borders count="25">
    <border/>
    <border>
      <top style="thick">
        <color rgb="FFFF00FF"/>
      </top>
      <bottom style="thick">
        <color rgb="FF00FFFF"/>
      </bottom>
    </border>
    <border>
      <left style="thin">
        <color rgb="FF4A535C"/>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4A535C"/>
      </right>
      <top style="thin">
        <color rgb="FFF6F8F9"/>
      </top>
      <bottom style="thin">
        <color rgb="FFF6F8F9"/>
      </bottom>
    </border>
    <border>
      <top style="medium">
        <color rgb="FFFF00FF"/>
      </top>
      <bottom style="medium">
        <color rgb="FF00FFFF"/>
      </bottom>
    </border>
    <border>
      <bottom style="thick">
        <color rgb="FF9900FF"/>
      </bottom>
    </border>
    <border>
      <bottom style="thin">
        <color rgb="FF000000"/>
      </bottom>
    </border>
    <border>
      <bottom style="thin">
        <color rgb="FFD9D9D9"/>
      </bottom>
    </border>
    <border>
      <bottom style="thin">
        <color rgb="FFB4A7D6"/>
      </bottom>
    </border>
    <border>
      <left style="thin">
        <color theme="1"/>
      </left>
      <right style="thin">
        <color theme="1"/>
      </right>
      <top style="thin">
        <color theme="1"/>
      </top>
      <bottom style="thin">
        <color theme="1"/>
      </bottom>
    </border>
    <border>
      <top style="thick">
        <color rgb="FF000000"/>
      </top>
    </border>
    <border>
      <bottom style="thick">
        <color rgb="FF999999"/>
      </bottom>
    </border>
    <border>
      <bottom style="medium">
        <color rgb="FFCCCCCC"/>
      </bottom>
    </border>
    <border>
      <left style="thin">
        <color rgb="FF000000"/>
      </left>
      <right style="thin">
        <color rgb="FF000000"/>
      </right>
      <top style="thin">
        <color rgb="FF000000"/>
      </top>
      <bottom style="thin">
        <color rgb="FF000000"/>
      </bottom>
    </border>
    <border>
      <bottom style="thin">
        <color rgb="FF8E7CC3"/>
      </bottom>
    </border>
    <border>
      <left style="thin">
        <color rgb="FF000000"/>
      </left>
      <right style="thin">
        <color rgb="FF000000"/>
      </right>
      <bottom style="thin">
        <color rgb="FF000000"/>
      </bottom>
    </border>
    <border>
      <bottom style="thin">
        <color rgb="FFD9D2E9"/>
      </bottom>
    </border>
    <border>
      <left style="thin">
        <color rgb="FFD9D9D9"/>
      </left>
      <right style="thin">
        <color rgb="FFD9D9D9"/>
      </right>
      <top style="thin">
        <color rgb="FF000000"/>
      </top>
      <bottom style="thin">
        <color rgb="FFD9D9D9"/>
      </bottom>
    </border>
    <border>
      <left style="thin">
        <color rgb="FFCCCCCC"/>
      </left>
      <right style="thin">
        <color rgb="FFD9D9D9"/>
      </right>
      <top style="thin">
        <color rgb="FFD9D9D9"/>
      </top>
      <bottom style="thin">
        <color rgb="FFD9D9D9"/>
      </bottom>
    </border>
    <border>
      <left style="thin">
        <color rgb="FFD9D9D9"/>
      </left>
      <right style="thin">
        <color rgb="FFD9D9D9"/>
      </right>
      <bottom style="thin">
        <color rgb="FFD9D9D9"/>
      </bottom>
    </border>
    <border>
      <left style="thin">
        <color rgb="FFD9D9D9"/>
      </left>
    </border>
    <border>
      <left style="thin">
        <color rgb="FFD9D9D9"/>
      </left>
      <right style="thin">
        <color rgb="FFD9D9D9"/>
      </right>
      <top style="thin">
        <color rgb="FFD9D9D9"/>
      </top>
      <bottom style="thin">
        <color rgb="FFD9D9D9"/>
      </bottom>
    </border>
    <border>
      <left style="thin">
        <color rgb="FFD9D9D9"/>
      </left>
      <bottom style="thin">
        <color rgb="FFD9D9D9"/>
      </bottom>
    </border>
    <border>
      <right style="thin">
        <color theme="1"/>
      </right>
      <top style="thin">
        <color theme="1"/>
      </top>
      <bottom style="thin">
        <color theme="1"/>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readingOrder="0" vertical="center"/>
    </xf>
    <xf borderId="0" fillId="0" fontId="3" numFmtId="0" xfId="0" applyAlignment="1" applyFont="1">
      <alignment horizontal="center" readingOrder="0"/>
    </xf>
    <xf borderId="0" fillId="0" fontId="4" numFmtId="0" xfId="0" applyAlignment="1" applyFont="1">
      <alignment horizontal="right" readingOrder="0"/>
    </xf>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2" fillId="0" fontId="1" numFmtId="0" xfId="0" applyAlignment="1" applyBorder="1" applyFont="1">
      <alignment readingOrder="0" shrinkToFit="0" vertical="center" wrapText="0"/>
    </xf>
    <xf borderId="3" fillId="0" fontId="7"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0" fillId="3" fontId="8" numFmtId="0" xfId="0" applyAlignment="1" applyFill="1" applyFont="1">
      <alignment shrinkToFit="0" vertical="center" wrapText="0"/>
    </xf>
    <xf borderId="0" fillId="3" fontId="9" numFmtId="0" xfId="0" applyAlignment="1" applyFont="1">
      <alignment shrinkToFit="0" vertical="center" wrapText="0"/>
    </xf>
    <xf borderId="0" fillId="3" fontId="8"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0" xfId="0" applyAlignment="1" applyFont="1">
      <alignment shrinkToFit="0" vertical="center" wrapText="0"/>
    </xf>
    <xf borderId="0" fillId="0" fontId="7" numFmtId="0" xfId="0" applyAlignment="1" applyFont="1">
      <alignment shrinkToFit="0" vertical="center" wrapText="0"/>
    </xf>
    <xf borderId="0" fillId="0" fontId="1" numFmtId="0" xfId="0" applyAlignment="1" applyFont="1">
      <alignment readingOrder="0" shrinkToFit="0" vertical="center" wrapText="0"/>
    </xf>
    <xf borderId="0" fillId="0" fontId="11"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12" numFmtId="0" xfId="0" applyAlignment="1" applyFont="1">
      <alignment shrinkToFit="0" vertical="bottom" wrapText="0"/>
    </xf>
    <xf borderId="0" fillId="0" fontId="13" numFmtId="0" xfId="0" applyAlignment="1" applyFont="1">
      <alignment shrinkToFit="0" vertical="bottom" wrapText="0"/>
    </xf>
    <xf borderId="0" fillId="0" fontId="12" numFmtId="0" xfId="0" applyAlignment="1" applyFont="1">
      <alignment readingOrder="0" shrinkToFit="0" vertical="bottom" wrapText="0"/>
    </xf>
    <xf borderId="0" fillId="0" fontId="5" numFmtId="49" xfId="0" applyAlignment="1" applyFont="1" applyNumberFormat="1">
      <alignment horizontal="left" readingOrder="0" shrinkToFit="0" vertical="center" wrapText="0"/>
    </xf>
    <xf borderId="0" fillId="0" fontId="1" numFmtId="0" xfId="0" applyAlignment="1" applyFont="1">
      <alignment shrinkToFit="0" vertical="center" wrapText="0"/>
    </xf>
    <xf borderId="0" fillId="0" fontId="14" numFmtId="0" xfId="0" applyAlignment="1" applyFont="1">
      <alignment readingOrder="0" shrinkToFit="0" vertical="center" wrapText="0"/>
    </xf>
    <xf borderId="0" fillId="0" fontId="15"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4" fontId="12" numFmtId="0" xfId="0" applyAlignment="1" applyFill="1" applyFont="1">
      <alignment readingOrder="0" shrinkToFit="0" vertical="bottom" wrapText="0"/>
    </xf>
    <xf borderId="0" fillId="4" fontId="13" numFmtId="0" xfId="0" applyAlignment="1" applyFont="1">
      <alignment readingOrder="0" shrinkToFit="0" vertical="bottom" wrapText="0"/>
    </xf>
    <xf borderId="0" fillId="0" fontId="12" numFmtId="0" xfId="0" applyAlignment="1" applyFont="1">
      <alignment horizontal="left" readingOrder="0" shrinkToFit="0" vertical="bottom" wrapText="0"/>
    </xf>
    <xf borderId="0" fillId="0" fontId="5" numFmtId="0" xfId="0" applyAlignment="1" applyFont="1">
      <alignment horizontal="left" readingOrder="0" shrinkToFit="0" vertical="center" wrapText="0"/>
    </xf>
    <xf borderId="0" fillId="0" fontId="6" numFmtId="49" xfId="0" applyAlignment="1" applyFont="1" applyNumberFormat="1">
      <alignment horizontal="left" readingOrder="0" shrinkToFit="0" vertical="center" wrapText="0"/>
    </xf>
    <xf borderId="0" fillId="5" fontId="16" numFmtId="0" xfId="0" applyAlignment="1" applyFill="1" applyFont="1">
      <alignment horizontal="left" readingOrder="0" vertical="bottom"/>
    </xf>
    <xf borderId="0" fillId="0" fontId="7" numFmtId="49" xfId="0" applyAlignment="1" applyFont="1" applyNumberFormat="1">
      <alignment shrinkToFit="0" vertical="center" wrapText="0"/>
    </xf>
    <xf borderId="0" fillId="0" fontId="1" numFmtId="0" xfId="0" applyAlignment="1" applyFont="1">
      <alignment readingOrder="0"/>
    </xf>
    <xf quotePrefix="1" borderId="0" fillId="0" fontId="7" numFmtId="49" xfId="0" applyAlignment="1" applyFont="1" applyNumberFormat="1">
      <alignment readingOrder="0" shrinkToFit="0" vertical="center" wrapText="0"/>
    </xf>
    <xf borderId="5" fillId="2" fontId="17" numFmtId="49" xfId="0" applyAlignment="1" applyBorder="1" applyFont="1" applyNumberFormat="1">
      <alignment horizontal="left" readingOrder="0" shrinkToFit="0" vertical="center" wrapText="0"/>
    </xf>
    <xf borderId="0" fillId="0" fontId="1" numFmtId="0" xfId="0" applyAlignment="1" applyFont="1">
      <alignment shrinkToFit="0" vertical="center" wrapText="0"/>
    </xf>
    <xf borderId="0" fillId="0" fontId="11" numFmtId="0" xfId="0" applyAlignment="1" applyFont="1">
      <alignment shrinkToFit="0" vertical="center" wrapText="0"/>
    </xf>
    <xf borderId="0" fillId="0" fontId="18" numFmtId="49" xfId="0" applyAlignment="1" applyFont="1" applyNumberFormat="1">
      <alignment shrinkToFit="0" vertical="center" wrapText="0"/>
    </xf>
    <xf borderId="0" fillId="0" fontId="7" numFmtId="49" xfId="0" applyFont="1" applyNumberFormat="1"/>
    <xf borderId="0" fillId="0" fontId="6" numFmtId="0" xfId="0" applyAlignment="1" applyFont="1">
      <alignment horizontal="left" readingOrder="0" shrinkToFit="0" vertical="center" wrapText="0"/>
    </xf>
    <xf borderId="0" fillId="0" fontId="7" numFmtId="0" xfId="0" applyAlignment="1" applyFont="1">
      <alignment shrinkToFit="0" vertical="center" wrapText="0"/>
    </xf>
    <xf borderId="0" fillId="0" fontId="7" numFmtId="0" xfId="0" applyAlignment="1" applyFont="1">
      <alignment readingOrder="0" shrinkToFit="0" vertical="center" wrapText="0"/>
    </xf>
    <xf borderId="6" fillId="6" fontId="19" numFmtId="0" xfId="0" applyAlignment="1" applyBorder="1" applyFill="1" applyFont="1">
      <alignment horizontal="center" readingOrder="0"/>
    </xf>
    <xf borderId="6" fillId="6" fontId="19" numFmtId="0" xfId="0" applyAlignment="1" applyBorder="1" applyFont="1">
      <alignment horizontal="left" readingOrder="0"/>
    </xf>
    <xf borderId="0" fillId="5" fontId="5" numFmtId="0" xfId="0" applyAlignment="1" applyFont="1">
      <alignment horizontal="center" readingOrder="0" vertical="bottom"/>
    </xf>
    <xf borderId="0" fillId="5" fontId="6" numFmtId="0" xfId="0" applyAlignment="1" applyFont="1">
      <alignment horizontal="left" readingOrder="0" vertical="bottom"/>
    </xf>
    <xf borderId="0" fillId="5" fontId="20" numFmtId="0" xfId="0" applyAlignment="1" applyFont="1">
      <alignment horizontal="left" readingOrder="0" vertical="bottom"/>
    </xf>
    <xf borderId="0" fillId="0" fontId="5" numFmtId="0" xfId="0" applyAlignment="1" applyFont="1">
      <alignment horizontal="center" readingOrder="0" vertical="bottom"/>
    </xf>
    <xf borderId="0" fillId="0" fontId="6" numFmtId="0" xfId="0" applyAlignment="1" applyFont="1">
      <alignment horizontal="left" readingOrder="0" vertical="bottom"/>
    </xf>
    <xf borderId="0" fillId="0" fontId="5" numFmtId="0" xfId="0" applyAlignment="1" applyFont="1">
      <alignment horizontal="left" readingOrder="0" vertical="bottom"/>
    </xf>
    <xf borderId="7" fillId="0" fontId="6" numFmtId="0" xfId="0" applyAlignment="1" applyBorder="1" applyFont="1">
      <alignment horizontal="left" readingOrder="0" vertical="bottom"/>
    </xf>
    <xf borderId="7" fillId="0" fontId="5" numFmtId="0" xfId="0" applyAlignment="1" applyBorder="1" applyFont="1">
      <alignment horizontal="left" readingOrder="0" vertical="bottom"/>
    </xf>
    <xf borderId="0" fillId="0" fontId="1" numFmtId="0" xfId="0" applyFont="1"/>
    <xf borderId="0" fillId="0" fontId="12" numFmtId="0" xfId="0" applyAlignment="1" applyFont="1">
      <alignment readingOrder="0" vertical="bottom"/>
    </xf>
    <xf borderId="0" fillId="0" fontId="10" numFmtId="0" xfId="0" applyAlignment="1" applyFont="1">
      <alignment horizontal="center" readingOrder="0" vertical="bottom"/>
    </xf>
    <xf borderId="0" fillId="0" fontId="10" numFmtId="0" xfId="0" applyAlignment="1" applyFont="1">
      <alignment horizontal="left" readingOrder="0" vertical="bottom"/>
    </xf>
    <xf borderId="0" fillId="7" fontId="21" numFmtId="0" xfId="0" applyAlignment="1" applyFill="1" applyFont="1">
      <alignment readingOrder="0"/>
    </xf>
    <xf borderId="0" fillId="0" fontId="21" numFmtId="0" xfId="0" applyFont="1"/>
    <xf borderId="0" fillId="0" fontId="21" numFmtId="0" xfId="0" applyAlignment="1" applyFont="1">
      <alignment readingOrder="0"/>
    </xf>
    <xf borderId="0" fillId="0" fontId="22" numFmtId="0" xfId="0" applyAlignment="1" applyFont="1">
      <alignment horizontal="center" readingOrder="0" vertical="top"/>
    </xf>
    <xf borderId="0" fillId="0" fontId="23" numFmtId="0" xfId="0" applyAlignment="1" applyFont="1">
      <alignment horizontal="left" readingOrder="0" vertical="top"/>
    </xf>
    <xf borderId="0" fillId="0" fontId="24" numFmtId="0" xfId="0" applyAlignment="1" applyFont="1">
      <alignment horizontal="left" readingOrder="0" vertical="top"/>
    </xf>
    <xf borderId="8" fillId="8" fontId="25" numFmtId="0" xfId="0" applyAlignment="1" applyBorder="1" applyFill="1" applyFont="1">
      <alignment horizontal="left" readingOrder="0"/>
    </xf>
    <xf borderId="8" fillId="0" fontId="1" numFmtId="0" xfId="0" applyBorder="1" applyFont="1"/>
    <xf borderId="0" fillId="0" fontId="26" numFmtId="0" xfId="0" applyAlignment="1" applyFont="1">
      <alignment horizontal="left" readingOrder="0" vertical="bottom"/>
    </xf>
    <xf borderId="6" fillId="0" fontId="27" numFmtId="0" xfId="0" applyBorder="1" applyFont="1"/>
    <xf borderId="0" fillId="5" fontId="1" numFmtId="0" xfId="0" applyFont="1"/>
    <xf borderId="0" fillId="0" fontId="6" numFmtId="0" xfId="0" applyAlignment="1" applyFont="1">
      <alignment readingOrder="0" vertical="bottom"/>
    </xf>
    <xf borderId="0" fillId="0" fontId="26" numFmtId="0" xfId="0" applyAlignment="1" applyFont="1">
      <alignment vertical="bottom"/>
    </xf>
    <xf borderId="0" fillId="0" fontId="1" numFmtId="0" xfId="0" applyAlignment="1" applyFont="1">
      <alignment horizontal="left" readingOrder="0"/>
    </xf>
    <xf borderId="0" fillId="4" fontId="28" numFmtId="0" xfId="0" applyAlignment="1" applyFont="1">
      <alignment horizontal="left" readingOrder="0"/>
    </xf>
    <xf borderId="0" fillId="0" fontId="10" numFmtId="0" xfId="0" applyAlignment="1" applyFont="1">
      <alignment readingOrder="0" vertical="bottom"/>
    </xf>
    <xf borderId="8" fillId="8" fontId="4" numFmtId="0" xfId="0" applyAlignment="1" applyBorder="1" applyFont="1">
      <alignment vertical="bottom"/>
    </xf>
    <xf borderId="8" fillId="0" fontId="10" numFmtId="0" xfId="0" applyBorder="1" applyFont="1"/>
    <xf borderId="0" fillId="0" fontId="29" numFmtId="0" xfId="0" applyAlignment="1" applyFont="1">
      <alignment readingOrder="0" vertical="top"/>
    </xf>
    <xf borderId="0" fillId="0" fontId="12" numFmtId="0" xfId="0" applyAlignment="1" applyFont="1">
      <alignment horizontal="left" readingOrder="0" vertical="bottom"/>
    </xf>
    <xf borderId="9" fillId="7" fontId="30" numFmtId="0" xfId="0" applyAlignment="1" applyBorder="1" applyFont="1">
      <alignment readingOrder="0" vertical="bottom"/>
    </xf>
    <xf borderId="9" fillId="0" fontId="31" numFmtId="0" xfId="0" applyAlignment="1" applyBorder="1" applyFont="1">
      <alignment horizontal="center" readingOrder="0"/>
    </xf>
    <xf borderId="0" fillId="0" fontId="10" numFmtId="0" xfId="0" applyFont="1"/>
    <xf borderId="0" fillId="0" fontId="32" numFmtId="0" xfId="0" applyAlignment="1" applyFont="1">
      <alignment horizontal="left" readingOrder="0"/>
    </xf>
    <xf borderId="0" fillId="0" fontId="32" numFmtId="0" xfId="0" applyAlignment="1" applyFont="1">
      <alignment readingOrder="0"/>
    </xf>
    <xf borderId="8" fillId="8" fontId="4" numFmtId="0" xfId="0" applyAlignment="1" applyBorder="1" applyFont="1">
      <alignment readingOrder="0" vertical="bottom"/>
    </xf>
    <xf borderId="0" fillId="4" fontId="0" numFmtId="0" xfId="0" applyAlignment="1" applyFont="1">
      <alignment horizontal="left" readingOrder="0" shrinkToFit="0" wrapText="1"/>
    </xf>
    <xf borderId="10" fillId="0" fontId="10" numFmtId="49" xfId="0" applyAlignment="1" applyBorder="1" applyFont="1" applyNumberFormat="1">
      <alignment horizontal="left" readingOrder="0" shrinkToFit="0" vertical="center" wrapText="0"/>
    </xf>
    <xf borderId="0" fillId="0" fontId="10" numFmtId="49" xfId="0" applyAlignment="1" applyFont="1" applyNumberFormat="1">
      <alignment horizontal="left" readingOrder="0" shrinkToFit="0" vertical="center" wrapText="0"/>
    </xf>
    <xf borderId="0" fillId="0" fontId="12" numFmtId="49" xfId="0" applyAlignment="1" applyFont="1" applyNumberFormat="1">
      <alignment readingOrder="0" vertical="bottom"/>
    </xf>
    <xf borderId="0" fillId="0" fontId="10" numFmtId="49" xfId="0" applyAlignment="1" applyFont="1" applyNumberFormat="1">
      <alignment readingOrder="0" vertical="bottom"/>
    </xf>
    <xf borderId="0" fillId="0" fontId="12" numFmtId="49" xfId="0" applyAlignment="1" applyFont="1" applyNumberFormat="1">
      <alignment vertical="bottom"/>
    </xf>
    <xf borderId="0" fillId="0" fontId="10" numFmtId="49" xfId="0" applyAlignment="1" applyFont="1" applyNumberFormat="1">
      <alignment vertical="bottom"/>
    </xf>
    <xf borderId="7" fillId="0" fontId="6" numFmtId="0" xfId="0" applyAlignment="1" applyBorder="1" applyFont="1">
      <alignment readingOrder="0" vertical="bottom"/>
    </xf>
    <xf borderId="7" fillId="0" fontId="26" numFmtId="0" xfId="0" applyAlignment="1" applyBorder="1" applyFont="1">
      <alignment vertical="bottom"/>
    </xf>
    <xf borderId="0" fillId="0" fontId="1" numFmtId="0" xfId="0" applyAlignment="1" applyFont="1">
      <alignment vertical="bottom"/>
    </xf>
    <xf borderId="0" fillId="0" fontId="1" numFmtId="0" xfId="0" applyAlignment="1" applyFont="1">
      <alignment readingOrder="0" vertical="bottom"/>
    </xf>
    <xf borderId="0" fillId="0" fontId="10" numFmtId="0" xfId="0" applyAlignment="1" applyFont="1">
      <alignment readingOrder="0"/>
    </xf>
    <xf borderId="0" fillId="0" fontId="28" numFmtId="0" xfId="0" applyAlignment="1" applyFont="1">
      <alignment readingOrder="0" shrinkToFit="0" vertical="bottom" wrapText="1"/>
    </xf>
    <xf borderId="0" fillId="4" fontId="33" numFmtId="49" xfId="0" applyAlignment="1" applyFont="1" applyNumberFormat="1">
      <alignment readingOrder="0"/>
    </xf>
    <xf borderId="8" fillId="0" fontId="24" numFmtId="0" xfId="0" applyAlignment="1" applyBorder="1" applyFont="1">
      <alignment horizontal="left" readingOrder="0" vertical="top"/>
    </xf>
    <xf borderId="0" fillId="4" fontId="12" numFmtId="0" xfId="0" applyAlignment="1" applyFont="1">
      <alignment readingOrder="0" vertical="bottom"/>
    </xf>
    <xf borderId="0" fillId="0" fontId="12" numFmtId="0" xfId="0" applyAlignment="1" applyFont="1">
      <alignment vertical="bottom"/>
    </xf>
    <xf borderId="7" fillId="0" fontId="12" numFmtId="0" xfId="0" applyAlignment="1" applyBorder="1" applyFont="1">
      <alignment vertical="bottom"/>
    </xf>
    <xf borderId="0" fillId="0" fontId="34" numFmtId="0" xfId="0" applyAlignment="1" applyFont="1">
      <alignment readingOrder="0" vertical="top"/>
    </xf>
    <xf borderId="11" fillId="9" fontId="35" numFmtId="0" xfId="0" applyBorder="1" applyFill="1" applyFont="1"/>
    <xf borderId="11" fillId="9" fontId="36" numFmtId="0" xfId="0" applyAlignment="1" applyBorder="1" applyFont="1">
      <alignment horizontal="left" readingOrder="0"/>
    </xf>
    <xf borderId="11" fillId="0" fontId="27" numFmtId="0" xfId="0" applyBorder="1" applyFont="1"/>
    <xf borderId="12" fillId="9" fontId="35" numFmtId="0" xfId="0" applyBorder="1" applyFont="1"/>
    <xf borderId="12" fillId="9" fontId="37" numFmtId="0" xfId="0" applyAlignment="1" applyBorder="1" applyFont="1">
      <alignment horizontal="left" readingOrder="0"/>
    </xf>
    <xf borderId="12" fillId="0" fontId="27" numFmtId="0" xfId="0" applyBorder="1" applyFont="1"/>
    <xf borderId="0" fillId="6" fontId="19" numFmtId="0" xfId="0" applyAlignment="1" applyFont="1">
      <alignment horizontal="left" readingOrder="0"/>
    </xf>
    <xf borderId="13" fillId="5" fontId="5" numFmtId="0" xfId="0" applyBorder="1" applyFont="1"/>
    <xf borderId="13" fillId="5" fontId="6" numFmtId="0" xfId="0" applyAlignment="1" applyBorder="1" applyFont="1">
      <alignment horizontal="left" readingOrder="0" vertical="bottom"/>
    </xf>
    <xf borderId="5" fillId="2" fontId="38" numFmtId="0" xfId="0" applyAlignment="1" applyBorder="1" applyFont="1">
      <alignment horizontal="center" readingOrder="0" vertical="bottom"/>
    </xf>
    <xf borderId="13" fillId="5" fontId="20" numFmtId="0" xfId="0" applyAlignment="1" applyBorder="1" applyFont="1">
      <alignment horizontal="left" readingOrder="0" vertical="bottom"/>
    </xf>
    <xf borderId="8" fillId="10" fontId="39" numFmtId="0" xfId="0" applyAlignment="1" applyBorder="1" applyFill="1" applyFont="1">
      <alignment horizontal="right" readingOrder="0" vertical="bottom"/>
    </xf>
    <xf borderId="14" fillId="0" fontId="40" numFmtId="0" xfId="0" applyAlignment="1" applyBorder="1" applyFont="1">
      <alignment horizontal="center" readingOrder="0"/>
    </xf>
    <xf borderId="8" fillId="0" fontId="10" numFmtId="0" xfId="0" applyAlignment="1" applyBorder="1" applyFont="1">
      <alignment readingOrder="0" vertical="bottom"/>
    </xf>
    <xf borderId="0" fillId="0" fontId="1" numFmtId="0" xfId="0" applyAlignment="1" applyFont="1">
      <alignment horizontal="center" readingOrder="0"/>
    </xf>
    <xf borderId="8" fillId="0" fontId="1" numFmtId="0" xfId="0" applyAlignment="1" applyBorder="1" applyFont="1">
      <alignment readingOrder="0"/>
    </xf>
    <xf borderId="0" fillId="0" fontId="1" numFmtId="0" xfId="0" applyAlignment="1" applyFont="1">
      <alignment horizontal="right" readingOrder="0"/>
    </xf>
    <xf borderId="0" fillId="0" fontId="41" numFmtId="0" xfId="0" applyAlignment="1" applyFont="1">
      <alignment readingOrder="0"/>
    </xf>
    <xf borderId="15" fillId="0" fontId="42" numFmtId="0" xfId="0" applyAlignment="1" applyBorder="1" applyFont="1">
      <alignment horizontal="left" readingOrder="0"/>
    </xf>
    <xf borderId="15" fillId="0" fontId="43" numFmtId="0" xfId="0" applyAlignment="1" applyBorder="1" applyFont="1">
      <alignment horizontal="left" readingOrder="0"/>
    </xf>
    <xf borderId="15" fillId="0" fontId="1" numFmtId="0" xfId="0" applyBorder="1" applyFont="1"/>
    <xf borderId="9" fillId="11" fontId="44" numFmtId="0" xfId="0" applyAlignment="1" applyBorder="1" applyFill="1" applyFont="1">
      <alignment horizontal="right" readingOrder="0"/>
    </xf>
    <xf borderId="16" fillId="0" fontId="45" numFmtId="0" xfId="0" applyAlignment="1" applyBorder="1" applyFont="1">
      <alignment horizontal="center" readingOrder="0"/>
    </xf>
    <xf borderId="17" fillId="0" fontId="32" numFmtId="0" xfId="0" applyAlignment="1" applyBorder="1" applyFont="1">
      <alignment readingOrder="0"/>
    </xf>
    <xf borderId="0" fillId="0" fontId="21" numFmtId="0" xfId="0" applyAlignment="1" applyFont="1">
      <alignment horizontal="left" readingOrder="0"/>
    </xf>
    <xf borderId="0" fillId="0" fontId="21" numFmtId="0" xfId="0" applyAlignment="1" applyFont="1">
      <alignment horizontal="center" readingOrder="0"/>
    </xf>
    <xf borderId="7" fillId="0" fontId="26" numFmtId="0" xfId="0" applyAlignment="1" applyBorder="1" applyFont="1">
      <alignment vertical="bottom"/>
    </xf>
    <xf borderId="14" fillId="0" fontId="46" numFmtId="49" xfId="0" applyAlignment="1" applyBorder="1" applyFont="1" applyNumberFormat="1">
      <alignment horizontal="center" readingOrder="0" vertical="bottom"/>
    </xf>
    <xf borderId="0" fillId="0" fontId="47" numFmtId="0" xfId="0" applyAlignment="1" applyFont="1">
      <alignment horizontal="left" readingOrder="0" vertical="top"/>
    </xf>
    <xf borderId="0" fillId="0" fontId="10" numFmtId="0" xfId="0" applyAlignment="1" applyFont="1">
      <alignment readingOrder="0" vertical="center"/>
    </xf>
    <xf borderId="18" fillId="0" fontId="10" numFmtId="49" xfId="0" applyAlignment="1" applyBorder="1" applyFont="1" applyNumberFormat="1">
      <alignment horizontal="center" readingOrder="0" vertical="bottom"/>
    </xf>
    <xf borderId="0" fillId="0" fontId="10" numFmtId="0" xfId="0" applyAlignment="1" applyFont="1">
      <alignment horizontal="left" readingOrder="0" vertical="top"/>
    </xf>
    <xf borderId="0" fillId="0" fontId="1" numFmtId="0" xfId="0" applyAlignment="1" applyFont="1">
      <alignment vertical="top"/>
    </xf>
    <xf borderId="0" fillId="0" fontId="10" numFmtId="49" xfId="0" applyAlignment="1" applyFont="1" applyNumberFormat="1">
      <alignment vertical="top"/>
    </xf>
    <xf borderId="0" fillId="10" fontId="39" numFmtId="0" xfId="0" applyAlignment="1" applyFont="1">
      <alignment horizontal="right" readingOrder="0" vertical="bottom"/>
    </xf>
    <xf borderId="19" fillId="0" fontId="1" numFmtId="0" xfId="0" applyAlignment="1" applyBorder="1" applyFont="1">
      <alignment horizontal="center" readingOrder="0"/>
    </xf>
    <xf borderId="20" fillId="10" fontId="39" numFmtId="0" xfId="0" applyAlignment="1" applyBorder="1" applyFont="1">
      <alignment horizontal="right" readingOrder="0" vertical="bottom"/>
    </xf>
    <xf borderId="18" fillId="0" fontId="1" numFmtId="0" xfId="0" applyAlignment="1" applyBorder="1" applyFont="1">
      <alignment horizontal="center" readingOrder="0"/>
    </xf>
    <xf borderId="21" fillId="10" fontId="48" numFmtId="0" xfId="0" applyAlignment="1" applyBorder="1" applyFont="1">
      <alignment horizontal="right" readingOrder="0"/>
    </xf>
    <xf borderId="22" fillId="0" fontId="1" numFmtId="0" xfId="0" applyAlignment="1" applyBorder="1" applyFont="1">
      <alignment horizontal="center" readingOrder="0"/>
    </xf>
    <xf borderId="23" fillId="10" fontId="48" numFmtId="0" xfId="0" applyAlignment="1" applyBorder="1" applyFont="1">
      <alignment horizontal="right" readingOrder="0"/>
    </xf>
    <xf borderId="24" fillId="0" fontId="10" numFmtId="49" xfId="0" applyAlignment="1" applyBorder="1" applyFont="1" applyNumberFormat="1">
      <alignment horizontal="left" readingOrder="0" shrinkToFit="1" vertical="center" wrapText="0"/>
    </xf>
    <xf borderId="0" fillId="0" fontId="49" numFmtId="0" xfId="0" applyAlignment="1" applyFont="1">
      <alignment readingOrder="0"/>
    </xf>
    <xf borderId="0" fillId="0" fontId="50" numFmtId="0" xfId="0" applyAlignment="1" applyFont="1">
      <alignment readingOrder="0"/>
    </xf>
    <xf borderId="0" fillId="0" fontId="10" numFmtId="0" xfId="0" applyAlignment="1" applyFont="1">
      <alignment readingOrder="0"/>
    </xf>
    <xf borderId="0" fillId="0" fontId="49" numFmtId="0" xfId="0" applyAlignment="1" applyFont="1">
      <alignment horizontal="left" readingOrder="0" vertical="bottom"/>
    </xf>
    <xf borderId="0" fillId="0" fontId="51" numFmtId="0" xfId="0" applyAlignment="1" applyFont="1">
      <alignment readingOrder="0"/>
    </xf>
    <xf borderId="0" fillId="0" fontId="4" numFmtId="0" xfId="0" applyAlignment="1" applyFont="1">
      <alignment readingOrder="0"/>
    </xf>
    <xf borderId="0" fillId="0" fontId="52" numFmtId="0" xfId="0" applyAlignment="1" applyFont="1">
      <alignment readingOrder="0"/>
    </xf>
    <xf borderId="0" fillId="0" fontId="4" numFmtId="0" xfId="0" applyAlignment="1" applyFont="1">
      <alignment readingOrder="0" vertical="center"/>
    </xf>
  </cellXfs>
  <cellStyles count="1">
    <cellStyle xfId="0" name="Normal" builtinId="0"/>
  </cellStyles>
  <dxfs count="5">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s>
  <tableStyles count="11">
    <tableStyle count="4" pivot="0" name="Weapons - All v2.2-style">
      <tableStyleElement dxfId="1" type="headerRow"/>
      <tableStyleElement dxfId="2" type="firstRowStripe"/>
      <tableStyleElement dxfId="3" type="secondRowStripe"/>
      <tableStyleElement dxfId="4" size="0" type="wholeTable"/>
    </tableStyle>
    <tableStyle count="4" pivot="0" name="Weapon - Grenades v2.2-style">
      <tableStyleElement dxfId="1" type="headerRow"/>
      <tableStyleElement dxfId="2" type="firstRowStripe"/>
      <tableStyleElement dxfId="3" type="secondRowStripe"/>
      <tableStyleElement dxfId="4" size="0" type="wholeTable"/>
    </tableStyle>
    <tableStyle count="4" pivot="0" name="Weapon Mods - All v2.2-style">
      <tableStyleElement dxfId="1" type="headerRow"/>
      <tableStyleElement dxfId="2" type="firstRowStripe"/>
      <tableStyleElement dxfId="3" type="secondRowStripe"/>
      <tableStyleElement dxfId="4" size="0" type="wholeTable"/>
    </tableStyle>
    <tableStyle count="4" pivot="0" name="Cyberware All v2.2-style">
      <tableStyleElement dxfId="1" type="headerRow"/>
      <tableStyleElement dxfId="2" type="firstRowStripe"/>
      <tableStyleElement dxfId="3" type="secondRowStripe"/>
      <tableStyleElement dxfId="4" size="0" type="wholeTable"/>
    </tableStyle>
    <tableStyle count="4" pivot="0" name="Cyberdeck QuickHacks v2.2-style">
      <tableStyleElement dxfId="1" type="headerRow"/>
      <tableStyleElement dxfId="2" type="firstRowStripe"/>
      <tableStyleElement dxfId="3" type="secondRowStripe"/>
      <tableStyleElement dxfId="4" size="0" type="wholeTable"/>
    </tableStyle>
    <tableStyle count="4" pivot="0" name="Clothing - All v2.2-style">
      <tableStyleElement dxfId="1" type="headerRow"/>
      <tableStyleElement dxfId="2" type="firstRowStripe"/>
      <tableStyleElement dxfId="3" type="secondRowStripe"/>
      <tableStyleElement dxfId="4" size="0" type="wholeTable"/>
    </tableStyle>
    <tableStyle count="4" pivot="0" name="Clothing Outfit Sets v2.2-style">
      <tableStyleElement dxfId="1" type="headerRow"/>
      <tableStyleElement dxfId="2" type="firstRowStripe"/>
      <tableStyleElement dxfId="3" type="secondRowStripe"/>
      <tableStyleElement dxfId="4" size="0" type="wholeTable"/>
    </tableStyle>
    <tableStyle count="4" pivot="0" name="Crafting Mats &amp; Recipes - All v-style">
      <tableStyleElement dxfId="1" type="headerRow"/>
      <tableStyleElement dxfId="2" type="firstRowStripe"/>
      <tableStyleElement dxfId="3" type="secondRowStripe"/>
      <tableStyleElement dxfId="4" size="0" type="wholeTable"/>
    </tableStyle>
    <tableStyle count="4" pivot="0" name="Consumables v2.2-style">
      <tableStyleElement dxfId="1" type="headerRow"/>
      <tableStyleElement dxfId="2" type="firstRowStripe"/>
      <tableStyleElement dxfId="3" type="secondRowStripe"/>
      <tableStyleElement dxfId="4" size="0" type="wholeTable"/>
    </tableStyle>
    <tableStyle count="4" pivot="0" name="Vehicles - All v2.3-style">
      <tableStyleElement dxfId="1" type="headerRow"/>
      <tableStyleElement dxfId="2" type="firstRowStripe"/>
      <tableStyleElement dxfId="3" type="secondRowStripe"/>
      <tableStyleElement dxfId="4" size="0" type="wholeTable"/>
    </tableStyle>
    <tableStyle count="4" pivot="0" name="Teleports Locations v2.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lxxwed" id="{183d3ea2-f569-457b-bc1d-a94e64b61b5e}" providerId="google-sheets"/>
  <x18tc:person displayName="Brandi Candy" id="{e4276c78-04bb-4e79-ba97-fd735d96f99a}" providerId="google-sheets"/>
  <x18tc:person displayName="II" id="{c7fa7a7f-fe03-429e-aa7b-7a8900bc844d}" providerId="google-sheets"/>
  <x18tc:person displayName="George Leyland" id="{247b1b5b-20c7-4ff0-acb6-d2fa306f5b43}" providerId="google-sheets"/>
  <x18tc:person displayName="Shadow Qst" id="{d6d14659-a15c-4a5d-8a8f-b2c3a9b198fe}" providerId="google-sheets"/>
  <x18tc:person displayName="Hayden (Atypical)" id="{5ba030c7-43f2-443a-8f56-9d321fd5a8d5}" providerId="google-sheets"/>
  <x18tc:person displayName="Sammie Jones" id="{4f563aee-f356-4cc4-9693-783a422d1654}" providerId="google-sheets"/>
  <x18tc:person displayName="Łukasz Sawicki" id="{df899e74-093a-49ef-bc7a-d108e99a8021}" providerId="google-sheets"/>
  <x18tc:person displayName="Eragon xD" id="{6e48f4fc-3d1c-40bb-9661-e0e36ee4801d}" providerId="google-sheets"/>
  <x18tc:person displayName="Salomon Vasquez" id="{06536654-cd69-4a17-a561-be359dd8e113}" providerId="google-sheets"/>
  <x18tc:person displayName="Mikołaj slb" id="{5c10f1ba-6cbf-4848-84f2-cd4b0ff6d8cf}" providerId="google-sheets"/>
  <x18tc:person displayName="Dan" id="{8ad9ff23-ee85-47d3-bf9a-d3c1bea4e5b0}" providerId="google-sheets"/>
  <x18tc:person displayName="Alex Richter" id="{71149540-c410-481e-85f4-739b8347989f}" providerId="google-sheets"/>
  <x18tc:person displayName="Emanuel Oliveira" id="{ace68adb-0f74-486d-88b7-9383fb522f0c}" providerId="google-sheets"/>
  <x18tc:person displayName="bruh bruh" id="{044e59be-4c6a-49c1-9969-88f10de5ffd9}" providerId="google-sheets"/>
  <x18tc:person displayName="Lupuz ksan" id="{2659d0c6-7c19-4f44-b766-330d30e5b9f2}" providerId="google-sheets"/>
  <x18tc:person displayName="F" id="{b6971db9-5ebc-4945-8814-d1881c43cfb2}" providerId="google-sheets"/>
  <x18tc:person displayName="bouchra" id="{654b2534-0298-4b19-ab0c-293246ae11c8}" providerId="google-sheets"/>
  <x18tc:person displayName="Bernhardt Weihrich" id="{7b3bdba7-048c-4d34-b285-783202525a6a}" providerId="google-sheets"/>
  <x18tc:person displayName="ViolentViper25" id="{881ec443-809e-4e85-a9eb-632a1be2f41b}" providerId="google-sheets"/>
  <x18tc:person displayName="Antonio Hidalgo Braojos" id="{110ac476-a74a-4339-89fd-4c55a4231b55}" providerId="google-sheets"/>
  <x18tc:person displayName="Deleted user" id="{a9c43c4f-d909-4b36-aab2-c63ad4fb169d}" providerId="google-sheets"/>
  <x18tc:person displayName="Benjamin Mellinger-Dueck" id="{cfcb0d09-fc12-4b56-a0d5-6e95dd8a38d7}" providerId="google-sheets"/>
  <x18tc:person displayName="Rick Wilson" id="{fdcebe1b-e519-4936-a062-73db6a187bde}" providerId="google-sheets"/>
  <x18tc:person displayName="Jacob del Callar" id="{94d1fc43-26d7-4478-85d9-e4b2939ef37d}" providerId="google-sheets"/>
  <x18tc:person displayName="Tyler Rezabek-Castro" id="{0233a40c-52db-448f-ab16-c3001432477d}" providerId="google-sheets"/>
  <x18tc:person displayName="Nirab Manandhar" id="{55c79f19-514b-4ee5-9d3e-35aae6f43859}" providerId="google-sheets"/>
  <x18tc:person displayName="Anonymous" id="{476eead6-8635-4d0a-b988-cf01c2e220ed}" providerId="google-sheets"/>
  <x18tc:person displayName="Onyx Reyes" id="{6cccab6e-e9ff-4fa5-b76a-e6bd83077816}" providerId="google-sheets"/>
  <x18tc:person displayName="Charizman" id="{4fd2221e-971b-4c5a-b38f-2942bc49c56f}" providerId="google-sheets"/>
  <x18tc:person displayName="Pedro Gois" id="{18d65241-070f-41a3-9e99-5b663d32cf7a}" providerId="google-sheets"/>
  <x18tc:person displayName="David “Dryadelder” Faltyn" id="{63d75ae1-4252-4601-b177-c2c2f434d21f}" providerId="google-sheets"/>
  <x18tc:person displayName="Minh Nguyễn" id="{d802fbd6-7715-4806-92b5-5342b649c1dd}" providerId="google-sheets"/>
  <x18tc:person displayName="Jacqueline Newbiggin" id="{8879ff69-af4f-48fb-845f-a959cba6ddf5}" providerId="google-sheets"/>
  <x18tc:person displayName="Rafael benari" id="{f1ab5911-2428-4009-8fcb-99f3efdd706d}" providerId="google-sheets"/>
</x18tc:personList>
</file>

<file path=xl/tables/table1.xml><?xml version="1.0" encoding="utf-8"?>
<table xmlns="http://schemas.openxmlformats.org/spreadsheetml/2006/main" ref="A1:F1465" displayName="All_Weapons_v2.2" name="All_Weapons_v2.2" id="1">
  <tableColumns count="6">
    <tableColumn name="Category" id="1"/>
    <tableColumn name="Name" id="2"/>
    <tableColumn name="Tier" id="3"/>
    <tableColumn name="Command" id="4"/>
    <tableColumn name="Misc" id="5"/>
    <tableColumn name="Notes" id="6"/>
  </tableColumns>
  <tableStyleInfo name="Weapons - All v2.2-style" showColumnStripes="0" showFirstColumn="1" showLastColumn="1" showRowStripes="1"/>
</table>
</file>

<file path=xl/tables/table2.xml><?xml version="1.0" encoding="utf-8"?>
<table xmlns="http://schemas.openxmlformats.org/spreadsheetml/2006/main" ref="A1:E77" displayName="Grenades_v2.2" name="Grenades_v2.2" id="2">
  <tableColumns count="5">
    <tableColumn name="Catagory" id="1"/>
    <tableColumn name="Name" id="2"/>
    <tableColumn name="Tier" id="3"/>
    <tableColumn name="Command" id="4"/>
    <tableColumn name="Notes" id="5"/>
  </tableColumns>
  <tableStyleInfo name="Weapon - Grenades v2.2-style" showColumnStripes="0" showFirstColumn="1" showLastColumn="1" showRowStripes="1"/>
</table>
</file>

<file path=xl/tables/table3.xml><?xml version="1.0" encoding="utf-8"?>
<table xmlns="http://schemas.openxmlformats.org/spreadsheetml/2006/main" ref="A1:F280" displayName="All_Weapons_Mod_v2.2" name="All_Weapons_Mod_v2.2" id="3">
  <tableColumns count="6">
    <tableColumn name="Catagory" id="1"/>
    <tableColumn name="Name" id="2"/>
    <tableColumn name="Tier" id="3"/>
    <tableColumn name="Command" id="4"/>
    <tableColumn name="Misc " id="5"/>
    <tableColumn name="Notes" id="6"/>
  </tableColumns>
  <tableStyleInfo name="Weapon Mods - All v2.2-style" showColumnStripes="0" showFirstColumn="1" showLastColumn="1" showRowStripes="1"/>
</table>
</file>

<file path=xl/tables/table4.xml><?xml version="1.0" encoding="utf-8"?>
<table xmlns="http://schemas.openxmlformats.org/spreadsheetml/2006/main" ref="A1:F1402" displayName="All_Cyberware_v2.2" name="All_Cyberware_v2.2" id="4">
  <tableColumns count="6">
    <tableColumn name="Catagory" id="1"/>
    <tableColumn name="Name" id="2"/>
    <tableColumn name="Tier" id="3"/>
    <tableColumn name="COMMAND" id="4"/>
    <tableColumn name="Misc" id="5"/>
    <tableColumn name="Notes" id="6"/>
  </tableColumns>
  <tableStyleInfo name="Cyberware All v2.2-style" showColumnStripes="0" showFirstColumn="1" showLastColumn="1" showRowStripes="1"/>
</table>
</file>

<file path=xl/tables/table5.xml><?xml version="1.0" encoding="utf-8"?>
<table xmlns="http://schemas.openxmlformats.org/spreadsheetml/2006/main" ref="A1:E80" displayName="All_Quickhacks_v2.2" name="All_Quickhacks_v2.2" id="5">
  <tableColumns count="5">
    <tableColumn name="Catagory" id="1"/>
    <tableColumn name="Name" id="2"/>
    <tableColumn name="Tier" id="3"/>
    <tableColumn name="Command" id="4"/>
    <tableColumn name="Misc" id="5"/>
  </tableColumns>
  <tableStyleInfo name="Cyberdeck QuickHacks v2.2-style" showColumnStripes="0" showFirstColumn="1" showLastColumn="1" showRowStripes="1"/>
</table>
</file>

<file path=xl/tables/table6.xml><?xml version="1.0" encoding="utf-8"?>
<table xmlns="http://schemas.openxmlformats.org/spreadsheetml/2006/main" ref="A1:F1827" displayName="All_Clothing_v2.2" name="All_Clothing_v2.2" id="6">
  <tableColumns count="6">
    <tableColumn name="Catagory" id="1"/>
    <tableColumn name="Name" id="2"/>
    <tableColumn name="COMMAND" id="3"/>
    <tableColumn name="Misc" id="4"/>
    <tableColumn name="Style" id="5"/>
    <tableColumn name="Faction" id="6"/>
  </tableColumns>
  <tableStyleInfo name="Clothing - All v2.2-style" showColumnStripes="0" showFirstColumn="1" showLastColumn="1" showRowStripes="1"/>
</table>
</file>

<file path=xl/tables/table7.xml><?xml version="1.0" encoding="utf-8"?>
<table xmlns="http://schemas.openxmlformats.org/spreadsheetml/2006/main" ref="A1:F66" displayName="All_Clothing_Sets_v2.2" name="All_Clothing_Sets_v2.2" id="7">
  <tableColumns count="6">
    <tableColumn name="Outfit Set" id="1"/>
    <tableColumn name="Catagory" id="2"/>
    <tableColumn name="Name" id="3"/>
    <tableColumn name="Command" id="4"/>
    <tableColumn name="Style" id="5"/>
    <tableColumn name="Faction" id="6"/>
  </tableColumns>
  <tableStyleInfo name="Clothing Outfit Sets v2.2-style" showColumnStripes="0" showFirstColumn="1" showLastColumn="1" showRowStripes="1"/>
</table>
</file>

<file path=xl/tables/table8.xml><?xml version="1.0" encoding="utf-8"?>
<table xmlns="http://schemas.openxmlformats.org/spreadsheetml/2006/main" ref="A1:G936" displayName="All_Crafting_Mats_and_Recipes_v2.2" name="All_Crafting_Mats_and_Recipes_v2.2" id="8">
  <tableColumns count="7">
    <tableColumn name="Category" id="1"/>
    <tableColumn name="Type" id="2"/>
    <tableColumn name="Name" id="3"/>
    <tableColumn name="Tier" id="4"/>
    <tableColumn name="Command" id="5"/>
    <tableColumn name="Misc" id="6"/>
    <tableColumn name="Notes" id="7"/>
  </tableColumns>
  <tableStyleInfo name="Crafting Mats &amp; Recipes - All v-style" showColumnStripes="0" showFirstColumn="1" showLastColumn="1" showRowStripes="1"/>
</table>
</file>

<file path=xl/tables/table9.xml><?xml version="1.0" encoding="utf-8"?>
<table xmlns="http://schemas.openxmlformats.org/spreadsheetml/2006/main" ref="A1:D191" displayName="Table1" name="Table1" id="9">
  <tableColumns count="4">
    <tableColumn name="Catagory" id="1"/>
    <tableColumn name="Name" id="2"/>
    <tableColumn name="Command" id="3"/>
    <tableColumn name="Notes / Effect" id="4"/>
  </tableColumns>
  <tableStyleInfo name="Consumables v2.2-style" showColumnStripes="0" showFirstColumn="1" showLastColumn="1" showRowStripes="1"/>
</table>
</file>

<file path=xl/tables/table10.xml><?xml version="1.0" encoding="utf-8"?>
<table xmlns="http://schemas.openxmlformats.org/spreadsheetml/2006/main" ref="A1:S209" displayName="Vehicles_v2.2" name="Vehicles_v2.2" id="10">
  <tableColumns count="19">
    <tableColumn name="Menu" id="1"/>
    <tableColumn name="Category" id="2"/>
    <tableColumn name="Mfr." id="3"/>
    <tableColumn name="Name" id="4"/>
    <tableColumn name="Command" id="5"/>
    <tableColumn name="Misc Info" id="6"/>
    <tableColumn name="Column 7" id="7"/>
    <tableColumn name="Column 8" id="8"/>
    <tableColumn name="Column 9" id="9"/>
    <tableColumn name="Column 10"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s>
  <tableStyleInfo name="Vehicles - All v2.3-style" showColumnStripes="0" showFirstColumn="1" showLastColumn="1" showRowStripes="1"/>
</table>
</file>

<file path=xl/tables/table11.xml><?xml version="1.0" encoding="utf-8"?>
<table xmlns="http://schemas.openxmlformats.org/spreadsheetml/2006/main" ref="A1:F424" displayName="Teleport_Locations_v2.2" name="Teleport_Locations_v2.2" id="11">
  <tableColumns count="6">
    <tableColumn name="Catagory" id="1"/>
    <tableColumn name="Name" id="2"/>
    <tableColumn name="COMMAND" id="3"/>
    <tableColumn name="DISTRICT" id="4"/>
    <tableColumn name="SUB-DISTRICT" id="5"/>
    <tableColumn name="NOTES" id="6"/>
  </tableColumns>
  <tableStyleInfo name="Teleports Locations v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2-11T07:23:36.00" personId="{94d1fc43-26d7-4478-85d9-e4b2939ef37d}" id="{2204e3f3-0aaa-4951-a11a-c53e427057d9}" done="1">
    <x18tc:text xml:space="preserve">gotta capitalize t and i in command</x18tc:text>
  </x18tc:threadedComment>
  <x18tc:threadedComment ref="A1" dT="2024-11-01T22:56:42.00" personId="{247b1b5b-20c7-4ff0-acb6-d2fa306f5b43}" id="{0e124ac9-0dd6-446d-884d-c1dae92b1553}" done="1">
    <x18tc:text xml:space="preserve">Should be - Damage per pellet</x18tc:text>
  </x18tc:threadedComment>
  <x18tc:threadedComment ref="A1" dT="2024-02-11T07:24:20.00" personId="{94d1fc43-26d7-4478-85d9-e4b2939ef37d}" id="{ea735eec-35a3-49f5-9a20-0f976d3eb9f4}" done="1">
    <x18tc:text xml:space="preserve">gotta switch "Addtoinventory" with "AddToInventory</x18tc:text>
  </x18tc:threadedComment>
  <x18tc:threadedComment ref="A1" dT="2024-02-11T07:25:39.00" personId="{044e59be-4c6a-49c1-9969-88f10de5ffd9}" id="{31594830-b3b1-4887-88ff-09b0c8fd3a7f}" done="1">
    <x18tc:text xml:space="preserve">switch "Addtoinventory" with "AddToInventory"</x18tc:text>
  </x18tc:threadedComment>
  <x18tc:threadedComment ref="A1" dT="2024-11-20T00:06:25.00" personId="{2659d0c6-7c19-4f44-b766-330d30e5b9f2}" id="{7f4d48c5-144c-4e04-98a9-6969295bc6a6}" done="1">
    <x18tc:text xml:space="preserve">how do i make it legendary it keeps going to tier 1</x18tc:text>
  </x18tc:threadedComment>
  <x18tc:threadedComment ref="A1" dT="2024-11-21T00:31:46.00" personId="{881ec443-809e-4e85-a9eb-632a1be2f41b}" id="{d5a5f61d-5159-452c-92c5-347f8478d28c}" parentId="{7f4d48c5-144c-4e04-98a9-6969295bc6a6}">
    <x18tc:text xml:space="preserve">upgrade it</x18tc:text>
  </x18tc:threadedComment>
  <x18tc:threadedComment ref="A1" dT="2024-07-26T15:19:37.00" personId="{476eead6-8635-4d0a-b988-cf01c2e220ed}" id="{459e8b78-7eab-4aa9-b6c4-ed18ce6748fb}" done="1">
    <x18tc:text xml:space="preserve">Deprecated. Should no longer be used. SQ031_Samurai_Jacket is the only valid one.</x18tc:text>
  </x18tc:threadedComment>
  <x18tc:threadedComment ref="A1" dT="2024-07-26T15:19:01.00" personId="{476eead6-8635-4d0a-b988-cf01c2e220ed}" id="{e4a905a2-27fd-4097-b500-02c35e2aff0e}" done="1">
    <x18tc:text xml:space="preserve">Deprecated. Should no longer be used. GOG_DLC_Jacket is the only valid one.</x18tc:text>
  </x18tc:threadedComment>
  <x18tc:threadedComment ref="A1" dT="2024-07-26T15:19:53.00" personId="{476eead6-8635-4d0a-b988-cf01c2e220ed}" id="{c954bf1b-57e3-4747-9695-0a16a706ae2f}" done="1">
    <x18tc:text xml:space="preserve">Deprecated. Should no longer be used.</x18tc:text>
  </x18tc:threadedComment>
  <x18tc:threadedComment ref="A1" dT="2024-07-26T15:19:43.00" personId="{476eead6-8635-4d0a-b988-cf01c2e220ed}" id="{16c5d0c5-31f3-4680-ace1-81db28fe19e0}" done="1">
    <x18tc:text xml:space="preserve">Deprecated. Should no longer be used. SQ031_Samurai_Jacket is the only valid one.</x18tc:text>
  </x18tc:threadedComment>
  <x18tc:threadedComment ref="B14" dT="2024-05-16T19:23:01.00" personId="{7b3bdba7-048c-4d34-b285-783202525a6a}" id="{eb0e3dff-775c-498e-92eb-b15282c42884}" done="1">
    <x18tc:text xml:space="preserve">here the new code for carry weight man Game.GetStatsSystem():AddModifier(Game.GetPlayer():GetEntityID(),RPGManager.CreateStatModifier(gamedataStatType.CarryCapacity,gameStatModifierType.Additive,99999999))</x18tc:text>
  </x18tc:threadedComment>
  <x18tc:threadedComment ref="B14" dT="2024-05-24T19:09:14.00" personId="{476eead6-8635-4d0a-b988-cf01c2e220ed}" id="{2f123ce9-3308-4d04-8625-31c1a2b15861}" parentId="{eb0e3dff-775c-498e-92eb-b15282c42884}">
    <x18tc:text xml:space="preserve">Marked as resolved</x18tc:text>
  </x18tc:threadedComment>
  <x18tc:threadedComment ref="B14" dT="2024-05-25T06:18:18.00" personId="{6cccab6e-e9ff-4fa5-b76a-e6bd83077816}" id="{3d002dce-31c6-42e0-b6d9-8886e99b55fd}" parentId="{eb0e3dff-775c-498e-92eb-b15282c42884}">
    <x18tc:text xml:space="preserve">Added it to the Misc. commands, might change it to a command variable later. anyways resolving this comment
Re-opened</x18tc:text>
  </x18tc:threadedComment>
  <x18tc:threadedComment ref="A1" dT="2024-07-16T23:28:31.00" personId="{476eead6-8635-4d0a-b988-cf01c2e220ed}" id="{15f873f4-fbad-48b4-9a8f-c747eff8636c}" done="1">
    <x18tc:text xml:space="preserve">Police</x18tc:text>
  </x18tc:threadedComment>
  <x18tc:threadedComment ref="A1" dT="2024-07-25T03:40:33.00" personId="{ace68adb-0f74-486d-88b7-9383fb522f0c}" id="{1e04ab61-518d-4e34-ba02-32d9ba060311}" parentId="{15f873f4-fbad-48b4-9a8f-c747eff8636c}">
    <x18tc:text xml:space="preserve">Marked as resolved</x18tc:text>
  </x18tc:threadedComment>
  <x18tc:threadedComment ref="A1" dT="2024-07-25T03:40:54.00" personId="{ace68adb-0f74-486d-88b7-9383fb522f0c}" id="{4c3a16b4-f922-4b4a-b337-f4d2c0fd75c1}" parentId="{15f873f4-fbad-48b4-9a8f-c747eff8636c}">
    <x18tc:text xml:space="preserve">Re-opened</x18tc:text>
  </x18tc:threadedComment>
  <x18tc:threadedComment ref="A1" dT="2024-08-06T19:12:56.00" personId="{6cccab6e-e9ff-4fa5-b76a-e6bd83077816}" id="{879119ad-2c4f-4a91-8120-4866edc36af3}" parentId="{15f873f4-fbad-48b4-9a8f-c747eff8636c}">
    <x18tc:text xml:space="preserve">the name is NCPD = Night City Police Department.</x18tc:text>
  </x18tc:threadedComment>
  <x18tc:threadedComment ref="A1" dT="2024-07-16T23:28:23.00" personId="{476eead6-8635-4d0a-b988-cf01c2e220ed}" id="{23ee5c7d-24bf-4dd2-872f-aefcf98fd798}" done="1">
    <x18tc:text xml:space="preserve">Police</x18tc:text>
  </x18tc:threadedComment>
  <x18tc:threadedComment ref="A1" dT="2024-08-06T19:13:46.00" personId="{6cccab6e-e9ff-4fa5-b76a-e6bd83077816}" id="{23f64d89-1f7f-415a-83d4-b82472d56620}" parentId="{23ee5c7d-24bf-4dd2-872f-aefcf98fd798}">
    <x18tc:text xml:space="preserve">the name is NCPD = Night City Police Department.</x18tc:text>
  </x18tc:threadedComment>
  <x18tc:threadedComment ref="A1" dT="2024-07-15T00:26:14.00" personId="{476eead6-8635-4d0a-b988-cf01c2e220ed}" id="{bb78dd6c-b937-4f1b-a738-33c1c46dd56e}" done="1">
    <x18tc:text xml:space="preserve">Police</x18tc:text>
  </x18tc:threadedComment>
  <x18tc:threadedComment ref="A1" dT="2024-05-12T15:28:00.00" personId="{8ad9ff23-ee85-47d3-bf9a-d3c1bea4e5b0}" id="{bdb8f9b0-362b-433d-b998-a7d7d1f95d7d}" done="1">
    <x18tc:text xml:space="preserve">maybe make all quickhacks on the left say [insert quickhack] (Tier [insert number]) [Insert rarity]</x18tc:text>
  </x18tc:threadedComment>
  <x18tc:threadedComment ref="A1" dT="2024-05-16T06:17:35.00" personId="{6cccab6e-e9ff-4fa5-b76a-e6bd83077816}" id="{8a3e97fd-1a97-40f7-a334-8733fddede5b}" parentId="{bdb8f9b0-362b-433d-b998-a7d7d1f95d7d}">
    <x18tc:text xml:space="preserve">I don't plan on adding rarities to it. the tier level is already there. legendary is tier 5, and iconic is after that.</x18tc:text>
  </x18tc:threadedComment>
  <x18tc:threadedComment ref="A1" dT="2024-04-20T11:20:34.00" personId="{a9c43c4f-d909-4b36-aab2-c63ad4fb169d}" id="{41a7bbde-516b-4134-8aaf-711742af97aa}" done="1">
    <x18tc:text xml:space="preserve">1</x18tc:text>
  </x18tc:threadedComment>
  <x18tc:threadedComment ref="A1" dT="2024-03-07T19:56:37.00" personId="{df899e74-093a-49ef-bc7a-d108e99a8021}" id="{c28cf229-9eae-43b8-97d9-f97f67dddf98}" done="1">
    <x18tc:text xml:space="preserve">clothes commands not working. copy/paste them and nothing happens. f.e. guns commands work fine.</x18tc:text>
  </x18tc:threadedComment>
  <x18tc:threadedComment ref="A1" dT="2024-03-08T04:33:43.00" personId="{18d65241-070f-41a3-9e99-5b663d32cf7a}" id="{6dbdce1e-2672-41d6-80ff-52132e99a5f5}" parentId="{c28cf229-9eae-43b8-97d9-f97f67dddf98}">
    <x18tc:text xml:space="preserve">Marked as resolved</x18tc:text>
  </x18tc:threadedComment>
  <x18tc:threadedComment ref="A1" dT="2024-03-08T04:33:50.00" personId="{18d65241-070f-41a3-9e99-5b663d32cf7a}" id="{b0209541-b4a4-4e8b-83fd-97ab17d002cd}" parentId="{c28cf229-9eae-43b8-97d9-f97f67dddf98}">
    <x18tc:text xml:space="preserve">Re-opened</x18tc:text>
  </x18tc:threadedComment>
  <x18tc:threadedComment ref="A1" dT="2024-03-09T08:54:04.00" personId="{6cccab6e-e9ff-4fa5-b76a-e6bd83077816}" id="{b4d4409f-c9f8-44ef-86a7-774556dd89ee}" parentId="{c28cf229-9eae-43b8-97d9-f97f67dddf98}">
    <x18tc:text xml:space="preserve">seems like the some characters/glyphs got converted when i pasted it from my text editor. so i re-imported it. and tested few hundred. seems like its working now. let me know if something doesn't work. marking as resolved.</x18tc:text>
  </x18tc:threadedComment>
  <x18tc:threadedComment ref="A1" dT="2024-01-10T21:45:33.00" personId="{e4276c78-04bb-4e79-ba97-fd735d96f99a}" id="{4ff9b399-968e-458d-9e08-9bc8983ff976}" done="1">
    <x18tc:text xml:space="preserve">This isn't a smart sniper, tis a power one.</x18tc:text>
  </x18tc:threadedComment>
  <x18tc:threadedComment ref="B14" dT="2025-01-16T15:40:28.00" personId="{f1ab5911-2428-4009-8fcb-99f3efdd706d}" id="{44d25122-7b20-405d-969b-6776ef9cdb1e}" done="1">
    <x18tc:text xml:space="preserve">What the fucking shit is that</x18tc:text>
  </x18tc:threadedComment>
  <x18tc:threadedComment ref="B14" dT="2025-01-17T20:07:51.00" personId="{183d3ea2-f569-457b-bc1d-a94e64b61b5e}" id="{16e4b781-038d-4bfe-a99a-0fce8f9d68da}" parentId="{44d25122-7b20-405d-969b-6776ef9cdb1e}">
    <x18tc:text xml:space="preserve">Marked as resolved</x18tc:text>
  </x18tc:threadedComment>
  <x18tc:threadedComment ref="B14" dT="2025-01-22T08:40:51.00" personId="{d802fbd6-7715-4806-92b5-5342b649c1dd}" id="{b381f790-1719-4c70-bec1-529986f7b64e}" parentId="{44d25122-7b20-405d-969b-6776ef9cdb1e}">
    <x18tc:text xml:space="preserve">Re-opened</x18tc:text>
  </x18tc:threadedComment>
  <x18tc:threadedComment ref="A1" dT="2024-02-26T14:39:18.00" personId="{63d75ae1-4252-4601-b177-c2c2f434d21f}" id="{f5ea86c2-bd08-4601-86b6-7cba044807ae}" done="1">
    <x18tc:text xml:space="preserve">Please, can you say in info if its vehicle with weapons or not...
Imma dumb and never remember these ones by name.
To all of them, if possible.
Thank you</x18tc:text>
  </x18tc:threadedComment>
  <x18tc:threadedComment ref="A1" dT="2024-03-02T07:43:44.00" personId="{6cccab6e-e9ff-4fa5-b76a-e6bd83077816}" id="{2f342e8e-e451-4f35-b679-20f4edcd8d17}" parentId="{f5ea86c2-bd08-4601-86b6-7cba044807ae}">
    <x18tc:text xml:space="preserve">i added what weapons they use, but not sure i got all of them. let me know if i miss any. marking as resolved for now.</x18tc:text>
  </x18tc:threadedComment>
  <x18tc:threadedComment ref="A1" dT="2024-07-01T19:16:03.00" personId="{476eead6-8635-4d0a-b988-cf01c2e220ed}" id="{d3f10f61-5fa6-4392-b010-fe66b3212767}" done="1">
    <x18tc:text xml:space="preserve">this</x18tc:text>
  </x18tc:threadedComment>
  <x18tc:threadedComment ref="A1" dT="2024-07-26T15:18:38.00" personId="{476eead6-8635-4d0a-b988-cf01c2e220ed}" id="{2e4c7ae6-633c-42f4-9534-3501bd15447e}" done="1">
    <x18tc:text xml:space="preserve">Deprecated. Should no longer be used.</x18tc:text>
  </x18tc:threadedComment>
  <x18tc:threadedComment ref="A1" dT="2024-07-26T15:18:55.00" personId="{476eead6-8635-4d0a-b988-cf01c2e220ed}" id="{f7fd9e74-7d2e-455d-af9a-9e089de7e06b}" done="1">
    <x18tc:text xml:space="preserve">Deprecated. Should no longer be used. GOG_DLC_Jacket is the only valid one.</x18tc:text>
  </x18tc:threadedComment>
  <x18tc:threadedComment ref="A1" dT="2024-07-01T19:16:22.00" personId="{476eead6-8635-4d0a-b988-cf01c2e220ed}" id="{df9e9811-b2a4-491c-8580-9a9da6c301c7}" done="1">
    <x18tc:text xml:space="preserve">this</x18tc:text>
  </x18tc:threadedComment>
  <x18tc:threadedComment ref="A1" dT="2023-12-11T22:49:51.00" personId="{71149540-c410-481e-85f4-739b8347989f}" id="{17b7c09e-be10-4b4a-aaac-908d2f502e52}" done="1">
    <x18tc:text xml:space="preserve">Just a spelling fix &gt;&gt; CATEGORY   👍</x18tc:text>
  </x18tc:threadedComment>
  <x18tc:threadedComment ref="A1" dT="2024-07-01T19:16:32.00" personId="{476eead6-8635-4d0a-b988-cf01c2e220ed}" id="{6e81ca15-48f3-47f1-887e-6374c15064cc}" done="1">
    <x18tc:text xml:space="preserve">this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30T06:11:02.00" personId="{476eead6-8635-4d0a-b988-cf01c2e220ed}" id="{07d5bafb-ac6c-437d-81f2-4a501a66d5d7}" done="1">
    <x18tc:text xml:space="preserve">It's spelled "CATEGORY" ...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8" dT="2025-01-20T09:13:43.00" personId="{d802fbd6-7715-4806-92b5-5342b649c1dd}" id="{a802ac2f-f405-49d1-b5f9-ebb9b4bd8e42}" done="1">
    <x18tc:text xml:space="preserve">Addtoinventory -&gt; AddToInventory
Shotgunmod -&gt; ShotgunMod
I assume most of these commands don't work because some initial characters should be capitalized, while some not like this one:
Game.AddToInventory("Items.w_muzzle_brake_01_legendary")</x18tc:text>
  </x18tc:threadedComment>
  <x18tc:threadedComment ref="D1" dT="2025-01-21T19:36:10.00" personId="{476eead6-8635-4d0a-b988-cf01c2e220ed}" id="{3f4301e0-570a-436b-a99a-945ffb2dc20f}" done="1">
    <x18tc:text xml:space="preserve">I tried all of them but it doesn't work and gives an error</x18tc:text>
  </x18tc:threadedComment>
  <x18tc:threadedComment ref="D6" dT="2025-01-14T23:49:49.00" personId="{476eead6-8635-4d0a-b988-cf01c2e220ed}" id="{ce10d6ff-2d19-4342-8622-01dc9d14d07e}" done="1">
    <x18tc:text xml:space="preserve">addtoinventory has to be all caps as do some of the mod names otherwise they don't work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96" dT="2025-05-26T14:08:45.00" personId="{6e48f4fc-3d1c-40bb-9661-e0e36ee4801d}" id="{1b3b3916-392f-4c1e-b3e8-2c3f54b03123}" done="1">
    <x18tc:text xml:space="preserve">not "head" but "inner torso" :)</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10" dT="2025-01-14T22:54:32.00" personId="{4f563aee-f356-4cc4-9693-783a422d1654}" id="{b46f2054-ec1c-4f8c-9b04-988309ebf744}" done="1">
    <x18tc:text xml:space="preserve">these are incorrect and do not work</x18tc:text>
  </x18tc:threadedComment>
  <x18tc:threadedComment ref="E210" dT="2025-01-14T22:54:52.00" personId="{4f563aee-f356-4cc4-9693-783a422d1654}" id="{b3d94be2-75da-49b6-9585-303f0bfe49e1}" parentId="{b46f2054-ec1c-4f8c-9b04-988309ebf744}">
    <x18tc:text xml:space="preserve">https://www.reddit.com/r/cyberpunkgame/comments/172mjiv/console_commands_201/</x18tc:text>
    <x18tc:extLst>
      <ext uri="{F7C98A9C-CBB3-438F-8F68-D28B6AF4A901}">
        <xltc2:checksum/>
        <xltc2:hyperlink startIndex="0" length="77" url="https://www.reddit.com/r/cyberpunkgame/comments/172mjiv/console_commands_201/"/>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3" dT="2024-01-12T03:08:52.00" personId="{cfcb0d09-fc12-4b56-a0d5-6e95dd8a38d7}" id="{808d57d8-cd18-444f-80d1-f248996e7147}" done="1">
    <x18tc:text xml:space="preserve">shinobi and headhunter comments are swapped</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0" dT="2024-12-13T23:05:37.00" personId="{476eead6-8635-4d0a-b988-cf01c2e220ed}" id="{f940796d-8039-45f9-b55f-be715eb071f4}" done="1">
    <x18tc:text xml:space="preserve">Game.GetQuestsSystem():SetFactStr('ep1_tree_unlocked',1)</x18tc:text>
  </x18tc:threadedComment>
  <x18tc:threadedComment ref="C3" dT="2025-01-09T16:02:46.00" personId="{5ba030c7-43f2-443a-8f56-9d321fd5a8d5}" id="{e99025e1-3fed-47df-9680-7226dcadc38e}" done="1">
    <x18tc:text xml:space="preserve">Game.GetStatsSystem():AddModifier(Game.GetPlayer():GetEntityID(),RPGManager.CreateStatModifier(gamedataStatType.Health,gameStatModifierType.Additive,99999999))
For 99999999 Health
Replace Health in the command with Stamina for the same effect.</x18tc:text>
  </x18tc:threadedComment>
  <x18tc:threadedComment ref="C55" dT="2024-05-28T03:35:18.00" personId="{06536654-cd69-4a17-a561-be359dd8e113}" id="{510a266e-0804-4426-be4b-2546af7ed5a3}" done="1">
    <x18tc:text xml:space="preserve">how to unequip?</x18tc:text>
  </x18tc:threadedComment>
  <x18tc:threadedComment ref="C55" dT="2024-05-30T08:54:14.00" personId="{6cccab6e-e9ff-4fa5-b76a-e6bd83077816}" id="{e740b6e1-f366-469b-a367-ee5a93957c5b}" parentId="{510a266e-0804-4426-be4b-2546af7ed5a3}">
    <x18tc:text xml:space="preserve">I found a better command string to toggle johnny's arm on/off. resolving this comment.</x18tc:text>
  </x18tc:threadedComment>
  <x18tc:threadedComment ref="C55" dT="2024-05-30T08:54:21.00" personId="{6cccab6e-e9ff-4fa5-b76a-e6bd83077816}" id="{5e8cff2e-c740-401b-b987-047990158d0b}" parentId="{510a266e-0804-4426-be4b-2546af7ed5a3}">
    <x18tc:text xml:space="preserve">Marked as resolved</x18tc:text>
  </x18tc:threadedComment>
  <x18tc:threadedComment ref="C55" dT="2024-06-01T14:50:51.00" personId="{06536654-cd69-4a17-a561-be359dd8e113}" id="{c1c630a1-e974-4679-9d22-aad7a071f80e}" parentId="{510a266e-0804-4426-be4b-2546af7ed5a3}">
    <x18tc:text xml:space="preserve">Thanks!
Re-opened</x18tc:text>
  </x18tc:threadedComment>
  <x18tc:threadedComment ref="C36" dT="2024-10-24T18:05:08.00" personId="{5c10f1ba-6cbf-4848-84f2-cd4b0ff6d8cf}" id="{4f3bec97-3e7e-42fa-a507-42bcd0a2f23f}" done="1">
    <x18tc:text xml:space="preserve">sol: syntax error: [string ""Game.GetStatsSystem():AddModifier(Game.GetPl..."]:1: unexpected symbol near '"Game.GetStatsSystem():AddModifier(Game.GetPlayer():GetEntityID(),RPGManager.CreateStatModifier(gamedataStatType.CarryCapacity,gameStatModifierType.Additive,99999999))"'</x18tc:text>
  </x18tc:threadedComment>
  <x18tc:threadedComment ref="C36" dT="2024-10-28T20:49:56.00" personId="{6cccab6e-e9ff-4fa5-b76a-e6bd83077816}" id="{ba81e619-468c-4677-b732-ac53fac4426a}" parentId="{4f3bec97-3e7e-42fa-a507-42bcd0a2f23f}">
    <x18tc:text xml:space="preserve">updated code, should work.</x18tc:text>
  </x18tc:threadedComment>
  <x18tc:threadedComment ref="C2" dT="2023-12-13T06:18:26.00" personId="{476eead6-8635-4d0a-b988-cf01c2e220ed}" id="{03f5ecea-8243-40ab-9be9-2d9dc357256e}" done="1">
    <x18tc:text xml:space="preserve">Need the set time of day command again, has multiple arguments</x18tc:text>
  </x18tc:threadedComment>
  <x18tc:threadedComment ref="B142" dT="2025-12-27T19:08:54.00" personId="{fdcebe1b-e519-4936-a062-73db6a187bde}" id="{072d64a9-dac5-4d4d-a36f-86891c50063f}" done="1">
    <x18tc:text xml:space="preserve">Sometimes this destroys not repairs, why?</x18tc:text>
  </x18tc:threadedComment>
  <x18tc:threadedComment ref="B64" dT="2025-04-11T12:39:52.00" personId="{b6971db9-5ebc-4945-8814-d1881c43cfb2}" id="{ab7354b0-3e0a-46bf-b724-46f0a2509c05}" done="1">
    <x18tc:text xml:space="preserve">Complete Quest</x18tc:text>
  </x18tc:threadedComment>
  <x18tc:threadedComment ref="B23" dT="2025-08-07T06:32:52.00" personId="{0233a40c-52db-448f-ab16-c3001432477d}" id="{4f4e19af-d8d5-4784-a8c5-310d584b562a}" done="1">
    <x18tc:text xml:space="preserve">Unless I missed it, there's no command listed for simply resetting your attribute points. I found this console command on reddit and it worked (you just need to make sure you remove all perks first)
PlayerDevelopmentSystem.GetInstance(Game.GetPlayer()):GetDevelopmentData(Game.GetPlayer()):ResetAttributes();</x18tc:text>
  </x18tc:threadedComment>
  <x18tc:threadedComment ref="C64" dT="2025-04-11T12:40:04.00" personId="{b6971db9-5ebc-4945-8814-d1881c43cfb2}" id="{8d452aec-5518-4658-a103-80d42b6585e9}" done="1">
    <x18tc:text xml:space="preserve">journalManager = Game.GetJournalManager() trackedEntry = journalManager:GetTrackedEntry() questEntry = journalManager:GetParentEntry(journalManager:GetParentEntry(trackedEntry)) questEntryHash = journalManager:GetEntryHash(questEntry) journalManager:ChangeEntryStateByHash(questEntryHash, "Succeeded", "Notify")</x18tc:text>
  </x18tc:threadedComment>
  <x18tc:threadedComment ref="C2" dT="2023-12-14T01:24:08.00" personId="{55c79f19-514b-4ee5-9d3e-35aae6f43859}" id="{6062c2be-bd05-4339-a17d-2367fc41c9f7}" done="1">
    <x18tc:text xml:space="preserve">add cybercapicity shard
Game.AddToInventory("Items.CWCapacityPermaReward_Legendary")</x18tc:text>
  </x18tc:threadedComment>
  <x18tc:threadedComment ref="C2" dT="2023-12-14T19:09:00.00" personId="{d6d14659-a15c-4a5d-8a8f-b2c3a9b198fe}" id="{1f139271-fa50-486c-bf97-ca5d50ce36b7}" parentId="{6062c2be-bd05-4339-a17d-2367fc41c9f7}">
    <x18tc:text xml:space="preserve">Marked as resolved</x18tc:text>
  </x18tc:threadedComment>
  <x18tc:threadedComment ref="C2" dT="2023-12-15T02:11:56.00" personId="{6cccab6e-e9ff-4fa5-b76a-e6bd83077816}" id="{fa95e2b1-0834-428a-ae5c-b9952adb17c7}" parentId="{6062c2be-bd05-4339-a17d-2367fc41c9f7}">
    <x18tc:text xml:space="preserve">Renamed Skill book to Progression and added cyberware capacity command to it
Re-opened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8" dT="2025-04-12T08:45:10.00" personId="{b6971db9-5ebc-4945-8814-d1881c43cfb2}" id="{f7c63713-26e6-4b44-bcb0-ef32eb2eabb8}" done="1">
    <x18tc:text xml:space="preserve">Decrease Cyberware Capacity</x18tc:text>
  </x18tc:threadedComment>
  <x18tc:threadedComment ref="D48" dT="2025-04-12T08:45:20.00" personId="{b6971db9-5ebc-4945-8814-d1881c43cfb2}" id="{2d798644-ae80-460a-9f0b-71aac1e1b5ad}" done="1">
    <x18tc:text xml:space="preserve">Game.GetStatsSystem():AddModifier(Game.GetPlayer():GetEntityID(), RPGManager.CreateStatModifier(gamedataStatType.Humanity, gameStatModifierType.Additive, -50))</x18tc:text>
  </x18tc:threadedComment>
  <x18tc:threadedComment ref="C16" dT="2025-09-06T19:52:13.00" personId="{110ac476-a74a-4339-89fd-4c55a4231b55}" id="{9b90fd99-aacb-49db-b826-2293bb51950e}" done="1">
    <x18tc:text xml:space="preserve">1</x18tc:text>
  </x18tc:threadedComment>
  <x18tc:threadedComment ref="B41" dT="2025-08-22T11:14:37.00" personId="{4fd2221e-971b-4c5a-b38f-2942bc49c56f}" id="{26b77865-a6c0-48e4-9dfe-8b68b2eabbf6}" done="1">
    <x18tc:text xml:space="preserve">guys what is special ammo???</x18tc:text>
  </x18tc:threadedComment>
  <x18tc:threadedComment ref="C30" dT="2024-08-20T16:38:51.00" personId="{c7fa7a7f-fe03-429e-aa7b-7a8900bc844d}" id="{f50b0bad-0cb4-41da-a8bf-284ce1fdc8cb}" done="1">
    <x18tc:text xml:space="preserve">450</x18tc:text>
  </x18tc:threadedComment>
  <x18tc:threadedComment ref="D19" dT="2024-12-13T22:54:32.00" personId="{476eead6-8635-4d0a-b988-cf01c2e220ed}" id="{898fd317-14d0-4056-bd39-95019e7e8179}" done="1">
    <x18tc:text xml:space="preserve">Game.GetQuestsSystem():SetFactStr('ep1_tree_unlocked',1)</x18tc:text>
  </x18tc:threadedComment>
  <x18tc:threadedComment ref="C16" dT="2024-07-02T00:21:42.00" personId="{8879ff69-af4f-48fb-845f-a959cba6ddf5}" id="{b2715cb4-f713-4d12-a677-05fc9ccfd436}" done="1">
    <x18tc:text xml:space="preserve">100</x18tc:text>
  </x18tc:threadedComment>
  <x18tc:threadedComment ref="C13" dT="2024-12-26T17:22:06.00" personId="{654b2534-0298-4b19-ab0c-293246ae11c8}" id="{fd41c036-643a-4a57-837f-a62e40d1f9aa}" done="1">
    <x18tc:text xml:space="preserve">80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5.vml"/><Relationship Id="rId7"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xml"/><Relationship Id="rId5"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4.xml"/><Relationship Id="rId5"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5.xml"/><Relationship Id="rId5"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maximegmd/CyberEngineTweaks" TargetMode="External"/><Relationship Id="rId2" Type="http://schemas.openxmlformats.org/officeDocument/2006/relationships/hyperlink" Target="https://wiki.redmodding.org/cyber-engine-tweaks/" TargetMode="External"/><Relationship Id="rId3" Type="http://schemas.openxmlformats.org/officeDocument/2006/relationships/hyperlink" Target="https://cdpr-modding-documentation.github.io/Cyberpunk-Tweaks/" TargetMode="External"/><Relationship Id="rId4" Type="http://schemas.openxmlformats.org/officeDocument/2006/relationships/hyperlink" Target="https://cyberpunk.fandom.com/wiki/Cyberpunk_Wiki" TargetMode="External"/><Relationship Id="rId10" Type="http://schemas.openxmlformats.org/officeDocument/2006/relationships/drawing" Target="../drawings/drawing16.xml"/><Relationship Id="rId9" Type="http://schemas.openxmlformats.org/officeDocument/2006/relationships/hyperlink" Target="https://www.nexusmods.com/cyberpunk2077/mods/818" TargetMode="External"/><Relationship Id="rId5" Type="http://schemas.openxmlformats.org/officeDocument/2006/relationships/hyperlink" Target="https://cp2077.8713.su/" TargetMode="External"/><Relationship Id="rId6" Type="http://schemas.openxmlformats.org/officeDocument/2006/relationships/hyperlink" Target="https://docs.google.com/spreadsheets/d/1aVeMGOg7mhrz-vgs5fFTrr72bh0kudK0jQmtSDYPjBQ/edit" TargetMode="External"/><Relationship Id="rId7" Type="http://schemas.openxmlformats.org/officeDocument/2006/relationships/hyperlink" Target="https://www.purecyberpunk.com/map/" TargetMode="External"/><Relationship Id="rId8" Type="http://schemas.openxmlformats.org/officeDocument/2006/relationships/hyperlink" Target="https://nukesdragons.com/cyberpunk-207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1" max="1" width="3.25"/>
    <col customWidth="1" min="2" max="2" width="142.38"/>
    <col customWidth="1" min="3" max="3" width="3.25"/>
  </cols>
  <sheetData>
    <row r="1" ht="18.75" customHeight="1"/>
    <row r="2" ht="52.5" customHeight="1">
      <c r="A2" s="1"/>
      <c r="B2" s="2" t="s">
        <v>0</v>
      </c>
      <c r="C2" s="1"/>
    </row>
    <row r="6" ht="18.75" customHeight="1">
      <c r="A6" s="3"/>
      <c r="B6" s="3" t="s">
        <v>1</v>
      </c>
      <c r="C6" s="3"/>
    </row>
    <row r="7" ht="18.75" customHeight="1">
      <c r="A7" s="3"/>
      <c r="B7" s="3" t="s">
        <v>2</v>
      </c>
      <c r="C7" s="3"/>
    </row>
    <row r="8" ht="18.75" customHeight="1">
      <c r="A8" s="3"/>
      <c r="B8" s="3" t="s">
        <v>3</v>
      </c>
      <c r="C8" s="3"/>
    </row>
    <row r="9">
      <c r="A9" s="3"/>
      <c r="B9" s="3" t="s">
        <v>4</v>
      </c>
      <c r="C9" s="3"/>
    </row>
    <row r="13">
      <c r="B13" s="4" t="s">
        <v>5</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8.38"/>
    <col customWidth="1" min="3" max="3" width="10.5"/>
    <col customWidth="1" min="4" max="4" width="62.25"/>
    <col customWidth="1" min="5" max="5" width="11.63"/>
    <col customWidth="1" min="6" max="6" width="21.13"/>
  </cols>
  <sheetData>
    <row r="1" ht="30.0" customHeight="1">
      <c r="A1" s="5" t="s">
        <v>6</v>
      </c>
      <c r="B1" s="6" t="s">
        <v>7</v>
      </c>
      <c r="C1" s="5" t="s">
        <v>8</v>
      </c>
      <c r="D1" s="5" t="s">
        <v>9</v>
      </c>
      <c r="E1" s="5" t="s">
        <v>10</v>
      </c>
      <c r="F1" s="5" t="s">
        <v>11</v>
      </c>
    </row>
    <row r="2" ht="22.5" customHeight="1">
      <c r="A2" s="7" t="s">
        <v>12</v>
      </c>
      <c r="B2" s="8" t="s">
        <v>13</v>
      </c>
      <c r="C2" s="7" t="s">
        <v>14</v>
      </c>
      <c r="D2" s="7" t="s">
        <v>15</v>
      </c>
      <c r="E2" s="7" t="s">
        <v>16</v>
      </c>
      <c r="F2" s="7" t="s">
        <v>16</v>
      </c>
    </row>
    <row r="3" ht="22.5" customHeight="1">
      <c r="A3" s="7" t="s">
        <v>12</v>
      </c>
      <c r="B3" s="8" t="s">
        <v>13</v>
      </c>
      <c r="C3" s="7" t="s">
        <v>14</v>
      </c>
      <c r="D3" s="7" t="s">
        <v>17</v>
      </c>
      <c r="E3" s="7" t="s">
        <v>16</v>
      </c>
      <c r="F3" s="7" t="s">
        <v>18</v>
      </c>
    </row>
    <row r="4" ht="22.5" customHeight="1">
      <c r="A4" s="7" t="s">
        <v>12</v>
      </c>
      <c r="B4" s="8" t="s">
        <v>13</v>
      </c>
      <c r="C4" s="7" t="s">
        <v>14</v>
      </c>
      <c r="D4" s="7" t="s">
        <v>19</v>
      </c>
      <c r="E4" s="7" t="s">
        <v>16</v>
      </c>
      <c r="F4" s="7" t="s">
        <v>20</v>
      </c>
    </row>
    <row r="5" ht="22.5" customHeight="1">
      <c r="A5" s="7" t="s">
        <v>12</v>
      </c>
      <c r="B5" s="8" t="s">
        <v>13</v>
      </c>
      <c r="C5" s="7" t="s">
        <v>14</v>
      </c>
      <c r="D5" s="7" t="s">
        <v>21</v>
      </c>
      <c r="E5" s="7" t="s">
        <v>16</v>
      </c>
      <c r="F5" s="7" t="s">
        <v>22</v>
      </c>
    </row>
    <row r="6" ht="22.5" customHeight="1">
      <c r="A6" s="7" t="s">
        <v>12</v>
      </c>
      <c r="B6" s="8" t="s">
        <v>13</v>
      </c>
      <c r="C6" s="7" t="s">
        <v>14</v>
      </c>
      <c r="D6" s="7" t="s">
        <v>23</v>
      </c>
      <c r="E6" s="7" t="s">
        <v>16</v>
      </c>
      <c r="F6" s="7" t="s">
        <v>24</v>
      </c>
    </row>
    <row r="7" ht="22.5" customHeight="1">
      <c r="A7" s="7" t="s">
        <v>12</v>
      </c>
      <c r="B7" s="8" t="s">
        <v>13</v>
      </c>
      <c r="C7" s="7" t="s">
        <v>14</v>
      </c>
      <c r="D7" s="7" t="s">
        <v>25</v>
      </c>
      <c r="E7" s="7" t="s">
        <v>26</v>
      </c>
      <c r="F7" s="7" t="s">
        <v>18</v>
      </c>
    </row>
    <row r="8" ht="22.5" customHeight="1">
      <c r="A8" s="7" t="s">
        <v>12</v>
      </c>
      <c r="B8" s="8" t="s">
        <v>13</v>
      </c>
      <c r="C8" s="7" t="s">
        <v>14</v>
      </c>
      <c r="D8" s="7" t="s">
        <v>27</v>
      </c>
      <c r="E8" s="7" t="s">
        <v>26</v>
      </c>
      <c r="F8" s="7" t="s">
        <v>20</v>
      </c>
    </row>
    <row r="9" ht="22.5" customHeight="1">
      <c r="A9" s="7" t="s">
        <v>12</v>
      </c>
      <c r="B9" s="8" t="s">
        <v>13</v>
      </c>
      <c r="C9" s="7" t="s">
        <v>14</v>
      </c>
      <c r="D9" s="7" t="s">
        <v>28</v>
      </c>
      <c r="E9" s="7" t="s">
        <v>26</v>
      </c>
      <c r="F9" s="7" t="s">
        <v>22</v>
      </c>
    </row>
    <row r="10" ht="22.5" customHeight="1">
      <c r="A10" s="7" t="s">
        <v>12</v>
      </c>
      <c r="B10" s="8" t="s">
        <v>13</v>
      </c>
      <c r="C10" s="7" t="s">
        <v>14</v>
      </c>
      <c r="D10" s="7" t="s">
        <v>29</v>
      </c>
      <c r="E10" s="7" t="s">
        <v>26</v>
      </c>
      <c r="F10" s="7" t="s">
        <v>24</v>
      </c>
    </row>
    <row r="11" ht="22.5" customHeight="1">
      <c r="A11" s="7" t="s">
        <v>12</v>
      </c>
      <c r="B11" s="8" t="s">
        <v>13</v>
      </c>
      <c r="C11" s="7" t="s">
        <v>30</v>
      </c>
      <c r="D11" s="7" t="s">
        <v>31</v>
      </c>
      <c r="E11" s="7" t="s">
        <v>16</v>
      </c>
      <c r="F11" s="7" t="s">
        <v>16</v>
      </c>
    </row>
    <row r="12" ht="22.5" customHeight="1">
      <c r="A12" s="7" t="s">
        <v>12</v>
      </c>
      <c r="B12" s="8" t="s">
        <v>13</v>
      </c>
      <c r="C12" s="7" t="s">
        <v>30</v>
      </c>
      <c r="D12" s="7" t="s">
        <v>32</v>
      </c>
      <c r="E12" s="7" t="s">
        <v>26</v>
      </c>
      <c r="F12" s="7" t="s">
        <v>18</v>
      </c>
    </row>
    <row r="13" ht="22.5" customHeight="1">
      <c r="A13" s="7" t="s">
        <v>12</v>
      </c>
      <c r="B13" s="8" t="s">
        <v>13</v>
      </c>
      <c r="C13" s="7" t="s">
        <v>30</v>
      </c>
      <c r="D13" s="7" t="s">
        <v>33</v>
      </c>
      <c r="E13" s="7" t="s">
        <v>26</v>
      </c>
      <c r="F13" s="7" t="s">
        <v>20</v>
      </c>
    </row>
    <row r="14" ht="22.5" customHeight="1">
      <c r="A14" s="7" t="s">
        <v>12</v>
      </c>
      <c r="B14" s="8" t="s">
        <v>13</v>
      </c>
      <c r="C14" s="7" t="s">
        <v>30</v>
      </c>
      <c r="D14" s="7" t="s">
        <v>34</v>
      </c>
      <c r="E14" s="7" t="s">
        <v>26</v>
      </c>
      <c r="F14" s="7" t="s">
        <v>22</v>
      </c>
    </row>
    <row r="15" ht="22.5" customHeight="1">
      <c r="A15" s="7" t="s">
        <v>12</v>
      </c>
      <c r="B15" s="8" t="s">
        <v>13</v>
      </c>
      <c r="C15" s="7" t="s">
        <v>30</v>
      </c>
      <c r="D15" s="7" t="s">
        <v>35</v>
      </c>
      <c r="E15" s="7" t="s">
        <v>26</v>
      </c>
      <c r="F15" s="7" t="s">
        <v>24</v>
      </c>
    </row>
    <row r="16" ht="22.5" customHeight="1">
      <c r="A16" s="7" t="s">
        <v>12</v>
      </c>
      <c r="B16" s="8" t="s">
        <v>13</v>
      </c>
      <c r="C16" s="7" t="s">
        <v>36</v>
      </c>
      <c r="D16" s="7" t="s">
        <v>37</v>
      </c>
      <c r="E16" s="7" t="s">
        <v>16</v>
      </c>
      <c r="F16" s="7" t="s">
        <v>16</v>
      </c>
    </row>
    <row r="17" ht="22.5" customHeight="1">
      <c r="A17" s="7" t="s">
        <v>12</v>
      </c>
      <c r="B17" s="8" t="s">
        <v>13</v>
      </c>
      <c r="C17" s="7" t="s">
        <v>38</v>
      </c>
      <c r="D17" s="7" t="s">
        <v>39</v>
      </c>
      <c r="E17" s="7" t="s">
        <v>16</v>
      </c>
      <c r="F17" s="7" t="s">
        <v>16</v>
      </c>
    </row>
    <row r="18" ht="22.5" customHeight="1">
      <c r="A18" s="7" t="s">
        <v>12</v>
      </c>
      <c r="B18" s="8" t="s">
        <v>13</v>
      </c>
      <c r="C18" s="7" t="s">
        <v>40</v>
      </c>
      <c r="D18" s="7" t="s">
        <v>41</v>
      </c>
      <c r="E18" s="7" t="s">
        <v>16</v>
      </c>
      <c r="F18" s="7" t="s">
        <v>16</v>
      </c>
    </row>
    <row r="19" ht="22.5" customHeight="1">
      <c r="A19" s="7" t="s">
        <v>12</v>
      </c>
      <c r="B19" s="8" t="s">
        <v>13</v>
      </c>
      <c r="C19" s="7" t="s">
        <v>40</v>
      </c>
      <c r="D19" s="7" t="s">
        <v>42</v>
      </c>
      <c r="E19" s="7" t="s">
        <v>26</v>
      </c>
      <c r="F19" s="7" t="s">
        <v>16</v>
      </c>
    </row>
    <row r="20" ht="22.5" customHeight="1">
      <c r="A20" s="7" t="s">
        <v>12</v>
      </c>
      <c r="B20" s="8" t="s">
        <v>13</v>
      </c>
      <c r="C20" s="7" t="s">
        <v>43</v>
      </c>
      <c r="D20" s="7" t="s">
        <v>44</v>
      </c>
      <c r="E20" s="7" t="s">
        <v>16</v>
      </c>
      <c r="F20" s="7" t="s">
        <v>16</v>
      </c>
    </row>
    <row r="21" ht="22.5" customHeight="1">
      <c r="A21" s="7" t="s">
        <v>45</v>
      </c>
      <c r="B21" s="8" t="s">
        <v>46</v>
      </c>
      <c r="C21" s="7" t="s">
        <v>30</v>
      </c>
      <c r="D21" s="7" t="s">
        <v>47</v>
      </c>
      <c r="E21" s="7" t="s">
        <v>26</v>
      </c>
      <c r="F21" s="7" t="s">
        <v>48</v>
      </c>
    </row>
    <row r="22" ht="22.5" customHeight="1">
      <c r="A22" s="7" t="s">
        <v>45</v>
      </c>
      <c r="B22" s="8" t="s">
        <v>46</v>
      </c>
      <c r="C22" s="7" t="s">
        <v>43</v>
      </c>
      <c r="D22" s="7" t="s">
        <v>49</v>
      </c>
      <c r="E22" s="7" t="s">
        <v>26</v>
      </c>
      <c r="F22" s="7" t="s">
        <v>48</v>
      </c>
    </row>
    <row r="23" ht="22.5" customHeight="1">
      <c r="A23" s="7" t="s">
        <v>50</v>
      </c>
      <c r="B23" s="8" t="s">
        <v>51</v>
      </c>
      <c r="C23" s="7" t="s">
        <v>30</v>
      </c>
      <c r="D23" s="7" t="s">
        <v>52</v>
      </c>
      <c r="E23" s="7" t="s">
        <v>26</v>
      </c>
      <c r="F23" s="7" t="s">
        <v>48</v>
      </c>
    </row>
    <row r="24" ht="22.5" customHeight="1">
      <c r="A24" s="7" t="s">
        <v>53</v>
      </c>
      <c r="B24" s="8" t="s">
        <v>54</v>
      </c>
      <c r="C24" s="7" t="s">
        <v>14</v>
      </c>
      <c r="D24" s="7" t="s">
        <v>55</v>
      </c>
      <c r="E24" s="7" t="s">
        <v>26</v>
      </c>
      <c r="F24" s="7" t="s">
        <v>48</v>
      </c>
    </row>
    <row r="25" ht="22.5" customHeight="1">
      <c r="A25" s="7" t="s">
        <v>53</v>
      </c>
      <c r="B25" s="8" t="s">
        <v>54</v>
      </c>
      <c r="C25" s="7" t="s">
        <v>43</v>
      </c>
      <c r="D25" s="7" t="s">
        <v>56</v>
      </c>
      <c r="E25" s="7" t="s">
        <v>26</v>
      </c>
      <c r="F25" s="7" t="s">
        <v>48</v>
      </c>
    </row>
    <row r="26" ht="22.5" customHeight="1">
      <c r="A26" s="7" t="s">
        <v>57</v>
      </c>
      <c r="B26" s="8" t="s">
        <v>58</v>
      </c>
      <c r="C26" s="7" t="s">
        <v>30</v>
      </c>
      <c r="D26" s="7" t="s">
        <v>59</v>
      </c>
      <c r="E26" s="7" t="s">
        <v>16</v>
      </c>
      <c r="F26" s="7" t="s">
        <v>48</v>
      </c>
    </row>
    <row r="27" ht="22.5" customHeight="1">
      <c r="A27" s="7" t="s">
        <v>57</v>
      </c>
      <c r="B27" s="8" t="s">
        <v>58</v>
      </c>
      <c r="C27" s="7" t="s">
        <v>30</v>
      </c>
      <c r="D27" s="7" t="s">
        <v>60</v>
      </c>
      <c r="E27" s="7" t="s">
        <v>16</v>
      </c>
      <c r="F27" s="7" t="s">
        <v>48</v>
      </c>
    </row>
    <row r="28" ht="22.5" customHeight="1">
      <c r="A28" s="7" t="s">
        <v>57</v>
      </c>
      <c r="B28" s="8" t="s">
        <v>58</v>
      </c>
      <c r="C28" s="7" t="s">
        <v>30</v>
      </c>
      <c r="D28" s="7" t="s">
        <v>61</v>
      </c>
      <c r="E28" s="7" t="s">
        <v>16</v>
      </c>
      <c r="F28" s="7" t="s">
        <v>48</v>
      </c>
    </row>
    <row r="29" ht="22.5" customHeight="1">
      <c r="A29" s="7" t="s">
        <v>50</v>
      </c>
      <c r="B29" s="8" t="s">
        <v>62</v>
      </c>
      <c r="C29" s="7" t="s">
        <v>14</v>
      </c>
      <c r="D29" s="7" t="s">
        <v>63</v>
      </c>
      <c r="E29" s="7" t="s">
        <v>26</v>
      </c>
      <c r="F29" s="7" t="s">
        <v>48</v>
      </c>
    </row>
    <row r="30" ht="22.5" customHeight="1">
      <c r="A30" s="7" t="s">
        <v>53</v>
      </c>
      <c r="B30" s="8" t="s">
        <v>64</v>
      </c>
      <c r="C30" s="7" t="s">
        <v>14</v>
      </c>
      <c r="D30" s="7" t="s">
        <v>65</v>
      </c>
      <c r="E30" s="7" t="s">
        <v>16</v>
      </c>
      <c r="F30" s="7" t="s">
        <v>48</v>
      </c>
    </row>
    <row r="31" ht="22.5" customHeight="1">
      <c r="A31" s="7" t="s">
        <v>53</v>
      </c>
      <c r="B31" s="8" t="s">
        <v>64</v>
      </c>
      <c r="C31" s="7" t="s">
        <v>14</v>
      </c>
      <c r="D31" s="7" t="s">
        <v>66</v>
      </c>
      <c r="E31" s="7" t="s">
        <v>16</v>
      </c>
      <c r="F31" s="7" t="s">
        <v>48</v>
      </c>
    </row>
    <row r="32" ht="22.5" customHeight="1">
      <c r="A32" s="7" t="s">
        <v>67</v>
      </c>
      <c r="B32" s="8" t="s">
        <v>68</v>
      </c>
      <c r="C32" s="7" t="s">
        <v>30</v>
      </c>
      <c r="D32" s="7" t="s">
        <v>69</v>
      </c>
      <c r="E32" s="7" t="s">
        <v>16</v>
      </c>
      <c r="F32" s="7" t="s">
        <v>70</v>
      </c>
    </row>
    <row r="33" ht="22.5" customHeight="1">
      <c r="A33" s="7" t="s">
        <v>67</v>
      </c>
      <c r="B33" s="8" t="s">
        <v>68</v>
      </c>
      <c r="C33" s="7" t="s">
        <v>30</v>
      </c>
      <c r="D33" s="7" t="s">
        <v>71</v>
      </c>
      <c r="E33" s="7" t="s">
        <v>26</v>
      </c>
      <c r="F33" s="7" t="s">
        <v>70</v>
      </c>
    </row>
    <row r="34" ht="22.5" customHeight="1">
      <c r="A34" s="7" t="s">
        <v>57</v>
      </c>
      <c r="B34" s="8" t="s">
        <v>72</v>
      </c>
      <c r="C34" s="7" t="s">
        <v>30</v>
      </c>
      <c r="D34" s="7" t="s">
        <v>73</v>
      </c>
      <c r="E34" s="7" t="s">
        <v>16</v>
      </c>
      <c r="F34" s="7" t="s">
        <v>48</v>
      </c>
    </row>
    <row r="35" ht="22.5" customHeight="1">
      <c r="A35" s="7" t="s">
        <v>57</v>
      </c>
      <c r="B35" s="8" t="s">
        <v>72</v>
      </c>
      <c r="C35" s="7" t="s">
        <v>30</v>
      </c>
      <c r="D35" s="7" t="s">
        <v>74</v>
      </c>
      <c r="E35" s="7" t="s">
        <v>16</v>
      </c>
      <c r="F35" s="7" t="s">
        <v>48</v>
      </c>
    </row>
    <row r="36" ht="22.5" customHeight="1">
      <c r="A36" s="7" t="s">
        <v>57</v>
      </c>
      <c r="B36" s="8" t="s">
        <v>72</v>
      </c>
      <c r="C36" s="7" t="s">
        <v>30</v>
      </c>
      <c r="D36" s="7" t="s">
        <v>75</v>
      </c>
      <c r="E36" s="7" t="s">
        <v>76</v>
      </c>
      <c r="F36" s="7" t="s">
        <v>77</v>
      </c>
    </row>
    <row r="37" ht="22.5" customHeight="1">
      <c r="A37" s="7" t="s">
        <v>78</v>
      </c>
      <c r="B37" s="8" t="s">
        <v>79</v>
      </c>
      <c r="C37" s="7" t="s">
        <v>14</v>
      </c>
      <c r="D37" s="7" t="s">
        <v>80</v>
      </c>
      <c r="E37" s="7" t="s">
        <v>16</v>
      </c>
      <c r="F37" s="7" t="s">
        <v>18</v>
      </c>
    </row>
    <row r="38" ht="22.5" customHeight="1">
      <c r="A38" s="7" t="s">
        <v>78</v>
      </c>
      <c r="B38" s="8" t="s">
        <v>79</v>
      </c>
      <c r="C38" s="7" t="s">
        <v>14</v>
      </c>
      <c r="D38" s="7" t="s">
        <v>81</v>
      </c>
      <c r="E38" s="7" t="s">
        <v>16</v>
      </c>
      <c r="F38" s="7" t="s">
        <v>20</v>
      </c>
    </row>
    <row r="39" ht="22.5" customHeight="1">
      <c r="A39" s="7" t="s">
        <v>78</v>
      </c>
      <c r="B39" s="8" t="s">
        <v>79</v>
      </c>
      <c r="C39" s="7" t="s">
        <v>14</v>
      </c>
      <c r="D39" s="7" t="s">
        <v>82</v>
      </c>
      <c r="E39" s="7" t="s">
        <v>16</v>
      </c>
      <c r="F39" s="7" t="s">
        <v>22</v>
      </c>
    </row>
    <row r="40" ht="22.5" customHeight="1">
      <c r="A40" s="7" t="s">
        <v>78</v>
      </c>
      <c r="B40" s="8" t="s">
        <v>79</v>
      </c>
      <c r="C40" s="7" t="s">
        <v>14</v>
      </c>
      <c r="D40" s="7" t="s">
        <v>83</v>
      </c>
      <c r="E40" s="7" t="s">
        <v>16</v>
      </c>
      <c r="F40" s="7" t="s">
        <v>24</v>
      </c>
    </row>
    <row r="41" ht="22.5" customHeight="1">
      <c r="A41" s="7" t="s">
        <v>78</v>
      </c>
      <c r="B41" s="8" t="s">
        <v>79</v>
      </c>
      <c r="C41" s="7" t="s">
        <v>14</v>
      </c>
      <c r="D41" s="7" t="s">
        <v>84</v>
      </c>
      <c r="E41" s="7" t="s">
        <v>26</v>
      </c>
      <c r="F41" s="7" t="s">
        <v>16</v>
      </c>
    </row>
    <row r="42" ht="22.5" customHeight="1">
      <c r="A42" s="7" t="s">
        <v>78</v>
      </c>
      <c r="B42" s="8" t="s">
        <v>79</v>
      </c>
      <c r="C42" s="7" t="s">
        <v>14</v>
      </c>
      <c r="D42" s="7" t="s">
        <v>85</v>
      </c>
      <c r="E42" s="7" t="s">
        <v>26</v>
      </c>
      <c r="F42" s="7" t="s">
        <v>16</v>
      </c>
    </row>
    <row r="43" ht="22.5" customHeight="1">
      <c r="A43" s="7" t="s">
        <v>78</v>
      </c>
      <c r="B43" s="8" t="s">
        <v>79</v>
      </c>
      <c r="C43" s="7" t="s">
        <v>14</v>
      </c>
      <c r="D43" s="7" t="s">
        <v>86</v>
      </c>
      <c r="E43" s="7" t="s">
        <v>26</v>
      </c>
      <c r="F43" s="7" t="s">
        <v>16</v>
      </c>
    </row>
    <row r="44" ht="22.5" customHeight="1">
      <c r="A44" s="7" t="s">
        <v>78</v>
      </c>
      <c r="B44" s="8" t="s">
        <v>79</v>
      </c>
      <c r="C44" s="7" t="s">
        <v>30</v>
      </c>
      <c r="D44" s="7" t="s">
        <v>87</v>
      </c>
      <c r="E44" s="7" t="s">
        <v>16</v>
      </c>
      <c r="F44" s="7" t="s">
        <v>16</v>
      </c>
    </row>
    <row r="45" ht="22.5" customHeight="1">
      <c r="A45" s="7" t="s">
        <v>78</v>
      </c>
      <c r="B45" s="8" t="s">
        <v>79</v>
      </c>
      <c r="C45" s="7" t="s">
        <v>36</v>
      </c>
      <c r="D45" s="7" t="s">
        <v>88</v>
      </c>
      <c r="E45" s="7" t="s">
        <v>16</v>
      </c>
      <c r="F45" s="7" t="s">
        <v>16</v>
      </c>
    </row>
    <row r="46" ht="22.5" customHeight="1">
      <c r="A46" s="7" t="s">
        <v>78</v>
      </c>
      <c r="B46" s="8" t="s">
        <v>79</v>
      </c>
      <c r="C46" s="7" t="s">
        <v>38</v>
      </c>
      <c r="D46" s="7" t="s">
        <v>89</v>
      </c>
      <c r="E46" s="7" t="s">
        <v>16</v>
      </c>
      <c r="F46" s="7" t="s">
        <v>16</v>
      </c>
    </row>
    <row r="47" ht="22.5" customHeight="1">
      <c r="A47" s="7" t="s">
        <v>78</v>
      </c>
      <c r="B47" s="8" t="s">
        <v>79</v>
      </c>
      <c r="C47" s="7" t="s">
        <v>40</v>
      </c>
      <c r="D47" s="7" t="s">
        <v>90</v>
      </c>
      <c r="E47" s="7" t="s">
        <v>16</v>
      </c>
      <c r="F47" s="7" t="s">
        <v>16</v>
      </c>
    </row>
    <row r="48" ht="22.5" customHeight="1">
      <c r="A48" s="7" t="s">
        <v>78</v>
      </c>
      <c r="B48" s="8" t="s">
        <v>79</v>
      </c>
      <c r="C48" s="7" t="s">
        <v>43</v>
      </c>
      <c r="D48" s="7" t="s">
        <v>91</v>
      </c>
      <c r="E48" s="7" t="s">
        <v>16</v>
      </c>
      <c r="F48" s="7" t="s">
        <v>16</v>
      </c>
    </row>
    <row r="49" ht="22.5" customHeight="1">
      <c r="A49" s="7" t="s">
        <v>78</v>
      </c>
      <c r="B49" s="8" t="s">
        <v>79</v>
      </c>
      <c r="C49" s="7" t="s">
        <v>43</v>
      </c>
      <c r="D49" s="7" t="s">
        <v>92</v>
      </c>
      <c r="E49" s="7" t="s">
        <v>26</v>
      </c>
      <c r="F49" s="7" t="s">
        <v>16</v>
      </c>
    </row>
    <row r="50" ht="22.5" customHeight="1">
      <c r="A50" s="7" t="s">
        <v>93</v>
      </c>
      <c r="B50" s="8" t="s">
        <v>94</v>
      </c>
      <c r="C50" s="7" t="s">
        <v>30</v>
      </c>
      <c r="D50" s="7" t="s">
        <v>95</v>
      </c>
      <c r="E50" s="7" t="s">
        <v>76</v>
      </c>
      <c r="F50" s="7" t="s">
        <v>96</v>
      </c>
    </row>
    <row r="51" ht="22.5" customHeight="1">
      <c r="A51" s="7" t="s">
        <v>93</v>
      </c>
      <c r="B51" s="8" t="s">
        <v>94</v>
      </c>
      <c r="C51" s="7" t="s">
        <v>30</v>
      </c>
      <c r="D51" s="7" t="s">
        <v>97</v>
      </c>
      <c r="E51" s="7" t="s">
        <v>26</v>
      </c>
      <c r="F51" s="7" t="s">
        <v>48</v>
      </c>
    </row>
    <row r="52" ht="22.5" customHeight="1">
      <c r="A52" s="7" t="s">
        <v>93</v>
      </c>
      <c r="B52" s="8" t="s">
        <v>94</v>
      </c>
      <c r="C52" s="7" t="s">
        <v>36</v>
      </c>
      <c r="D52" s="7" t="s">
        <v>98</v>
      </c>
      <c r="E52" s="7" t="s">
        <v>26</v>
      </c>
      <c r="F52" s="7" t="s">
        <v>48</v>
      </c>
    </row>
    <row r="53" ht="22.5" customHeight="1">
      <c r="A53" s="7" t="s">
        <v>93</v>
      </c>
      <c r="B53" s="8" t="s">
        <v>94</v>
      </c>
      <c r="C53" s="7" t="s">
        <v>38</v>
      </c>
      <c r="D53" s="7" t="s">
        <v>99</v>
      </c>
      <c r="E53" s="7" t="s">
        <v>26</v>
      </c>
      <c r="F53" s="7" t="s">
        <v>48</v>
      </c>
    </row>
    <row r="54" ht="22.5" customHeight="1">
      <c r="A54" s="7" t="s">
        <v>93</v>
      </c>
      <c r="B54" s="8" t="s">
        <v>94</v>
      </c>
      <c r="C54" s="7" t="s">
        <v>40</v>
      </c>
      <c r="D54" s="7" t="s">
        <v>100</v>
      </c>
      <c r="E54" s="7" t="s">
        <v>26</v>
      </c>
      <c r="F54" s="7" t="s">
        <v>48</v>
      </c>
    </row>
    <row r="55" ht="22.5" customHeight="1">
      <c r="A55" s="7" t="s">
        <v>93</v>
      </c>
      <c r="B55" s="8" t="s">
        <v>94</v>
      </c>
      <c r="C55" s="7" t="s">
        <v>43</v>
      </c>
      <c r="D55" s="7" t="s">
        <v>101</v>
      </c>
      <c r="E55" s="7" t="s">
        <v>26</v>
      </c>
      <c r="F55" s="7" t="s">
        <v>48</v>
      </c>
    </row>
    <row r="56" ht="22.5" customHeight="1">
      <c r="A56" s="7" t="s">
        <v>93</v>
      </c>
      <c r="B56" s="8" t="s">
        <v>94</v>
      </c>
      <c r="C56" s="7" t="s">
        <v>43</v>
      </c>
      <c r="D56" s="7" t="s">
        <v>102</v>
      </c>
      <c r="E56" s="7" t="s">
        <v>26</v>
      </c>
      <c r="F56" s="7" t="s">
        <v>48</v>
      </c>
    </row>
    <row r="57" ht="22.5" customHeight="1">
      <c r="A57" s="7" t="s">
        <v>93</v>
      </c>
      <c r="B57" s="8" t="s">
        <v>94</v>
      </c>
      <c r="C57" s="7" t="s">
        <v>103</v>
      </c>
      <c r="D57" s="7" t="s">
        <v>104</v>
      </c>
      <c r="E57" s="7" t="s">
        <v>105</v>
      </c>
      <c r="F57" s="7" t="s">
        <v>48</v>
      </c>
    </row>
    <row r="58" ht="22.5" customHeight="1">
      <c r="A58" s="7" t="s">
        <v>106</v>
      </c>
      <c r="B58" s="8" t="s">
        <v>107</v>
      </c>
      <c r="C58" s="7" t="s">
        <v>14</v>
      </c>
      <c r="D58" s="7" t="s">
        <v>108</v>
      </c>
      <c r="E58" s="7" t="s">
        <v>26</v>
      </c>
      <c r="F58" s="7" t="s">
        <v>48</v>
      </c>
    </row>
    <row r="59" ht="22.5" customHeight="1">
      <c r="A59" s="7" t="s">
        <v>106</v>
      </c>
      <c r="B59" s="8" t="s">
        <v>107</v>
      </c>
      <c r="C59" s="7" t="s">
        <v>103</v>
      </c>
      <c r="D59" s="7" t="s">
        <v>109</v>
      </c>
      <c r="E59" s="7" t="s">
        <v>105</v>
      </c>
      <c r="F59" s="7" t="s">
        <v>48</v>
      </c>
    </row>
    <row r="60" ht="22.5" customHeight="1">
      <c r="A60" s="7" t="s">
        <v>57</v>
      </c>
      <c r="B60" s="8" t="s">
        <v>110</v>
      </c>
      <c r="C60" s="7" t="s">
        <v>30</v>
      </c>
      <c r="D60" s="7" t="s">
        <v>111</v>
      </c>
      <c r="E60" s="7" t="s">
        <v>26</v>
      </c>
      <c r="F60" s="7" t="s">
        <v>48</v>
      </c>
    </row>
    <row r="61" ht="22.5" customHeight="1">
      <c r="A61" s="7" t="s">
        <v>57</v>
      </c>
      <c r="B61" s="8" t="s">
        <v>110</v>
      </c>
      <c r="C61" s="7" t="s">
        <v>43</v>
      </c>
      <c r="D61" s="7" t="s">
        <v>112</v>
      </c>
      <c r="E61" s="7" t="s">
        <v>26</v>
      </c>
      <c r="F61" s="7" t="s">
        <v>48</v>
      </c>
    </row>
    <row r="62" ht="22.5" customHeight="1">
      <c r="A62" s="7" t="s">
        <v>106</v>
      </c>
      <c r="B62" s="8" t="s">
        <v>113</v>
      </c>
      <c r="C62" s="7" t="s">
        <v>14</v>
      </c>
      <c r="D62" s="7" t="s">
        <v>114</v>
      </c>
      <c r="E62" s="7" t="s">
        <v>16</v>
      </c>
      <c r="F62" s="7" t="s">
        <v>18</v>
      </c>
    </row>
    <row r="63" ht="22.5" customHeight="1">
      <c r="A63" s="7" t="s">
        <v>106</v>
      </c>
      <c r="B63" s="8" t="s">
        <v>113</v>
      </c>
      <c r="C63" s="7" t="s">
        <v>14</v>
      </c>
      <c r="D63" s="7" t="s">
        <v>115</v>
      </c>
      <c r="E63" s="7" t="s">
        <v>26</v>
      </c>
      <c r="F63" s="7" t="s">
        <v>16</v>
      </c>
    </row>
    <row r="64" ht="22.5" customHeight="1">
      <c r="A64" s="7" t="s">
        <v>106</v>
      </c>
      <c r="B64" s="8" t="s">
        <v>113</v>
      </c>
      <c r="C64" s="7" t="s">
        <v>14</v>
      </c>
      <c r="D64" s="7" t="s">
        <v>116</v>
      </c>
      <c r="E64" s="7" t="s">
        <v>26</v>
      </c>
      <c r="F64" s="7" t="s">
        <v>22</v>
      </c>
    </row>
    <row r="65" ht="22.5" customHeight="1">
      <c r="A65" s="7" t="s">
        <v>106</v>
      </c>
      <c r="B65" s="8" t="s">
        <v>113</v>
      </c>
      <c r="C65" s="7" t="s">
        <v>14</v>
      </c>
      <c r="D65" s="7" t="s">
        <v>117</v>
      </c>
      <c r="E65" s="7" t="s">
        <v>26</v>
      </c>
      <c r="F65" s="7" t="s">
        <v>24</v>
      </c>
    </row>
    <row r="66" ht="22.5" customHeight="1">
      <c r="A66" s="7" t="s">
        <v>106</v>
      </c>
      <c r="B66" s="8" t="s">
        <v>113</v>
      </c>
      <c r="C66" s="7" t="s">
        <v>14</v>
      </c>
      <c r="D66" s="7" t="s">
        <v>118</v>
      </c>
      <c r="E66" s="7" t="s">
        <v>26</v>
      </c>
      <c r="F66" s="7" t="s">
        <v>70</v>
      </c>
    </row>
    <row r="67" ht="22.5" customHeight="1">
      <c r="A67" s="7" t="s">
        <v>106</v>
      </c>
      <c r="B67" s="8" t="s">
        <v>113</v>
      </c>
      <c r="C67" s="7" t="s">
        <v>14</v>
      </c>
      <c r="D67" s="7" t="s">
        <v>119</v>
      </c>
      <c r="E67" s="7" t="s">
        <v>26</v>
      </c>
      <c r="F67" s="7" t="s">
        <v>70</v>
      </c>
    </row>
    <row r="68" ht="22.5" customHeight="1">
      <c r="A68" s="7" t="s">
        <v>106</v>
      </c>
      <c r="B68" s="8" t="s">
        <v>113</v>
      </c>
      <c r="C68" s="7" t="s">
        <v>14</v>
      </c>
      <c r="D68" s="7" t="s">
        <v>120</v>
      </c>
      <c r="E68" s="7" t="s">
        <v>26</v>
      </c>
      <c r="F68" s="7" t="s">
        <v>70</v>
      </c>
    </row>
    <row r="69" ht="22.5" customHeight="1">
      <c r="A69" s="7" t="s">
        <v>106</v>
      </c>
      <c r="B69" s="8" t="s">
        <v>113</v>
      </c>
      <c r="C69" s="7" t="s">
        <v>14</v>
      </c>
      <c r="D69" s="7" t="s">
        <v>121</v>
      </c>
      <c r="E69" s="7" t="s">
        <v>26</v>
      </c>
      <c r="F69" s="7" t="s">
        <v>70</v>
      </c>
    </row>
    <row r="70" ht="22.5" customHeight="1">
      <c r="A70" s="7" t="s">
        <v>106</v>
      </c>
      <c r="B70" s="8" t="s">
        <v>113</v>
      </c>
      <c r="C70" s="7" t="s">
        <v>14</v>
      </c>
      <c r="D70" s="7" t="s">
        <v>122</v>
      </c>
      <c r="E70" s="7" t="s">
        <v>26</v>
      </c>
      <c r="F70" s="7" t="s">
        <v>70</v>
      </c>
    </row>
    <row r="71" ht="22.5" customHeight="1">
      <c r="A71" s="7" t="s">
        <v>106</v>
      </c>
      <c r="B71" s="8" t="s">
        <v>113</v>
      </c>
      <c r="C71" s="7" t="s">
        <v>30</v>
      </c>
      <c r="D71" s="7" t="s">
        <v>123</v>
      </c>
      <c r="E71" s="7" t="s">
        <v>16</v>
      </c>
      <c r="F71" s="7" t="s">
        <v>16</v>
      </c>
    </row>
    <row r="72" ht="22.5" customHeight="1">
      <c r="A72" s="7" t="s">
        <v>106</v>
      </c>
      <c r="B72" s="8" t="s">
        <v>113</v>
      </c>
      <c r="C72" s="7" t="s">
        <v>30</v>
      </c>
      <c r="D72" s="7" t="s">
        <v>124</v>
      </c>
      <c r="E72" s="7" t="s">
        <v>26</v>
      </c>
      <c r="F72" s="7" t="s">
        <v>16</v>
      </c>
    </row>
    <row r="73" ht="22.5" customHeight="1">
      <c r="A73" s="7" t="s">
        <v>106</v>
      </c>
      <c r="B73" s="8" t="s">
        <v>113</v>
      </c>
      <c r="C73" s="7" t="s">
        <v>36</v>
      </c>
      <c r="D73" s="7" t="s">
        <v>125</v>
      </c>
      <c r="E73" s="7" t="s">
        <v>26</v>
      </c>
      <c r="F73" s="7" t="s">
        <v>16</v>
      </c>
    </row>
    <row r="74" ht="22.5" customHeight="1">
      <c r="A74" s="7" t="s">
        <v>106</v>
      </c>
      <c r="B74" s="8" t="s">
        <v>113</v>
      </c>
      <c r="C74" s="7" t="s">
        <v>38</v>
      </c>
      <c r="D74" s="7" t="s">
        <v>126</v>
      </c>
      <c r="E74" s="7" t="s">
        <v>26</v>
      </c>
      <c r="F74" s="7" t="s">
        <v>16</v>
      </c>
    </row>
    <row r="75" ht="22.5" customHeight="1">
      <c r="A75" s="7" t="s">
        <v>106</v>
      </c>
      <c r="B75" s="8" t="s">
        <v>113</v>
      </c>
      <c r="C75" s="7" t="s">
        <v>40</v>
      </c>
      <c r="D75" s="7" t="s">
        <v>127</v>
      </c>
      <c r="E75" s="7" t="s">
        <v>16</v>
      </c>
      <c r="F75" s="7" t="s">
        <v>16</v>
      </c>
    </row>
    <row r="76" ht="22.5" customHeight="1">
      <c r="A76" s="7" t="s">
        <v>106</v>
      </c>
      <c r="B76" s="8" t="s">
        <v>113</v>
      </c>
      <c r="C76" s="7" t="s">
        <v>40</v>
      </c>
      <c r="D76" s="7" t="s">
        <v>128</v>
      </c>
      <c r="E76" s="7" t="s">
        <v>105</v>
      </c>
      <c r="F76" s="7" t="s">
        <v>16</v>
      </c>
    </row>
    <row r="77" ht="22.5" customHeight="1">
      <c r="A77" s="7" t="s">
        <v>106</v>
      </c>
      <c r="B77" s="8" t="s">
        <v>113</v>
      </c>
      <c r="C77" s="7" t="s">
        <v>43</v>
      </c>
      <c r="D77" s="7" t="s">
        <v>129</v>
      </c>
      <c r="E77" s="7" t="s">
        <v>26</v>
      </c>
      <c r="F77" s="7" t="s">
        <v>16</v>
      </c>
    </row>
    <row r="78" ht="22.5" customHeight="1">
      <c r="A78" s="7" t="s">
        <v>106</v>
      </c>
      <c r="B78" s="8" t="s">
        <v>130</v>
      </c>
      <c r="C78" s="7" t="s">
        <v>14</v>
      </c>
      <c r="D78" s="7" t="s">
        <v>131</v>
      </c>
      <c r="E78" s="7" t="s">
        <v>26</v>
      </c>
      <c r="F78" s="7" t="s">
        <v>48</v>
      </c>
    </row>
    <row r="79" ht="22.5" customHeight="1">
      <c r="A79" s="7" t="s">
        <v>106</v>
      </c>
      <c r="B79" s="8" t="s">
        <v>130</v>
      </c>
      <c r="C79" s="7" t="s">
        <v>43</v>
      </c>
      <c r="D79" s="7" t="s">
        <v>132</v>
      </c>
      <c r="E79" s="7" t="s">
        <v>26</v>
      </c>
      <c r="F79" s="7" t="s">
        <v>48</v>
      </c>
    </row>
    <row r="80" ht="22.5" customHeight="1">
      <c r="A80" s="7" t="s">
        <v>106</v>
      </c>
      <c r="B80" s="8" t="s">
        <v>130</v>
      </c>
      <c r="C80" s="7" t="s">
        <v>103</v>
      </c>
      <c r="D80" s="7" t="s">
        <v>133</v>
      </c>
      <c r="E80" s="7" t="s">
        <v>105</v>
      </c>
      <c r="F80" s="7" t="s">
        <v>48</v>
      </c>
    </row>
    <row r="81" ht="22.5" customHeight="1">
      <c r="A81" s="7" t="s">
        <v>134</v>
      </c>
      <c r="B81" s="8" t="s">
        <v>135</v>
      </c>
      <c r="C81" s="7" t="s">
        <v>14</v>
      </c>
      <c r="D81" s="7" t="s">
        <v>136</v>
      </c>
      <c r="E81" s="7" t="s">
        <v>105</v>
      </c>
      <c r="F81" s="7" t="s">
        <v>48</v>
      </c>
    </row>
    <row r="82" ht="22.5" customHeight="1">
      <c r="A82" s="7" t="s">
        <v>134</v>
      </c>
      <c r="B82" s="8" t="s">
        <v>135</v>
      </c>
      <c r="C82" s="7" t="s">
        <v>14</v>
      </c>
      <c r="D82" s="7" t="s">
        <v>137</v>
      </c>
      <c r="E82" s="7" t="s">
        <v>105</v>
      </c>
      <c r="F82" s="7" t="s">
        <v>48</v>
      </c>
    </row>
    <row r="83" ht="22.5" customHeight="1">
      <c r="A83" s="7" t="s">
        <v>134</v>
      </c>
      <c r="B83" s="8" t="s">
        <v>135</v>
      </c>
      <c r="C83" s="7" t="s">
        <v>103</v>
      </c>
      <c r="D83" s="7" t="s">
        <v>138</v>
      </c>
      <c r="E83" s="7" t="s">
        <v>105</v>
      </c>
      <c r="F83" s="7" t="s">
        <v>48</v>
      </c>
    </row>
    <row r="84" ht="22.5" customHeight="1">
      <c r="A84" s="7" t="s">
        <v>139</v>
      </c>
      <c r="B84" s="8" t="s">
        <v>140</v>
      </c>
      <c r="C84" s="7" t="s">
        <v>14</v>
      </c>
      <c r="D84" s="7" t="s">
        <v>141</v>
      </c>
      <c r="E84" s="7" t="s">
        <v>16</v>
      </c>
      <c r="F84" s="7" t="s">
        <v>48</v>
      </c>
    </row>
    <row r="85" ht="22.5" customHeight="1">
      <c r="A85" s="7" t="s">
        <v>139</v>
      </c>
      <c r="B85" s="8" t="s">
        <v>140</v>
      </c>
      <c r="C85" s="7" t="s">
        <v>14</v>
      </c>
      <c r="D85" s="7" t="s">
        <v>142</v>
      </c>
      <c r="E85" s="7" t="s">
        <v>16</v>
      </c>
      <c r="F85" s="7" t="s">
        <v>48</v>
      </c>
    </row>
    <row r="86" ht="22.5" customHeight="1">
      <c r="A86" s="7" t="s">
        <v>139</v>
      </c>
      <c r="B86" s="8" t="s">
        <v>140</v>
      </c>
      <c r="C86" s="7" t="s">
        <v>14</v>
      </c>
      <c r="D86" s="7" t="s">
        <v>143</v>
      </c>
      <c r="E86" s="7" t="s">
        <v>26</v>
      </c>
      <c r="F86" s="7" t="s">
        <v>48</v>
      </c>
    </row>
    <row r="87" ht="22.5" customHeight="1">
      <c r="A87" s="7" t="s">
        <v>139</v>
      </c>
      <c r="B87" s="8" t="s">
        <v>140</v>
      </c>
      <c r="C87" s="7" t="s">
        <v>14</v>
      </c>
      <c r="D87" s="7" t="s">
        <v>144</v>
      </c>
      <c r="E87" s="7" t="s">
        <v>26</v>
      </c>
      <c r="F87" s="7" t="s">
        <v>48</v>
      </c>
    </row>
    <row r="88" ht="22.5" customHeight="1">
      <c r="A88" s="7" t="s">
        <v>139</v>
      </c>
      <c r="B88" s="8" t="s">
        <v>140</v>
      </c>
      <c r="C88" s="7" t="s">
        <v>40</v>
      </c>
      <c r="D88" s="7" t="s">
        <v>145</v>
      </c>
      <c r="E88" s="7" t="s">
        <v>26</v>
      </c>
      <c r="F88" s="7" t="s">
        <v>48</v>
      </c>
    </row>
    <row r="89" ht="22.5" customHeight="1">
      <c r="A89" s="7" t="s">
        <v>139</v>
      </c>
      <c r="B89" s="8" t="s">
        <v>140</v>
      </c>
      <c r="C89" s="7" t="s">
        <v>43</v>
      </c>
      <c r="D89" s="7" t="s">
        <v>146</v>
      </c>
      <c r="E89" s="7" t="s">
        <v>26</v>
      </c>
      <c r="F89" s="7" t="s">
        <v>48</v>
      </c>
    </row>
    <row r="90" ht="22.5" customHeight="1">
      <c r="A90" s="7" t="s">
        <v>93</v>
      </c>
      <c r="B90" s="8" t="s">
        <v>147</v>
      </c>
      <c r="C90" s="7" t="s">
        <v>30</v>
      </c>
      <c r="D90" s="7" t="s">
        <v>148</v>
      </c>
      <c r="E90" s="7" t="s">
        <v>76</v>
      </c>
      <c r="F90" s="7" t="s">
        <v>149</v>
      </c>
    </row>
    <row r="91" ht="22.5" customHeight="1">
      <c r="A91" s="7" t="s">
        <v>93</v>
      </c>
      <c r="B91" s="8" t="s">
        <v>147</v>
      </c>
      <c r="C91" s="7" t="s">
        <v>30</v>
      </c>
      <c r="D91" s="7" t="s">
        <v>150</v>
      </c>
      <c r="E91" s="7" t="s">
        <v>151</v>
      </c>
      <c r="F91" s="7" t="s">
        <v>48</v>
      </c>
    </row>
    <row r="92" ht="22.5" customHeight="1">
      <c r="A92" s="7" t="s">
        <v>152</v>
      </c>
      <c r="B92" s="8" t="s">
        <v>153</v>
      </c>
      <c r="C92" s="7" t="s">
        <v>30</v>
      </c>
      <c r="D92" s="7" t="s">
        <v>154</v>
      </c>
      <c r="E92" s="7" t="s">
        <v>155</v>
      </c>
      <c r="F92" s="7" t="s">
        <v>48</v>
      </c>
    </row>
    <row r="93" ht="22.5" customHeight="1">
      <c r="A93" s="7" t="s">
        <v>152</v>
      </c>
      <c r="B93" s="8" t="s">
        <v>153</v>
      </c>
      <c r="C93" s="7" t="s">
        <v>30</v>
      </c>
      <c r="D93" s="7" t="s">
        <v>156</v>
      </c>
      <c r="E93" s="7" t="s">
        <v>155</v>
      </c>
      <c r="F93" s="7" t="s">
        <v>48</v>
      </c>
    </row>
    <row r="94" ht="22.5" customHeight="1">
      <c r="A94" s="7" t="s">
        <v>152</v>
      </c>
      <c r="B94" s="8" t="s">
        <v>153</v>
      </c>
      <c r="C94" s="7" t="s">
        <v>30</v>
      </c>
      <c r="D94" s="7" t="s">
        <v>157</v>
      </c>
      <c r="E94" s="7" t="s">
        <v>76</v>
      </c>
      <c r="F94" s="7" t="s">
        <v>158</v>
      </c>
    </row>
    <row r="95" ht="22.5" customHeight="1">
      <c r="A95" s="7" t="s">
        <v>159</v>
      </c>
      <c r="B95" s="8" t="s">
        <v>160</v>
      </c>
      <c r="C95" s="7" t="s">
        <v>14</v>
      </c>
      <c r="D95" s="7" t="s">
        <v>161</v>
      </c>
      <c r="E95" s="7" t="s">
        <v>26</v>
      </c>
      <c r="F95" s="7" t="s">
        <v>48</v>
      </c>
    </row>
    <row r="96" ht="22.5" customHeight="1">
      <c r="A96" s="7" t="s">
        <v>159</v>
      </c>
      <c r="B96" s="8" t="s">
        <v>160</v>
      </c>
      <c r="C96" s="7" t="s">
        <v>43</v>
      </c>
      <c r="D96" s="7" t="s">
        <v>162</v>
      </c>
      <c r="E96" s="7" t="s">
        <v>26</v>
      </c>
      <c r="F96" s="7" t="s">
        <v>48</v>
      </c>
    </row>
    <row r="97" ht="22.5" customHeight="1">
      <c r="A97" s="7" t="s">
        <v>163</v>
      </c>
      <c r="B97" s="8" t="s">
        <v>164</v>
      </c>
      <c r="C97" s="7" t="s">
        <v>30</v>
      </c>
      <c r="D97" s="7" t="s">
        <v>165</v>
      </c>
      <c r="E97" s="7" t="s">
        <v>16</v>
      </c>
      <c r="F97" s="7" t="s">
        <v>48</v>
      </c>
    </row>
    <row r="98" ht="22.5" customHeight="1">
      <c r="A98" s="7" t="s">
        <v>163</v>
      </c>
      <c r="B98" s="8" t="s">
        <v>164</v>
      </c>
      <c r="C98" s="7" t="s">
        <v>30</v>
      </c>
      <c r="D98" s="7" t="s">
        <v>166</v>
      </c>
      <c r="E98" s="7" t="s">
        <v>16</v>
      </c>
      <c r="F98" s="7" t="s">
        <v>48</v>
      </c>
    </row>
    <row r="99" ht="22.5" customHeight="1">
      <c r="A99" s="9" t="s">
        <v>163</v>
      </c>
      <c r="B99" s="10" t="s">
        <v>164</v>
      </c>
      <c r="C99" s="11" t="s">
        <v>30</v>
      </c>
      <c r="D99" s="11" t="s">
        <v>167</v>
      </c>
      <c r="E99" s="11" t="s">
        <v>26</v>
      </c>
      <c r="F99" s="12" t="s">
        <v>48</v>
      </c>
    </row>
    <row r="100" ht="22.5" customHeight="1">
      <c r="A100" s="7" t="s">
        <v>163</v>
      </c>
      <c r="B100" s="8" t="s">
        <v>164</v>
      </c>
      <c r="C100" s="7" t="s">
        <v>36</v>
      </c>
      <c r="D100" s="7" t="s">
        <v>168</v>
      </c>
      <c r="E100" s="7" t="s">
        <v>26</v>
      </c>
      <c r="F100" s="7" t="s">
        <v>48</v>
      </c>
    </row>
    <row r="101" ht="22.5" customHeight="1">
      <c r="A101" s="7" t="s">
        <v>163</v>
      </c>
      <c r="B101" s="8" t="s">
        <v>164</v>
      </c>
      <c r="C101" s="7" t="s">
        <v>38</v>
      </c>
      <c r="D101" s="7" t="s">
        <v>169</v>
      </c>
      <c r="E101" s="7" t="s">
        <v>26</v>
      </c>
      <c r="F101" s="7" t="s">
        <v>48</v>
      </c>
    </row>
    <row r="102" ht="22.5" customHeight="1">
      <c r="A102" s="7" t="s">
        <v>163</v>
      </c>
      <c r="B102" s="8" t="s">
        <v>164</v>
      </c>
      <c r="C102" s="7" t="s">
        <v>40</v>
      </c>
      <c r="D102" s="7" t="s">
        <v>170</v>
      </c>
      <c r="E102" s="7" t="s">
        <v>26</v>
      </c>
      <c r="F102" s="7" t="s">
        <v>48</v>
      </c>
    </row>
    <row r="103" ht="22.5" customHeight="1">
      <c r="A103" s="7" t="s">
        <v>163</v>
      </c>
      <c r="B103" s="8" t="s">
        <v>164</v>
      </c>
      <c r="C103" s="7" t="s">
        <v>43</v>
      </c>
      <c r="D103" s="7" t="s">
        <v>171</v>
      </c>
      <c r="E103" s="7" t="s">
        <v>76</v>
      </c>
      <c r="F103" s="7" t="s">
        <v>172</v>
      </c>
    </row>
    <row r="104" ht="22.5" customHeight="1">
      <c r="A104" s="7" t="s">
        <v>152</v>
      </c>
      <c r="B104" s="8" t="s">
        <v>173</v>
      </c>
      <c r="C104" s="7" t="s">
        <v>14</v>
      </c>
      <c r="D104" s="7" t="s">
        <v>174</v>
      </c>
      <c r="E104" s="7" t="s">
        <v>155</v>
      </c>
      <c r="F104" s="7" t="s">
        <v>48</v>
      </c>
    </row>
    <row r="105" ht="22.5" customHeight="1">
      <c r="A105" s="7" t="s">
        <v>152</v>
      </c>
      <c r="B105" s="8" t="s">
        <v>173</v>
      </c>
      <c r="C105" s="7" t="s">
        <v>14</v>
      </c>
      <c r="D105" s="7" t="s">
        <v>175</v>
      </c>
      <c r="E105" s="7" t="s">
        <v>155</v>
      </c>
      <c r="F105" s="7" t="s">
        <v>48</v>
      </c>
    </row>
    <row r="106" ht="22.5" customHeight="1">
      <c r="A106" s="13" t="s">
        <v>152</v>
      </c>
      <c r="B106" s="14" t="s">
        <v>173</v>
      </c>
      <c r="C106" s="13" t="s">
        <v>14</v>
      </c>
      <c r="D106" s="13" t="s">
        <v>176</v>
      </c>
      <c r="E106" s="15" t="s">
        <v>76</v>
      </c>
      <c r="F106" s="15" t="s">
        <v>177</v>
      </c>
    </row>
    <row r="107" ht="22.5" customHeight="1">
      <c r="A107" s="7" t="s">
        <v>178</v>
      </c>
      <c r="B107" s="8" t="s">
        <v>179</v>
      </c>
      <c r="C107" s="7" t="s">
        <v>30</v>
      </c>
      <c r="D107" s="7" t="s">
        <v>180</v>
      </c>
      <c r="E107" s="7" t="s">
        <v>16</v>
      </c>
      <c r="F107" s="7" t="s">
        <v>48</v>
      </c>
    </row>
    <row r="108" ht="22.5" customHeight="1">
      <c r="A108" s="7" t="s">
        <v>178</v>
      </c>
      <c r="B108" s="8" t="s">
        <v>179</v>
      </c>
      <c r="C108" s="7" t="s">
        <v>30</v>
      </c>
      <c r="D108" s="7" t="s">
        <v>181</v>
      </c>
      <c r="E108" s="7" t="s">
        <v>76</v>
      </c>
      <c r="F108" s="7" t="s">
        <v>182</v>
      </c>
    </row>
    <row r="109" ht="22.5" customHeight="1">
      <c r="A109" s="7" t="s">
        <v>178</v>
      </c>
      <c r="B109" s="8" t="s">
        <v>179</v>
      </c>
      <c r="C109" s="7" t="s">
        <v>30</v>
      </c>
      <c r="D109" s="7" t="s">
        <v>183</v>
      </c>
      <c r="E109" s="7" t="s">
        <v>16</v>
      </c>
      <c r="F109" s="7" t="s">
        <v>48</v>
      </c>
    </row>
    <row r="110" ht="22.5" customHeight="1">
      <c r="A110" s="7" t="s">
        <v>178</v>
      </c>
      <c r="B110" s="8" t="s">
        <v>179</v>
      </c>
      <c r="C110" s="7" t="s">
        <v>30</v>
      </c>
      <c r="D110" s="7" t="s">
        <v>184</v>
      </c>
      <c r="E110" s="7" t="s">
        <v>26</v>
      </c>
      <c r="F110" s="7" t="s">
        <v>48</v>
      </c>
    </row>
    <row r="111" ht="22.5" customHeight="1">
      <c r="A111" s="7" t="s">
        <v>178</v>
      </c>
      <c r="B111" s="8" t="s">
        <v>179</v>
      </c>
      <c r="C111" s="7" t="s">
        <v>36</v>
      </c>
      <c r="D111" s="7" t="s">
        <v>185</v>
      </c>
      <c r="E111" s="7" t="s">
        <v>26</v>
      </c>
      <c r="F111" s="7" t="s">
        <v>48</v>
      </c>
    </row>
    <row r="112" ht="22.5" customHeight="1">
      <c r="A112" s="7" t="s">
        <v>178</v>
      </c>
      <c r="B112" s="8" t="s">
        <v>179</v>
      </c>
      <c r="C112" s="7" t="s">
        <v>38</v>
      </c>
      <c r="D112" s="7" t="s">
        <v>186</v>
      </c>
      <c r="E112" s="7" t="s">
        <v>26</v>
      </c>
      <c r="F112" s="7" t="s">
        <v>48</v>
      </c>
    </row>
    <row r="113" ht="22.5" customHeight="1">
      <c r="A113" s="7" t="s">
        <v>178</v>
      </c>
      <c r="B113" s="8" t="s">
        <v>179</v>
      </c>
      <c r="C113" s="7" t="s">
        <v>40</v>
      </c>
      <c r="D113" s="7" t="s">
        <v>187</v>
      </c>
      <c r="E113" s="7" t="s">
        <v>26</v>
      </c>
      <c r="F113" s="7" t="s">
        <v>48</v>
      </c>
    </row>
    <row r="114" ht="22.5" customHeight="1">
      <c r="A114" s="7" t="s">
        <v>178</v>
      </c>
      <c r="B114" s="8" t="s">
        <v>179</v>
      </c>
      <c r="C114" s="7" t="s">
        <v>43</v>
      </c>
      <c r="D114" s="7" t="s">
        <v>188</v>
      </c>
      <c r="E114" s="7" t="s">
        <v>26</v>
      </c>
      <c r="F114" s="7" t="s">
        <v>48</v>
      </c>
    </row>
    <row r="115" ht="22.5" customHeight="1">
      <c r="A115" s="7" t="s">
        <v>139</v>
      </c>
      <c r="B115" s="8" t="s">
        <v>189</v>
      </c>
      <c r="C115" s="7" t="s">
        <v>14</v>
      </c>
      <c r="D115" s="7" t="s">
        <v>190</v>
      </c>
      <c r="E115" s="7" t="s">
        <v>151</v>
      </c>
      <c r="F115" s="7" t="s">
        <v>48</v>
      </c>
    </row>
    <row r="116" ht="22.5" customHeight="1">
      <c r="A116" s="7" t="s">
        <v>139</v>
      </c>
      <c r="B116" s="8" t="s">
        <v>189</v>
      </c>
      <c r="C116" s="7" t="s">
        <v>43</v>
      </c>
      <c r="D116" s="7" t="s">
        <v>191</v>
      </c>
      <c r="E116" s="7" t="s">
        <v>26</v>
      </c>
      <c r="F116" s="7" t="s">
        <v>48</v>
      </c>
    </row>
    <row r="117" ht="22.5" customHeight="1">
      <c r="A117" s="7" t="s">
        <v>139</v>
      </c>
      <c r="B117" s="8" t="s">
        <v>189</v>
      </c>
      <c r="C117" s="7" t="s">
        <v>103</v>
      </c>
      <c r="D117" s="7" t="s">
        <v>192</v>
      </c>
      <c r="E117" s="7" t="s">
        <v>105</v>
      </c>
      <c r="F117" s="7" t="s">
        <v>48</v>
      </c>
    </row>
    <row r="118" ht="22.5" customHeight="1">
      <c r="A118" s="7" t="s">
        <v>139</v>
      </c>
      <c r="B118" s="8" t="s">
        <v>189</v>
      </c>
      <c r="C118" s="7" t="s">
        <v>43</v>
      </c>
      <c r="D118" s="7" t="s">
        <v>193</v>
      </c>
      <c r="E118" s="7" t="s">
        <v>76</v>
      </c>
      <c r="F118" s="7" t="s">
        <v>194</v>
      </c>
    </row>
    <row r="119" ht="22.5" customHeight="1">
      <c r="A119" s="7" t="s">
        <v>195</v>
      </c>
      <c r="B119" s="8" t="s">
        <v>196</v>
      </c>
      <c r="C119" s="7" t="s">
        <v>30</v>
      </c>
      <c r="D119" s="7" t="s">
        <v>197</v>
      </c>
      <c r="E119" s="7" t="s">
        <v>16</v>
      </c>
      <c r="F119" s="7" t="s">
        <v>48</v>
      </c>
    </row>
    <row r="120" ht="22.5" customHeight="1">
      <c r="A120" s="7" t="s">
        <v>195</v>
      </c>
      <c r="B120" s="8" t="s">
        <v>196</v>
      </c>
      <c r="C120" s="7" t="s">
        <v>30</v>
      </c>
      <c r="D120" s="7" t="s">
        <v>198</v>
      </c>
      <c r="E120" s="7" t="s">
        <v>16</v>
      </c>
      <c r="F120" s="7" t="s">
        <v>48</v>
      </c>
    </row>
    <row r="121" ht="22.5" customHeight="1">
      <c r="A121" s="7" t="s">
        <v>195</v>
      </c>
      <c r="B121" s="8" t="s">
        <v>196</v>
      </c>
      <c r="C121" s="7" t="s">
        <v>30</v>
      </c>
      <c r="D121" s="7" t="s">
        <v>199</v>
      </c>
      <c r="E121" s="7" t="s">
        <v>26</v>
      </c>
      <c r="F121" s="7" t="s">
        <v>48</v>
      </c>
    </row>
    <row r="122" ht="22.5" customHeight="1">
      <c r="A122" s="7" t="s">
        <v>200</v>
      </c>
      <c r="B122" s="8" t="s">
        <v>201</v>
      </c>
      <c r="C122" s="7" t="s">
        <v>30</v>
      </c>
      <c r="D122" s="7" t="s">
        <v>202</v>
      </c>
      <c r="E122" s="7" t="s">
        <v>26</v>
      </c>
      <c r="F122" s="7" t="s">
        <v>48</v>
      </c>
    </row>
    <row r="123" ht="22.5" customHeight="1">
      <c r="A123" s="7" t="s">
        <v>50</v>
      </c>
      <c r="B123" s="8" t="s">
        <v>203</v>
      </c>
      <c r="C123" s="7" t="s">
        <v>14</v>
      </c>
      <c r="D123" s="7" t="s">
        <v>204</v>
      </c>
      <c r="E123" s="7" t="s">
        <v>16</v>
      </c>
      <c r="F123" s="7" t="s">
        <v>18</v>
      </c>
    </row>
    <row r="124" ht="22.5" customHeight="1">
      <c r="A124" s="7" t="s">
        <v>50</v>
      </c>
      <c r="B124" s="8" t="s">
        <v>203</v>
      </c>
      <c r="C124" s="7" t="s">
        <v>14</v>
      </c>
      <c r="D124" s="7" t="s">
        <v>205</v>
      </c>
      <c r="E124" s="7" t="s">
        <v>16</v>
      </c>
      <c r="F124" s="7" t="s">
        <v>20</v>
      </c>
    </row>
    <row r="125" ht="22.5" customHeight="1">
      <c r="A125" s="7" t="s">
        <v>50</v>
      </c>
      <c r="B125" s="8" t="s">
        <v>203</v>
      </c>
      <c r="C125" s="7" t="s">
        <v>14</v>
      </c>
      <c r="D125" s="7" t="s">
        <v>206</v>
      </c>
      <c r="E125" s="7" t="s">
        <v>16</v>
      </c>
      <c r="F125" s="7" t="s">
        <v>22</v>
      </c>
    </row>
    <row r="126" ht="22.5" customHeight="1">
      <c r="A126" s="7" t="s">
        <v>50</v>
      </c>
      <c r="B126" s="8" t="s">
        <v>203</v>
      </c>
      <c r="C126" s="7" t="s">
        <v>14</v>
      </c>
      <c r="D126" s="7" t="s">
        <v>207</v>
      </c>
      <c r="E126" s="7" t="s">
        <v>16</v>
      </c>
      <c r="F126" s="7" t="s">
        <v>24</v>
      </c>
    </row>
    <row r="127" ht="22.5" customHeight="1">
      <c r="A127" s="7" t="s">
        <v>50</v>
      </c>
      <c r="B127" s="8" t="s">
        <v>203</v>
      </c>
      <c r="C127" s="7" t="s">
        <v>30</v>
      </c>
      <c r="D127" s="7" t="s">
        <v>208</v>
      </c>
      <c r="E127" s="7" t="s">
        <v>16</v>
      </c>
      <c r="F127" s="7" t="s">
        <v>16</v>
      </c>
    </row>
    <row r="128" ht="22.5" customHeight="1">
      <c r="A128" s="7" t="s">
        <v>50</v>
      </c>
      <c r="B128" s="8" t="s">
        <v>203</v>
      </c>
      <c r="C128" s="7" t="s">
        <v>30</v>
      </c>
      <c r="D128" s="7" t="s">
        <v>209</v>
      </c>
      <c r="E128" s="7" t="s">
        <v>16</v>
      </c>
      <c r="F128" s="7" t="s">
        <v>70</v>
      </c>
    </row>
    <row r="129" ht="22.5" customHeight="1">
      <c r="A129" s="7" t="s">
        <v>50</v>
      </c>
      <c r="B129" s="8" t="s">
        <v>203</v>
      </c>
      <c r="C129" s="7" t="s">
        <v>30</v>
      </c>
      <c r="D129" s="7" t="s">
        <v>210</v>
      </c>
      <c r="E129" s="7" t="s">
        <v>26</v>
      </c>
      <c r="F129" s="7" t="s">
        <v>16</v>
      </c>
    </row>
    <row r="130" ht="22.5" customHeight="1">
      <c r="A130" s="7" t="s">
        <v>50</v>
      </c>
      <c r="B130" s="8" t="s">
        <v>203</v>
      </c>
      <c r="C130" s="7" t="s">
        <v>30</v>
      </c>
      <c r="D130" s="7" t="s">
        <v>211</v>
      </c>
      <c r="E130" s="7" t="s">
        <v>26</v>
      </c>
      <c r="F130" s="7" t="s">
        <v>16</v>
      </c>
    </row>
    <row r="131" ht="22.5" customHeight="1">
      <c r="A131" s="7" t="s">
        <v>50</v>
      </c>
      <c r="B131" s="8" t="s">
        <v>203</v>
      </c>
      <c r="C131" s="7" t="s">
        <v>30</v>
      </c>
      <c r="D131" s="7" t="s">
        <v>212</v>
      </c>
      <c r="E131" s="7" t="s">
        <v>26</v>
      </c>
      <c r="F131" s="7" t="s">
        <v>16</v>
      </c>
    </row>
    <row r="132" ht="22.5" customHeight="1">
      <c r="A132" s="7" t="s">
        <v>50</v>
      </c>
      <c r="B132" s="8" t="s">
        <v>203</v>
      </c>
      <c r="C132" s="7" t="s">
        <v>30</v>
      </c>
      <c r="D132" s="7" t="s">
        <v>213</v>
      </c>
      <c r="E132" s="7" t="s">
        <v>26</v>
      </c>
      <c r="F132" s="7" t="s">
        <v>16</v>
      </c>
    </row>
    <row r="133" ht="22.5" customHeight="1">
      <c r="A133" s="7" t="s">
        <v>50</v>
      </c>
      <c r="B133" s="8" t="s">
        <v>203</v>
      </c>
      <c r="C133" s="7" t="s">
        <v>36</v>
      </c>
      <c r="D133" s="7" t="s">
        <v>214</v>
      </c>
      <c r="E133" s="7" t="s">
        <v>16</v>
      </c>
      <c r="F133" s="7" t="s">
        <v>16</v>
      </c>
    </row>
    <row r="134" ht="22.5" customHeight="1">
      <c r="A134" s="7" t="s">
        <v>50</v>
      </c>
      <c r="B134" s="8" t="s">
        <v>203</v>
      </c>
      <c r="C134" s="7" t="s">
        <v>38</v>
      </c>
      <c r="D134" s="7" t="s">
        <v>215</v>
      </c>
      <c r="E134" s="7" t="s">
        <v>16</v>
      </c>
      <c r="F134" s="7" t="s">
        <v>16</v>
      </c>
    </row>
    <row r="135" ht="22.5" customHeight="1">
      <c r="A135" s="7" t="s">
        <v>50</v>
      </c>
      <c r="B135" s="8" t="s">
        <v>203</v>
      </c>
      <c r="C135" s="7" t="s">
        <v>40</v>
      </c>
      <c r="D135" s="7" t="s">
        <v>216</v>
      </c>
      <c r="E135" s="7" t="s">
        <v>16</v>
      </c>
      <c r="F135" s="7" t="s">
        <v>16</v>
      </c>
    </row>
    <row r="136" ht="22.5" customHeight="1">
      <c r="A136" s="7" t="s">
        <v>50</v>
      </c>
      <c r="B136" s="8" t="s">
        <v>203</v>
      </c>
      <c r="C136" s="7" t="s">
        <v>43</v>
      </c>
      <c r="D136" s="7" t="s">
        <v>217</v>
      </c>
      <c r="E136" s="7" t="s">
        <v>16</v>
      </c>
      <c r="F136" s="7" t="s">
        <v>16</v>
      </c>
    </row>
    <row r="137" ht="22.5" customHeight="1">
      <c r="A137" s="7" t="s">
        <v>50</v>
      </c>
      <c r="B137" s="8" t="s">
        <v>203</v>
      </c>
      <c r="C137" s="7" t="s">
        <v>43</v>
      </c>
      <c r="D137" s="7" t="s">
        <v>218</v>
      </c>
      <c r="E137" s="7" t="s">
        <v>105</v>
      </c>
      <c r="F137" s="7" t="s">
        <v>16</v>
      </c>
    </row>
    <row r="138" ht="22.5" customHeight="1">
      <c r="A138" s="7" t="s">
        <v>53</v>
      </c>
      <c r="B138" s="8" t="s">
        <v>219</v>
      </c>
      <c r="C138" s="7" t="s">
        <v>14</v>
      </c>
      <c r="D138" s="7" t="s">
        <v>220</v>
      </c>
      <c r="E138" s="7" t="s">
        <v>26</v>
      </c>
      <c r="F138" s="7" t="s">
        <v>48</v>
      </c>
    </row>
    <row r="139" ht="22.5" customHeight="1">
      <c r="A139" s="7" t="s">
        <v>53</v>
      </c>
      <c r="B139" s="8" t="s">
        <v>221</v>
      </c>
      <c r="C139" s="7" t="s">
        <v>14</v>
      </c>
      <c r="D139" s="7" t="s">
        <v>222</v>
      </c>
      <c r="E139" s="7" t="s">
        <v>16</v>
      </c>
      <c r="F139" s="7" t="s">
        <v>48</v>
      </c>
    </row>
    <row r="140" ht="22.5" customHeight="1">
      <c r="A140" s="7" t="s">
        <v>53</v>
      </c>
      <c r="B140" s="8" t="s">
        <v>221</v>
      </c>
      <c r="C140" s="7" t="s">
        <v>14</v>
      </c>
      <c r="D140" s="7" t="s">
        <v>223</v>
      </c>
      <c r="E140" s="7" t="s">
        <v>16</v>
      </c>
      <c r="F140" s="7" t="s">
        <v>48</v>
      </c>
    </row>
    <row r="141" ht="22.5" customHeight="1">
      <c r="A141" s="7" t="s">
        <v>53</v>
      </c>
      <c r="B141" s="8" t="s">
        <v>221</v>
      </c>
      <c r="C141" s="7" t="s">
        <v>14</v>
      </c>
      <c r="D141" s="7" t="s">
        <v>224</v>
      </c>
      <c r="E141" s="7" t="s">
        <v>16</v>
      </c>
      <c r="F141" s="7" t="s">
        <v>48</v>
      </c>
    </row>
    <row r="142" ht="22.5" customHeight="1">
      <c r="A142" s="7" t="s">
        <v>53</v>
      </c>
      <c r="B142" s="8" t="s">
        <v>221</v>
      </c>
      <c r="C142" s="7" t="s">
        <v>30</v>
      </c>
      <c r="D142" s="7" t="s">
        <v>225</v>
      </c>
      <c r="E142" s="7" t="s">
        <v>26</v>
      </c>
      <c r="F142" s="7" t="s">
        <v>48</v>
      </c>
    </row>
    <row r="143" ht="22.5" customHeight="1">
      <c r="A143" s="7" t="s">
        <v>226</v>
      </c>
      <c r="B143" s="8" t="s">
        <v>227</v>
      </c>
      <c r="C143" s="7" t="s">
        <v>30</v>
      </c>
      <c r="D143" s="7" t="s">
        <v>228</v>
      </c>
      <c r="E143" s="7" t="s">
        <v>16</v>
      </c>
      <c r="F143" s="7" t="s">
        <v>16</v>
      </c>
    </row>
    <row r="144" ht="22.5" customHeight="1">
      <c r="A144" s="7" t="s">
        <v>226</v>
      </c>
      <c r="B144" s="8" t="s">
        <v>227</v>
      </c>
      <c r="C144" s="7" t="s">
        <v>36</v>
      </c>
      <c r="D144" s="7" t="s">
        <v>229</v>
      </c>
      <c r="E144" s="7" t="s">
        <v>16</v>
      </c>
      <c r="F144" s="7" t="s">
        <v>16</v>
      </c>
    </row>
    <row r="145" ht="22.5" customHeight="1">
      <c r="A145" s="7" t="s">
        <v>226</v>
      </c>
      <c r="B145" s="8" t="s">
        <v>227</v>
      </c>
      <c r="C145" s="7" t="s">
        <v>230</v>
      </c>
      <c r="D145" s="7" t="s">
        <v>231</v>
      </c>
      <c r="E145" s="7" t="s">
        <v>16</v>
      </c>
      <c r="F145" s="7" t="s">
        <v>16</v>
      </c>
    </row>
    <row r="146" ht="22.5" customHeight="1">
      <c r="A146" s="7" t="s">
        <v>226</v>
      </c>
      <c r="B146" s="8" t="s">
        <v>227</v>
      </c>
      <c r="C146" s="7" t="s">
        <v>38</v>
      </c>
      <c r="D146" s="7" t="s">
        <v>232</v>
      </c>
      <c r="E146" s="7" t="s">
        <v>16</v>
      </c>
      <c r="F146" s="7" t="s">
        <v>16</v>
      </c>
    </row>
    <row r="147" ht="22.5" customHeight="1">
      <c r="A147" s="7" t="s">
        <v>226</v>
      </c>
      <c r="B147" s="8" t="s">
        <v>227</v>
      </c>
      <c r="C147" s="7" t="s">
        <v>233</v>
      </c>
      <c r="D147" s="7" t="s">
        <v>234</v>
      </c>
      <c r="E147" s="7" t="s">
        <v>16</v>
      </c>
      <c r="F147" s="7" t="s">
        <v>16</v>
      </c>
    </row>
    <row r="148" ht="22.5" customHeight="1">
      <c r="A148" s="7" t="s">
        <v>226</v>
      </c>
      <c r="B148" s="8" t="s">
        <v>227</v>
      </c>
      <c r="C148" s="7" t="s">
        <v>40</v>
      </c>
      <c r="D148" s="7" t="s">
        <v>235</v>
      </c>
      <c r="E148" s="7" t="s">
        <v>16</v>
      </c>
      <c r="F148" s="7" t="s">
        <v>16</v>
      </c>
    </row>
    <row r="149" ht="22.5" customHeight="1">
      <c r="A149" s="7" t="s">
        <v>226</v>
      </c>
      <c r="B149" s="8" t="s">
        <v>227</v>
      </c>
      <c r="C149" s="7" t="s">
        <v>236</v>
      </c>
      <c r="D149" s="7" t="s">
        <v>237</v>
      </c>
      <c r="E149" s="7" t="s">
        <v>16</v>
      </c>
      <c r="F149" s="7" t="s">
        <v>16</v>
      </c>
    </row>
    <row r="150" ht="22.5" customHeight="1">
      <c r="A150" s="7" t="s">
        <v>226</v>
      </c>
      <c r="B150" s="8" t="s">
        <v>227</v>
      </c>
      <c r="C150" s="7" t="s">
        <v>43</v>
      </c>
      <c r="D150" s="7" t="s">
        <v>238</v>
      </c>
      <c r="E150" s="7" t="s">
        <v>16</v>
      </c>
      <c r="F150" s="7" t="s">
        <v>16</v>
      </c>
    </row>
    <row r="151" ht="22.5" customHeight="1">
      <c r="A151" s="7" t="s">
        <v>226</v>
      </c>
      <c r="B151" s="8" t="s">
        <v>227</v>
      </c>
      <c r="C151" s="7" t="s">
        <v>239</v>
      </c>
      <c r="D151" s="7" t="s">
        <v>240</v>
      </c>
      <c r="E151" s="7" t="s">
        <v>16</v>
      </c>
      <c r="F151" s="7" t="s">
        <v>16</v>
      </c>
    </row>
    <row r="152" ht="22.5" customHeight="1">
      <c r="A152" s="7" t="s">
        <v>67</v>
      </c>
      <c r="B152" s="8" t="s">
        <v>241</v>
      </c>
      <c r="C152" s="7" t="s">
        <v>30</v>
      </c>
      <c r="D152" s="7" t="s">
        <v>242</v>
      </c>
      <c r="E152" s="7" t="s">
        <v>26</v>
      </c>
      <c r="F152" s="7" t="s">
        <v>48</v>
      </c>
    </row>
    <row r="153" ht="22.5" customHeight="1">
      <c r="A153" s="7" t="s">
        <v>152</v>
      </c>
      <c r="B153" s="8" t="s">
        <v>243</v>
      </c>
      <c r="C153" s="7" t="s">
        <v>14</v>
      </c>
      <c r="D153" s="7" t="s">
        <v>244</v>
      </c>
      <c r="E153" s="7" t="s">
        <v>16</v>
      </c>
      <c r="F153" s="7" t="s">
        <v>18</v>
      </c>
    </row>
    <row r="154" ht="22.5" customHeight="1">
      <c r="A154" s="7" t="s">
        <v>152</v>
      </c>
      <c r="B154" s="8" t="s">
        <v>243</v>
      </c>
      <c r="C154" s="7" t="s">
        <v>30</v>
      </c>
      <c r="D154" s="7" t="s">
        <v>245</v>
      </c>
      <c r="E154" s="7" t="s">
        <v>16</v>
      </c>
      <c r="F154" s="7" t="s">
        <v>16</v>
      </c>
    </row>
    <row r="155" ht="22.5" customHeight="1">
      <c r="A155" s="7" t="s">
        <v>152</v>
      </c>
      <c r="B155" s="8" t="s">
        <v>243</v>
      </c>
      <c r="C155" s="7" t="s">
        <v>36</v>
      </c>
      <c r="D155" s="7" t="s">
        <v>246</v>
      </c>
      <c r="E155" s="7" t="s">
        <v>16</v>
      </c>
      <c r="F155" s="7" t="s">
        <v>16</v>
      </c>
    </row>
    <row r="156" ht="22.5" customHeight="1">
      <c r="A156" s="7" t="s">
        <v>152</v>
      </c>
      <c r="B156" s="8" t="s">
        <v>243</v>
      </c>
      <c r="C156" s="7" t="s">
        <v>38</v>
      </c>
      <c r="D156" s="7" t="s">
        <v>247</v>
      </c>
      <c r="E156" s="7" t="s">
        <v>16</v>
      </c>
      <c r="F156" s="7" t="s">
        <v>16</v>
      </c>
    </row>
    <row r="157" ht="22.5" customHeight="1">
      <c r="A157" s="7" t="s">
        <v>152</v>
      </c>
      <c r="B157" s="8" t="s">
        <v>243</v>
      </c>
      <c r="C157" s="7" t="s">
        <v>40</v>
      </c>
      <c r="D157" s="7" t="s">
        <v>248</v>
      </c>
      <c r="E157" s="7" t="s">
        <v>16</v>
      </c>
      <c r="F157" s="7" t="s">
        <v>16</v>
      </c>
    </row>
    <row r="158" ht="22.5" customHeight="1">
      <c r="A158" s="7" t="s">
        <v>152</v>
      </c>
      <c r="B158" s="8" t="s">
        <v>243</v>
      </c>
      <c r="C158" s="7" t="s">
        <v>43</v>
      </c>
      <c r="D158" s="7" t="s">
        <v>249</v>
      </c>
      <c r="E158" s="7" t="s">
        <v>16</v>
      </c>
      <c r="F158" s="7" t="s">
        <v>16</v>
      </c>
    </row>
    <row r="159" ht="22.5" customHeight="1">
      <c r="A159" s="7" t="s">
        <v>250</v>
      </c>
      <c r="B159" s="8" t="s">
        <v>251</v>
      </c>
      <c r="C159" s="7" t="s">
        <v>30</v>
      </c>
      <c r="D159" s="7" t="s">
        <v>252</v>
      </c>
      <c r="E159" s="7" t="s">
        <v>26</v>
      </c>
      <c r="F159" s="7" t="s">
        <v>48</v>
      </c>
    </row>
    <row r="160" ht="22.5" customHeight="1">
      <c r="A160" s="7" t="s">
        <v>200</v>
      </c>
      <c r="B160" s="8" t="s">
        <v>253</v>
      </c>
      <c r="C160" s="7" t="s">
        <v>30</v>
      </c>
      <c r="D160" s="7" t="s">
        <v>254</v>
      </c>
      <c r="E160" s="7" t="s">
        <v>26</v>
      </c>
      <c r="F160" s="7" t="s">
        <v>48</v>
      </c>
    </row>
    <row r="161" ht="22.5" customHeight="1">
      <c r="A161" s="7" t="s">
        <v>226</v>
      </c>
      <c r="B161" s="8" t="s">
        <v>255</v>
      </c>
      <c r="C161" s="7" t="s">
        <v>30</v>
      </c>
      <c r="D161" s="7" t="s">
        <v>256</v>
      </c>
      <c r="E161" s="7" t="s">
        <v>16</v>
      </c>
      <c r="F161" s="7" t="s">
        <v>16</v>
      </c>
    </row>
    <row r="162" ht="22.5" customHeight="1">
      <c r="A162" s="7" t="s">
        <v>226</v>
      </c>
      <c r="B162" s="8" t="s">
        <v>255</v>
      </c>
      <c r="C162" s="7" t="s">
        <v>30</v>
      </c>
      <c r="D162" s="7" t="s">
        <v>257</v>
      </c>
      <c r="E162" s="7" t="s">
        <v>16</v>
      </c>
      <c r="F162" s="7" t="s">
        <v>16</v>
      </c>
    </row>
    <row r="163" ht="22.5" customHeight="1">
      <c r="A163" s="7" t="s">
        <v>226</v>
      </c>
      <c r="B163" s="8" t="s">
        <v>255</v>
      </c>
      <c r="C163" s="7" t="s">
        <v>30</v>
      </c>
      <c r="D163" s="7" t="s">
        <v>258</v>
      </c>
      <c r="E163" s="7" t="s">
        <v>16</v>
      </c>
      <c r="F163" s="7" t="s">
        <v>16</v>
      </c>
    </row>
    <row r="164" ht="22.5" customHeight="1">
      <c r="A164" s="7" t="s">
        <v>45</v>
      </c>
      <c r="B164" s="8" t="s">
        <v>259</v>
      </c>
      <c r="C164" s="7" t="s">
        <v>14</v>
      </c>
      <c r="D164" s="7" t="s">
        <v>260</v>
      </c>
      <c r="E164" s="7" t="s">
        <v>151</v>
      </c>
      <c r="F164" s="7" t="s">
        <v>18</v>
      </c>
    </row>
    <row r="165" ht="22.5" customHeight="1">
      <c r="A165" s="7" t="s">
        <v>45</v>
      </c>
      <c r="B165" s="8" t="s">
        <v>259</v>
      </c>
      <c r="C165" s="7" t="s">
        <v>14</v>
      </c>
      <c r="D165" s="7" t="s">
        <v>261</v>
      </c>
      <c r="E165" s="7" t="s">
        <v>155</v>
      </c>
      <c r="F165" s="7" t="s">
        <v>22</v>
      </c>
    </row>
    <row r="166" ht="22.5" customHeight="1">
      <c r="A166" s="7" t="s">
        <v>45</v>
      </c>
      <c r="B166" s="8" t="s">
        <v>259</v>
      </c>
      <c r="C166" s="7" t="s">
        <v>14</v>
      </c>
      <c r="D166" s="7" t="s">
        <v>262</v>
      </c>
      <c r="E166" s="7" t="s">
        <v>26</v>
      </c>
      <c r="F166" s="7" t="s">
        <v>20</v>
      </c>
    </row>
    <row r="167" ht="22.5" customHeight="1">
      <c r="A167" s="7" t="s">
        <v>45</v>
      </c>
      <c r="B167" s="8" t="s">
        <v>259</v>
      </c>
      <c r="C167" s="7" t="s">
        <v>30</v>
      </c>
      <c r="D167" s="7" t="s">
        <v>263</v>
      </c>
      <c r="E167" s="7" t="s">
        <v>151</v>
      </c>
      <c r="F167" s="7" t="s">
        <v>16</v>
      </c>
    </row>
    <row r="168" ht="22.5" customHeight="1">
      <c r="A168" s="7" t="s">
        <v>45</v>
      </c>
      <c r="B168" s="8" t="s">
        <v>259</v>
      </c>
      <c r="C168" s="7" t="s">
        <v>36</v>
      </c>
      <c r="D168" s="7" t="s">
        <v>264</v>
      </c>
      <c r="E168" s="7" t="s">
        <v>151</v>
      </c>
      <c r="F168" s="7" t="s">
        <v>16</v>
      </c>
    </row>
    <row r="169" ht="22.5" customHeight="1">
      <c r="A169" s="7" t="s">
        <v>45</v>
      </c>
      <c r="B169" s="8" t="s">
        <v>259</v>
      </c>
      <c r="C169" s="7" t="s">
        <v>38</v>
      </c>
      <c r="D169" s="7" t="s">
        <v>265</v>
      </c>
      <c r="E169" s="7" t="s">
        <v>151</v>
      </c>
      <c r="F169" s="7" t="s">
        <v>16</v>
      </c>
    </row>
    <row r="170" ht="22.5" customHeight="1">
      <c r="A170" s="7" t="s">
        <v>45</v>
      </c>
      <c r="B170" s="8" t="s">
        <v>259</v>
      </c>
      <c r="C170" s="7" t="s">
        <v>40</v>
      </c>
      <c r="D170" s="7" t="s">
        <v>266</v>
      </c>
      <c r="E170" s="7" t="s">
        <v>151</v>
      </c>
      <c r="F170" s="7" t="s">
        <v>16</v>
      </c>
    </row>
    <row r="171" ht="22.5" customHeight="1">
      <c r="A171" s="7" t="s">
        <v>45</v>
      </c>
      <c r="B171" s="8" t="s">
        <v>259</v>
      </c>
      <c r="C171" s="7" t="s">
        <v>43</v>
      </c>
      <c r="D171" s="7" t="s">
        <v>267</v>
      </c>
      <c r="E171" s="7" t="s">
        <v>151</v>
      </c>
      <c r="F171" s="7" t="s">
        <v>16</v>
      </c>
    </row>
    <row r="172" ht="22.5" customHeight="1">
      <c r="A172" s="7" t="s">
        <v>45</v>
      </c>
      <c r="B172" s="8" t="s">
        <v>259</v>
      </c>
      <c r="C172" s="7" t="s">
        <v>43</v>
      </c>
      <c r="D172" s="7" t="s">
        <v>268</v>
      </c>
      <c r="E172" s="7" t="s">
        <v>26</v>
      </c>
      <c r="F172" s="7" t="s">
        <v>16</v>
      </c>
    </row>
    <row r="173" ht="22.5" customHeight="1">
      <c r="A173" s="7" t="s">
        <v>45</v>
      </c>
      <c r="B173" s="8" t="s">
        <v>259</v>
      </c>
      <c r="C173" s="7" t="s">
        <v>43</v>
      </c>
      <c r="D173" s="7" t="s">
        <v>269</v>
      </c>
      <c r="E173" s="7" t="s">
        <v>26</v>
      </c>
      <c r="F173" s="7" t="s">
        <v>16</v>
      </c>
    </row>
    <row r="174" ht="22.5" customHeight="1">
      <c r="A174" s="7" t="s">
        <v>45</v>
      </c>
      <c r="B174" s="8" t="s">
        <v>259</v>
      </c>
      <c r="C174" s="7" t="s">
        <v>43</v>
      </c>
      <c r="D174" s="7" t="s">
        <v>270</v>
      </c>
      <c r="E174" s="7" t="s">
        <v>26</v>
      </c>
      <c r="F174" s="7" t="s">
        <v>16</v>
      </c>
    </row>
    <row r="175" ht="22.5" customHeight="1">
      <c r="A175" s="7" t="s">
        <v>45</v>
      </c>
      <c r="B175" s="8" t="s">
        <v>271</v>
      </c>
      <c r="C175" s="7" t="s">
        <v>14</v>
      </c>
      <c r="D175" s="7" t="s">
        <v>272</v>
      </c>
      <c r="E175" s="7" t="s">
        <v>105</v>
      </c>
      <c r="F175" s="7" t="s">
        <v>48</v>
      </c>
    </row>
    <row r="176" ht="22.5" customHeight="1">
      <c r="A176" s="7" t="s">
        <v>139</v>
      </c>
      <c r="B176" s="8" t="s">
        <v>273</v>
      </c>
      <c r="C176" s="7" t="s">
        <v>14</v>
      </c>
      <c r="D176" s="7" t="s">
        <v>274</v>
      </c>
      <c r="E176" s="7" t="s">
        <v>16</v>
      </c>
      <c r="F176" s="7" t="s">
        <v>48</v>
      </c>
    </row>
    <row r="177" ht="22.5" customHeight="1">
      <c r="A177" s="7" t="s">
        <v>139</v>
      </c>
      <c r="B177" s="8" t="s">
        <v>273</v>
      </c>
      <c r="C177" s="7" t="s">
        <v>14</v>
      </c>
      <c r="D177" s="7" t="s">
        <v>275</v>
      </c>
      <c r="E177" s="7" t="s">
        <v>16</v>
      </c>
      <c r="F177" s="7" t="s">
        <v>48</v>
      </c>
    </row>
    <row r="178" ht="22.5" customHeight="1">
      <c r="A178" s="7" t="s">
        <v>139</v>
      </c>
      <c r="B178" s="8" t="s">
        <v>273</v>
      </c>
      <c r="C178" s="7" t="s">
        <v>14</v>
      </c>
      <c r="D178" s="7" t="s">
        <v>276</v>
      </c>
      <c r="E178" s="7" t="s">
        <v>16</v>
      </c>
      <c r="F178" s="7" t="s">
        <v>48</v>
      </c>
    </row>
    <row r="179" ht="22.5" customHeight="1">
      <c r="A179" s="7" t="s">
        <v>139</v>
      </c>
      <c r="B179" s="8" t="s">
        <v>273</v>
      </c>
      <c r="C179" s="7" t="s">
        <v>30</v>
      </c>
      <c r="D179" s="7" t="s">
        <v>277</v>
      </c>
      <c r="E179" s="7" t="s">
        <v>26</v>
      </c>
      <c r="F179" s="7" t="s">
        <v>48</v>
      </c>
    </row>
    <row r="180" ht="22.5" customHeight="1">
      <c r="A180" s="7" t="s">
        <v>139</v>
      </c>
      <c r="B180" s="8" t="s">
        <v>273</v>
      </c>
      <c r="C180" s="7" t="s">
        <v>43</v>
      </c>
      <c r="D180" s="7" t="s">
        <v>278</v>
      </c>
      <c r="E180" s="7" t="s">
        <v>26</v>
      </c>
      <c r="F180" s="7" t="s">
        <v>48</v>
      </c>
    </row>
    <row r="181" ht="22.5" customHeight="1">
      <c r="A181" s="7" t="s">
        <v>279</v>
      </c>
      <c r="B181" s="8" t="s">
        <v>280</v>
      </c>
      <c r="C181" s="7" t="s">
        <v>14</v>
      </c>
      <c r="D181" s="7" t="s">
        <v>281</v>
      </c>
      <c r="E181" s="7" t="s">
        <v>16</v>
      </c>
      <c r="F181" s="7" t="s">
        <v>48</v>
      </c>
    </row>
    <row r="182" ht="22.5" customHeight="1">
      <c r="A182" s="7" t="s">
        <v>279</v>
      </c>
      <c r="B182" s="8" t="s">
        <v>280</v>
      </c>
      <c r="C182" s="7" t="s">
        <v>30</v>
      </c>
      <c r="D182" s="7" t="s">
        <v>282</v>
      </c>
      <c r="E182" s="7" t="s">
        <v>26</v>
      </c>
      <c r="F182" s="7" t="s">
        <v>48</v>
      </c>
    </row>
    <row r="183" ht="22.5" customHeight="1">
      <c r="A183" s="7" t="s">
        <v>279</v>
      </c>
      <c r="B183" s="8" t="s">
        <v>280</v>
      </c>
      <c r="C183" s="7" t="s">
        <v>36</v>
      </c>
      <c r="D183" s="7" t="s">
        <v>283</v>
      </c>
      <c r="E183" s="7" t="s">
        <v>26</v>
      </c>
      <c r="F183" s="7" t="s">
        <v>48</v>
      </c>
    </row>
    <row r="184" ht="22.5" customHeight="1">
      <c r="A184" s="7" t="s">
        <v>279</v>
      </c>
      <c r="B184" s="8" t="s">
        <v>280</v>
      </c>
      <c r="C184" s="7" t="s">
        <v>38</v>
      </c>
      <c r="D184" s="7" t="s">
        <v>284</v>
      </c>
      <c r="E184" s="7" t="s">
        <v>26</v>
      </c>
      <c r="F184" s="7" t="s">
        <v>48</v>
      </c>
    </row>
    <row r="185" ht="22.5" customHeight="1">
      <c r="A185" s="7" t="s">
        <v>279</v>
      </c>
      <c r="B185" s="8" t="s">
        <v>280</v>
      </c>
      <c r="C185" s="7" t="s">
        <v>40</v>
      </c>
      <c r="D185" s="7" t="s">
        <v>285</v>
      </c>
      <c r="E185" s="7" t="s">
        <v>26</v>
      </c>
      <c r="F185" s="7" t="s">
        <v>48</v>
      </c>
    </row>
    <row r="186" ht="22.5" customHeight="1">
      <c r="A186" s="7" t="s">
        <v>279</v>
      </c>
      <c r="B186" s="8" t="s">
        <v>280</v>
      </c>
      <c r="C186" s="7" t="s">
        <v>43</v>
      </c>
      <c r="D186" s="7" t="s">
        <v>286</v>
      </c>
      <c r="E186" s="7" t="s">
        <v>26</v>
      </c>
      <c r="F186" s="7" t="s">
        <v>48</v>
      </c>
    </row>
    <row r="187" ht="22.5" customHeight="1">
      <c r="A187" s="7" t="s">
        <v>279</v>
      </c>
      <c r="B187" s="8" t="s">
        <v>280</v>
      </c>
      <c r="C187" s="7" t="s">
        <v>103</v>
      </c>
      <c r="D187" s="7" t="s">
        <v>287</v>
      </c>
      <c r="E187" s="7" t="s">
        <v>105</v>
      </c>
      <c r="F187" s="7" t="s">
        <v>48</v>
      </c>
    </row>
    <row r="188" ht="22.5" customHeight="1">
      <c r="A188" s="7" t="s">
        <v>279</v>
      </c>
      <c r="B188" s="8" t="s">
        <v>280</v>
      </c>
      <c r="C188" s="7" t="s">
        <v>14</v>
      </c>
      <c r="D188" s="7" t="s">
        <v>288</v>
      </c>
      <c r="E188" s="7" t="s">
        <v>76</v>
      </c>
      <c r="F188" s="16" t="s">
        <v>289</v>
      </c>
    </row>
    <row r="189" ht="22.5" customHeight="1">
      <c r="A189" s="7" t="s">
        <v>134</v>
      </c>
      <c r="B189" s="8" t="s">
        <v>290</v>
      </c>
      <c r="C189" s="7" t="s">
        <v>14</v>
      </c>
      <c r="D189" s="7" t="s">
        <v>291</v>
      </c>
      <c r="E189" s="7" t="s">
        <v>16</v>
      </c>
      <c r="F189" s="7" t="s">
        <v>48</v>
      </c>
    </row>
    <row r="190" ht="22.5" customHeight="1">
      <c r="A190" s="7" t="s">
        <v>134</v>
      </c>
      <c r="B190" s="8" t="s">
        <v>290</v>
      </c>
      <c r="C190" s="7" t="s">
        <v>14</v>
      </c>
      <c r="D190" s="7" t="s">
        <v>292</v>
      </c>
      <c r="E190" s="7" t="s">
        <v>16</v>
      </c>
      <c r="F190" s="7" t="s">
        <v>48</v>
      </c>
    </row>
    <row r="191" ht="22.5" customHeight="1">
      <c r="A191" s="7" t="s">
        <v>134</v>
      </c>
      <c r="B191" s="8" t="s">
        <v>290</v>
      </c>
      <c r="C191" s="7" t="s">
        <v>14</v>
      </c>
      <c r="D191" s="7" t="s">
        <v>293</v>
      </c>
      <c r="E191" s="7" t="s">
        <v>16</v>
      </c>
      <c r="F191" s="7" t="s">
        <v>48</v>
      </c>
    </row>
    <row r="192" ht="22.5" customHeight="1">
      <c r="A192" s="7" t="s">
        <v>134</v>
      </c>
      <c r="B192" s="8" t="s">
        <v>290</v>
      </c>
      <c r="C192" s="7" t="s">
        <v>30</v>
      </c>
      <c r="D192" s="7" t="s">
        <v>294</v>
      </c>
      <c r="E192" s="7" t="s">
        <v>16</v>
      </c>
      <c r="F192" s="7" t="s">
        <v>48</v>
      </c>
    </row>
    <row r="193" ht="22.5" customHeight="1">
      <c r="A193" s="7" t="s">
        <v>134</v>
      </c>
      <c r="B193" s="8" t="s">
        <v>290</v>
      </c>
      <c r="C193" s="7" t="s">
        <v>43</v>
      </c>
      <c r="D193" s="7" t="s">
        <v>295</v>
      </c>
      <c r="E193" s="7" t="s">
        <v>26</v>
      </c>
      <c r="F193" s="7" t="s">
        <v>48</v>
      </c>
    </row>
    <row r="194" ht="22.5" customHeight="1">
      <c r="A194" s="7" t="s">
        <v>134</v>
      </c>
      <c r="B194" s="8" t="s">
        <v>290</v>
      </c>
      <c r="C194" s="7" t="s">
        <v>103</v>
      </c>
      <c r="D194" s="7" t="s">
        <v>296</v>
      </c>
      <c r="E194" s="7" t="s">
        <v>105</v>
      </c>
      <c r="F194" s="7" t="s">
        <v>48</v>
      </c>
    </row>
    <row r="195" ht="22.5" customHeight="1">
      <c r="A195" s="7" t="s">
        <v>57</v>
      </c>
      <c r="B195" s="8" t="s">
        <v>297</v>
      </c>
      <c r="C195" s="7" t="s">
        <v>30</v>
      </c>
      <c r="D195" s="7" t="s">
        <v>298</v>
      </c>
      <c r="E195" s="7" t="s">
        <v>16</v>
      </c>
      <c r="F195" s="7" t="s">
        <v>48</v>
      </c>
    </row>
    <row r="196" ht="22.5" customHeight="1">
      <c r="A196" s="7" t="s">
        <v>57</v>
      </c>
      <c r="B196" s="8" t="s">
        <v>297</v>
      </c>
      <c r="C196" s="7" t="s">
        <v>30</v>
      </c>
      <c r="D196" s="7" t="s">
        <v>299</v>
      </c>
      <c r="E196" s="7" t="s">
        <v>16</v>
      </c>
      <c r="F196" s="7" t="s">
        <v>48</v>
      </c>
    </row>
    <row r="197" ht="22.5" customHeight="1">
      <c r="A197" s="7" t="s">
        <v>57</v>
      </c>
      <c r="B197" s="8" t="s">
        <v>297</v>
      </c>
      <c r="C197" s="7" t="s">
        <v>30</v>
      </c>
      <c r="D197" s="7" t="s">
        <v>300</v>
      </c>
      <c r="E197" s="7" t="s">
        <v>76</v>
      </c>
      <c r="F197" s="16" t="s">
        <v>301</v>
      </c>
    </row>
    <row r="198" ht="22.5" customHeight="1">
      <c r="A198" s="7" t="s">
        <v>12</v>
      </c>
      <c r="B198" s="8" t="s">
        <v>302</v>
      </c>
      <c r="C198" s="7" t="s">
        <v>14</v>
      </c>
      <c r="D198" s="7" t="s">
        <v>303</v>
      </c>
      <c r="E198" s="7" t="s">
        <v>26</v>
      </c>
      <c r="F198" s="7" t="s">
        <v>48</v>
      </c>
    </row>
    <row r="199" ht="22.5" customHeight="1">
      <c r="A199" s="7" t="s">
        <v>12</v>
      </c>
      <c r="B199" s="8" t="s">
        <v>302</v>
      </c>
      <c r="C199" s="7" t="s">
        <v>43</v>
      </c>
      <c r="D199" s="7" t="s">
        <v>304</v>
      </c>
      <c r="E199" s="7" t="s">
        <v>26</v>
      </c>
      <c r="F199" s="7" t="s">
        <v>48</v>
      </c>
    </row>
    <row r="200" ht="22.5" customHeight="1">
      <c r="A200" s="7" t="s">
        <v>12</v>
      </c>
      <c r="B200" s="8" t="s">
        <v>302</v>
      </c>
      <c r="C200" s="7" t="s">
        <v>43</v>
      </c>
      <c r="D200" s="7" t="s">
        <v>305</v>
      </c>
      <c r="E200" s="7" t="s">
        <v>26</v>
      </c>
      <c r="F200" s="7" t="s">
        <v>48</v>
      </c>
    </row>
    <row r="201" ht="22.5" customHeight="1">
      <c r="A201" s="7" t="s">
        <v>134</v>
      </c>
      <c r="B201" s="8" t="s">
        <v>306</v>
      </c>
      <c r="C201" s="7" t="s">
        <v>14</v>
      </c>
      <c r="D201" s="7" t="s">
        <v>307</v>
      </c>
      <c r="E201" s="7" t="s">
        <v>16</v>
      </c>
      <c r="F201" s="7" t="s">
        <v>18</v>
      </c>
    </row>
    <row r="202" ht="22.5" customHeight="1">
      <c r="A202" s="7" t="s">
        <v>134</v>
      </c>
      <c r="B202" s="8" t="s">
        <v>306</v>
      </c>
      <c r="C202" s="7" t="s">
        <v>14</v>
      </c>
      <c r="D202" s="7" t="s">
        <v>308</v>
      </c>
      <c r="E202" s="7" t="s">
        <v>26</v>
      </c>
      <c r="F202" s="7" t="s">
        <v>48</v>
      </c>
    </row>
    <row r="203" ht="22.5" customHeight="1">
      <c r="A203" s="7" t="s">
        <v>134</v>
      </c>
      <c r="B203" s="8" t="s">
        <v>306</v>
      </c>
      <c r="C203" s="7" t="s">
        <v>30</v>
      </c>
      <c r="D203" s="7" t="s">
        <v>309</v>
      </c>
      <c r="E203" s="7" t="s">
        <v>16</v>
      </c>
      <c r="F203" s="7" t="s">
        <v>16</v>
      </c>
    </row>
    <row r="204" ht="22.5" customHeight="1">
      <c r="A204" s="7" t="s">
        <v>134</v>
      </c>
      <c r="B204" s="8" t="s">
        <v>306</v>
      </c>
      <c r="C204" s="7" t="s">
        <v>36</v>
      </c>
      <c r="D204" s="7" t="s">
        <v>310</v>
      </c>
      <c r="E204" s="7" t="s">
        <v>16</v>
      </c>
      <c r="F204" s="7" t="s">
        <v>16</v>
      </c>
    </row>
    <row r="205" ht="22.5" customHeight="1">
      <c r="A205" s="7" t="s">
        <v>134</v>
      </c>
      <c r="B205" s="8" t="s">
        <v>306</v>
      </c>
      <c r="C205" s="7" t="s">
        <v>38</v>
      </c>
      <c r="D205" s="7" t="s">
        <v>311</v>
      </c>
      <c r="E205" s="7" t="s">
        <v>16</v>
      </c>
      <c r="F205" s="7" t="s">
        <v>16</v>
      </c>
    </row>
    <row r="206" ht="22.5" customHeight="1">
      <c r="A206" s="7" t="s">
        <v>134</v>
      </c>
      <c r="B206" s="8" t="s">
        <v>306</v>
      </c>
      <c r="C206" s="7" t="s">
        <v>40</v>
      </c>
      <c r="D206" s="7" t="s">
        <v>312</v>
      </c>
      <c r="E206" s="7" t="s">
        <v>16</v>
      </c>
      <c r="F206" s="7" t="s">
        <v>16</v>
      </c>
    </row>
    <row r="207" ht="22.5" customHeight="1">
      <c r="A207" s="7" t="s">
        <v>134</v>
      </c>
      <c r="B207" s="8" t="s">
        <v>306</v>
      </c>
      <c r="C207" s="7" t="s">
        <v>43</v>
      </c>
      <c r="D207" s="7" t="s">
        <v>313</v>
      </c>
      <c r="E207" s="7" t="s">
        <v>16</v>
      </c>
      <c r="F207" s="7" t="s">
        <v>16</v>
      </c>
    </row>
    <row r="208" ht="22.5" customHeight="1">
      <c r="A208" s="7" t="s">
        <v>134</v>
      </c>
      <c r="B208" s="8" t="s">
        <v>306</v>
      </c>
      <c r="C208" s="7" t="s">
        <v>43</v>
      </c>
      <c r="D208" s="7" t="s">
        <v>314</v>
      </c>
      <c r="E208" s="7" t="s">
        <v>26</v>
      </c>
      <c r="F208" s="7" t="s">
        <v>48</v>
      </c>
    </row>
    <row r="209" ht="22.5" customHeight="1">
      <c r="A209" s="7" t="s">
        <v>134</v>
      </c>
      <c r="B209" s="8" t="s">
        <v>306</v>
      </c>
      <c r="C209" s="7" t="s">
        <v>103</v>
      </c>
      <c r="D209" s="7" t="s">
        <v>315</v>
      </c>
      <c r="E209" s="7" t="s">
        <v>105</v>
      </c>
      <c r="F209" s="7" t="s">
        <v>48</v>
      </c>
    </row>
    <row r="210" ht="22.5" customHeight="1">
      <c r="A210" s="7" t="s">
        <v>50</v>
      </c>
      <c r="B210" s="8" t="s">
        <v>316</v>
      </c>
      <c r="C210" s="7" t="s">
        <v>14</v>
      </c>
      <c r="D210" s="7" t="s">
        <v>317</v>
      </c>
      <c r="E210" s="7" t="s">
        <v>16</v>
      </c>
      <c r="F210" s="7" t="s">
        <v>18</v>
      </c>
    </row>
    <row r="211" ht="22.5" customHeight="1">
      <c r="A211" s="7" t="s">
        <v>50</v>
      </c>
      <c r="B211" s="8" t="s">
        <v>316</v>
      </c>
      <c r="C211" s="7" t="s">
        <v>14</v>
      </c>
      <c r="D211" s="7" t="s">
        <v>318</v>
      </c>
      <c r="E211" s="7" t="s">
        <v>16</v>
      </c>
      <c r="F211" s="7" t="s">
        <v>20</v>
      </c>
    </row>
    <row r="212" ht="22.5" customHeight="1">
      <c r="A212" s="7" t="s">
        <v>50</v>
      </c>
      <c r="B212" s="8" t="s">
        <v>316</v>
      </c>
      <c r="C212" s="7" t="s">
        <v>14</v>
      </c>
      <c r="D212" s="7" t="s">
        <v>319</v>
      </c>
      <c r="E212" s="7" t="s">
        <v>16</v>
      </c>
      <c r="F212" s="7" t="s">
        <v>22</v>
      </c>
    </row>
    <row r="213" ht="22.5" customHeight="1">
      <c r="A213" s="7" t="s">
        <v>50</v>
      </c>
      <c r="B213" s="8" t="s">
        <v>316</v>
      </c>
      <c r="C213" s="7" t="s">
        <v>14</v>
      </c>
      <c r="D213" s="7" t="s">
        <v>320</v>
      </c>
      <c r="E213" s="7" t="s">
        <v>16</v>
      </c>
      <c r="F213" s="7" t="s">
        <v>24</v>
      </c>
    </row>
    <row r="214" ht="22.5" customHeight="1">
      <c r="A214" s="7" t="s">
        <v>50</v>
      </c>
      <c r="B214" s="8" t="s">
        <v>316</v>
      </c>
      <c r="C214" s="7" t="s">
        <v>14</v>
      </c>
      <c r="D214" s="7" t="s">
        <v>321</v>
      </c>
      <c r="E214" s="7" t="s">
        <v>26</v>
      </c>
      <c r="F214" s="7" t="s">
        <v>16</v>
      </c>
    </row>
    <row r="215" ht="22.5" customHeight="1">
      <c r="A215" s="7" t="s">
        <v>50</v>
      </c>
      <c r="B215" s="8" t="s">
        <v>316</v>
      </c>
      <c r="C215" s="7" t="s">
        <v>14</v>
      </c>
      <c r="D215" s="7" t="s">
        <v>322</v>
      </c>
      <c r="E215" s="7" t="s">
        <v>26</v>
      </c>
      <c r="F215" s="7" t="s">
        <v>18</v>
      </c>
    </row>
    <row r="216" ht="22.5" customHeight="1">
      <c r="A216" s="7" t="s">
        <v>50</v>
      </c>
      <c r="B216" s="8" t="s">
        <v>316</v>
      </c>
      <c r="C216" s="7" t="s">
        <v>14</v>
      </c>
      <c r="D216" s="7" t="s">
        <v>323</v>
      </c>
      <c r="E216" s="7" t="s">
        <v>26</v>
      </c>
      <c r="F216" s="7" t="s">
        <v>20</v>
      </c>
    </row>
    <row r="217" ht="22.5" customHeight="1">
      <c r="A217" s="7" t="s">
        <v>50</v>
      </c>
      <c r="B217" s="8" t="s">
        <v>316</v>
      </c>
      <c r="C217" s="7" t="s">
        <v>14</v>
      </c>
      <c r="D217" s="7" t="s">
        <v>324</v>
      </c>
      <c r="E217" s="7" t="s">
        <v>26</v>
      </c>
      <c r="F217" s="7" t="s">
        <v>22</v>
      </c>
    </row>
    <row r="218" ht="22.5" customHeight="1">
      <c r="A218" s="7" t="s">
        <v>50</v>
      </c>
      <c r="B218" s="8" t="s">
        <v>316</v>
      </c>
      <c r="C218" s="7" t="s">
        <v>14</v>
      </c>
      <c r="D218" s="7" t="s">
        <v>325</v>
      </c>
      <c r="E218" s="7" t="s">
        <v>26</v>
      </c>
      <c r="F218" s="7" t="s">
        <v>24</v>
      </c>
    </row>
    <row r="219" ht="22.5" customHeight="1">
      <c r="A219" s="7" t="s">
        <v>50</v>
      </c>
      <c r="B219" s="8" t="s">
        <v>316</v>
      </c>
      <c r="C219" s="7" t="s">
        <v>30</v>
      </c>
      <c r="D219" s="7" t="s">
        <v>326</v>
      </c>
      <c r="E219" s="7" t="s">
        <v>16</v>
      </c>
      <c r="F219" s="7" t="s">
        <v>16</v>
      </c>
    </row>
    <row r="220" ht="22.5" customHeight="1">
      <c r="A220" s="7" t="s">
        <v>50</v>
      </c>
      <c r="B220" s="8" t="s">
        <v>316</v>
      </c>
      <c r="C220" s="7" t="s">
        <v>30</v>
      </c>
      <c r="D220" s="7" t="s">
        <v>327</v>
      </c>
      <c r="E220" s="7" t="s">
        <v>16</v>
      </c>
      <c r="F220" s="7" t="s">
        <v>70</v>
      </c>
    </row>
    <row r="221" ht="22.5" customHeight="1">
      <c r="A221" s="7" t="s">
        <v>50</v>
      </c>
      <c r="B221" s="8" t="s">
        <v>316</v>
      </c>
      <c r="C221" s="7" t="s">
        <v>30</v>
      </c>
      <c r="D221" s="7" t="s">
        <v>328</v>
      </c>
      <c r="E221" s="7" t="s">
        <v>26</v>
      </c>
      <c r="F221" s="7" t="s">
        <v>16</v>
      </c>
    </row>
    <row r="222" ht="22.5" customHeight="1">
      <c r="A222" s="7" t="s">
        <v>50</v>
      </c>
      <c r="B222" s="8" t="s">
        <v>316</v>
      </c>
      <c r="C222" s="7" t="s">
        <v>30</v>
      </c>
      <c r="D222" s="7" t="s">
        <v>329</v>
      </c>
      <c r="E222" s="7" t="s">
        <v>26</v>
      </c>
      <c r="F222" s="7" t="s">
        <v>16</v>
      </c>
    </row>
    <row r="223" ht="22.5" customHeight="1">
      <c r="A223" s="7" t="s">
        <v>50</v>
      </c>
      <c r="B223" s="8" t="s">
        <v>316</v>
      </c>
      <c r="C223" s="7" t="s">
        <v>30</v>
      </c>
      <c r="D223" s="7" t="s">
        <v>330</v>
      </c>
      <c r="E223" s="7" t="s">
        <v>26</v>
      </c>
      <c r="F223" s="7" t="s">
        <v>16</v>
      </c>
    </row>
    <row r="224" ht="22.5" customHeight="1">
      <c r="A224" s="7" t="s">
        <v>50</v>
      </c>
      <c r="B224" s="8" t="s">
        <v>316</v>
      </c>
      <c r="C224" s="7" t="s">
        <v>30</v>
      </c>
      <c r="D224" s="7" t="s">
        <v>331</v>
      </c>
      <c r="E224" s="7" t="s">
        <v>26</v>
      </c>
      <c r="F224" s="7" t="s">
        <v>16</v>
      </c>
    </row>
    <row r="225" ht="22.5" customHeight="1">
      <c r="A225" s="7" t="s">
        <v>50</v>
      </c>
      <c r="B225" s="8" t="s">
        <v>316</v>
      </c>
      <c r="C225" s="7" t="s">
        <v>30</v>
      </c>
      <c r="D225" s="7" t="s">
        <v>332</v>
      </c>
      <c r="E225" s="7" t="s">
        <v>26</v>
      </c>
      <c r="F225" s="7" t="s">
        <v>18</v>
      </c>
    </row>
    <row r="226" ht="22.5" customHeight="1">
      <c r="A226" s="7" t="s">
        <v>50</v>
      </c>
      <c r="B226" s="8" t="s">
        <v>316</v>
      </c>
      <c r="C226" s="7" t="s">
        <v>30</v>
      </c>
      <c r="D226" s="7" t="s">
        <v>333</v>
      </c>
      <c r="E226" s="7" t="s">
        <v>26</v>
      </c>
      <c r="F226" s="7" t="s">
        <v>20</v>
      </c>
    </row>
    <row r="227" ht="22.5" customHeight="1">
      <c r="A227" s="7" t="s">
        <v>50</v>
      </c>
      <c r="B227" s="8" t="s">
        <v>316</v>
      </c>
      <c r="C227" s="7" t="s">
        <v>30</v>
      </c>
      <c r="D227" s="7" t="s">
        <v>334</v>
      </c>
      <c r="E227" s="7" t="s">
        <v>26</v>
      </c>
      <c r="F227" s="7" t="s">
        <v>22</v>
      </c>
    </row>
    <row r="228" ht="22.5" customHeight="1">
      <c r="A228" s="7" t="s">
        <v>50</v>
      </c>
      <c r="B228" s="8" t="s">
        <v>316</v>
      </c>
      <c r="C228" s="7" t="s">
        <v>30</v>
      </c>
      <c r="D228" s="7" t="s">
        <v>335</v>
      </c>
      <c r="E228" s="7" t="s">
        <v>26</v>
      </c>
      <c r="F228" s="7" t="s">
        <v>24</v>
      </c>
    </row>
    <row r="229" ht="22.5" customHeight="1">
      <c r="A229" s="7" t="s">
        <v>50</v>
      </c>
      <c r="B229" s="8" t="s">
        <v>316</v>
      </c>
      <c r="C229" s="7" t="s">
        <v>36</v>
      </c>
      <c r="D229" s="7" t="s">
        <v>336</v>
      </c>
      <c r="E229" s="7" t="s">
        <v>16</v>
      </c>
      <c r="F229" s="7" t="s">
        <v>16</v>
      </c>
    </row>
    <row r="230" ht="22.5" customHeight="1">
      <c r="A230" s="7" t="s">
        <v>50</v>
      </c>
      <c r="B230" s="8" t="s">
        <v>316</v>
      </c>
      <c r="C230" s="7" t="s">
        <v>38</v>
      </c>
      <c r="D230" s="7" t="s">
        <v>337</v>
      </c>
      <c r="E230" s="7" t="s">
        <v>16</v>
      </c>
      <c r="F230" s="7" t="s">
        <v>16</v>
      </c>
    </row>
    <row r="231" ht="22.5" customHeight="1">
      <c r="A231" s="7" t="s">
        <v>50</v>
      </c>
      <c r="B231" s="8" t="s">
        <v>316</v>
      </c>
      <c r="C231" s="7" t="s">
        <v>40</v>
      </c>
      <c r="D231" s="7" t="s">
        <v>338</v>
      </c>
      <c r="E231" s="7" t="s">
        <v>16</v>
      </c>
      <c r="F231" s="7" t="s">
        <v>16</v>
      </c>
    </row>
    <row r="232" ht="22.5" customHeight="1">
      <c r="A232" s="7" t="s">
        <v>50</v>
      </c>
      <c r="B232" s="8" t="s">
        <v>316</v>
      </c>
      <c r="C232" s="7" t="s">
        <v>43</v>
      </c>
      <c r="D232" s="7" t="s">
        <v>339</v>
      </c>
      <c r="E232" s="7" t="s">
        <v>16</v>
      </c>
      <c r="F232" s="7" t="s">
        <v>16</v>
      </c>
    </row>
    <row r="233" ht="22.5" customHeight="1">
      <c r="A233" s="7" t="s">
        <v>340</v>
      </c>
      <c r="B233" s="8" t="s">
        <v>341</v>
      </c>
      <c r="C233" s="7" t="s">
        <v>14</v>
      </c>
      <c r="D233" s="7" t="s">
        <v>342</v>
      </c>
      <c r="E233" s="7" t="s">
        <v>155</v>
      </c>
      <c r="F233" s="7" t="s">
        <v>18</v>
      </c>
    </row>
    <row r="234" ht="22.5" customHeight="1">
      <c r="A234" s="7" t="s">
        <v>340</v>
      </c>
      <c r="B234" s="8" t="s">
        <v>341</v>
      </c>
      <c r="C234" s="7" t="s">
        <v>14</v>
      </c>
      <c r="D234" s="7" t="s">
        <v>343</v>
      </c>
      <c r="E234" s="7" t="s">
        <v>155</v>
      </c>
      <c r="F234" s="7" t="s">
        <v>20</v>
      </c>
    </row>
    <row r="235" ht="22.5" customHeight="1">
      <c r="A235" s="7" t="s">
        <v>340</v>
      </c>
      <c r="B235" s="8" t="s">
        <v>341</v>
      </c>
      <c r="C235" s="7" t="s">
        <v>14</v>
      </c>
      <c r="D235" s="7" t="s">
        <v>344</v>
      </c>
      <c r="E235" s="7" t="s">
        <v>155</v>
      </c>
      <c r="F235" s="7" t="s">
        <v>22</v>
      </c>
    </row>
    <row r="236" ht="22.5" customHeight="1">
      <c r="A236" s="7" t="s">
        <v>340</v>
      </c>
      <c r="B236" s="8" t="s">
        <v>341</v>
      </c>
      <c r="C236" s="7" t="s">
        <v>14</v>
      </c>
      <c r="D236" s="7" t="s">
        <v>345</v>
      </c>
      <c r="E236" s="7" t="s">
        <v>155</v>
      </c>
      <c r="F236" s="7" t="s">
        <v>24</v>
      </c>
    </row>
    <row r="237" ht="22.5" customHeight="1">
      <c r="A237" s="7" t="s">
        <v>340</v>
      </c>
      <c r="B237" s="8" t="s">
        <v>341</v>
      </c>
      <c r="C237" s="7" t="s">
        <v>30</v>
      </c>
      <c r="D237" s="7" t="s">
        <v>346</v>
      </c>
      <c r="E237" s="7" t="s">
        <v>155</v>
      </c>
      <c r="F237" s="7" t="s">
        <v>16</v>
      </c>
    </row>
    <row r="238" ht="22.5" customHeight="1">
      <c r="A238" s="7" t="s">
        <v>340</v>
      </c>
      <c r="B238" s="8" t="s">
        <v>341</v>
      </c>
      <c r="C238" s="7" t="s">
        <v>36</v>
      </c>
      <c r="D238" s="7" t="s">
        <v>347</v>
      </c>
      <c r="E238" s="7" t="s">
        <v>155</v>
      </c>
      <c r="F238" s="7" t="s">
        <v>16</v>
      </c>
    </row>
    <row r="239" ht="22.5" customHeight="1">
      <c r="A239" s="7" t="s">
        <v>340</v>
      </c>
      <c r="B239" s="8" t="s">
        <v>341</v>
      </c>
      <c r="C239" s="7" t="s">
        <v>38</v>
      </c>
      <c r="D239" s="7" t="s">
        <v>348</v>
      </c>
      <c r="E239" s="7" t="s">
        <v>155</v>
      </c>
      <c r="F239" s="7" t="s">
        <v>16</v>
      </c>
    </row>
    <row r="240" ht="22.5" customHeight="1">
      <c r="A240" s="7" t="s">
        <v>340</v>
      </c>
      <c r="B240" s="8" t="s">
        <v>341</v>
      </c>
      <c r="C240" s="7" t="s">
        <v>40</v>
      </c>
      <c r="D240" s="7" t="s">
        <v>349</v>
      </c>
      <c r="E240" s="7" t="s">
        <v>155</v>
      </c>
      <c r="F240" s="7" t="s">
        <v>16</v>
      </c>
    </row>
    <row r="241" ht="22.5" customHeight="1">
      <c r="A241" s="7" t="s">
        <v>340</v>
      </c>
      <c r="B241" s="8" t="s">
        <v>341</v>
      </c>
      <c r="C241" s="7" t="s">
        <v>40</v>
      </c>
      <c r="D241" s="7" t="s">
        <v>350</v>
      </c>
      <c r="E241" s="7" t="s">
        <v>26</v>
      </c>
      <c r="F241" s="7" t="s">
        <v>16</v>
      </c>
    </row>
    <row r="242" ht="22.5" customHeight="1">
      <c r="A242" s="7" t="s">
        <v>340</v>
      </c>
      <c r="B242" s="8" t="s">
        <v>341</v>
      </c>
      <c r="C242" s="7" t="s">
        <v>43</v>
      </c>
      <c r="D242" s="7" t="s">
        <v>351</v>
      </c>
      <c r="E242" s="7" t="s">
        <v>155</v>
      </c>
      <c r="F242" s="7" t="s">
        <v>16</v>
      </c>
    </row>
    <row r="243" ht="22.5" customHeight="1">
      <c r="A243" s="7" t="s">
        <v>340</v>
      </c>
      <c r="B243" s="8" t="s">
        <v>352</v>
      </c>
      <c r="C243" s="7" t="s">
        <v>14</v>
      </c>
      <c r="D243" s="7" t="s">
        <v>353</v>
      </c>
      <c r="E243" s="7" t="s">
        <v>155</v>
      </c>
      <c r="F243" s="7" t="s">
        <v>48</v>
      </c>
    </row>
    <row r="244" ht="22.5" customHeight="1">
      <c r="A244" s="7" t="s">
        <v>340</v>
      </c>
      <c r="B244" s="8" t="s">
        <v>352</v>
      </c>
      <c r="C244" s="7" t="s">
        <v>103</v>
      </c>
      <c r="D244" s="7" t="s">
        <v>354</v>
      </c>
      <c r="E244" s="7" t="s">
        <v>105</v>
      </c>
      <c r="F244" s="7" t="s">
        <v>48</v>
      </c>
    </row>
    <row r="245" ht="22.5" customHeight="1">
      <c r="A245" s="7" t="s">
        <v>200</v>
      </c>
      <c r="B245" s="8" t="s">
        <v>355</v>
      </c>
      <c r="C245" s="7" t="s">
        <v>14</v>
      </c>
      <c r="D245" s="7" t="s">
        <v>356</v>
      </c>
      <c r="E245" s="7" t="s">
        <v>16</v>
      </c>
      <c r="F245" s="7" t="s">
        <v>16</v>
      </c>
    </row>
    <row r="246" ht="22.5" customHeight="1">
      <c r="A246" s="7" t="s">
        <v>200</v>
      </c>
      <c r="B246" s="8" t="s">
        <v>355</v>
      </c>
      <c r="C246" s="7" t="s">
        <v>14</v>
      </c>
      <c r="D246" s="7" t="s">
        <v>357</v>
      </c>
      <c r="E246" s="7" t="s">
        <v>16</v>
      </c>
      <c r="F246" s="7" t="s">
        <v>18</v>
      </c>
    </row>
    <row r="247" ht="22.5" customHeight="1">
      <c r="A247" s="7" t="s">
        <v>200</v>
      </c>
      <c r="B247" s="8" t="s">
        <v>355</v>
      </c>
      <c r="C247" s="7" t="s">
        <v>14</v>
      </c>
      <c r="D247" s="7" t="s">
        <v>358</v>
      </c>
      <c r="E247" s="7" t="s">
        <v>16</v>
      </c>
      <c r="F247" s="7" t="s">
        <v>20</v>
      </c>
    </row>
    <row r="248" ht="22.5" customHeight="1">
      <c r="A248" s="7" t="s">
        <v>200</v>
      </c>
      <c r="B248" s="8" t="s">
        <v>355</v>
      </c>
      <c r="C248" s="7" t="s">
        <v>14</v>
      </c>
      <c r="D248" s="7" t="s">
        <v>359</v>
      </c>
      <c r="E248" s="7" t="s">
        <v>16</v>
      </c>
      <c r="F248" s="7" t="s">
        <v>22</v>
      </c>
    </row>
    <row r="249" ht="22.5" customHeight="1">
      <c r="A249" s="7" t="s">
        <v>200</v>
      </c>
      <c r="B249" s="8" t="s">
        <v>355</v>
      </c>
      <c r="C249" s="7" t="s">
        <v>14</v>
      </c>
      <c r="D249" s="7" t="s">
        <v>360</v>
      </c>
      <c r="E249" s="7" t="s">
        <v>16</v>
      </c>
      <c r="F249" s="7" t="s">
        <v>24</v>
      </c>
    </row>
    <row r="250" ht="22.5" customHeight="1">
      <c r="A250" s="7" t="s">
        <v>200</v>
      </c>
      <c r="B250" s="8" t="s">
        <v>355</v>
      </c>
      <c r="C250" s="7" t="s">
        <v>14</v>
      </c>
      <c r="D250" s="7" t="s">
        <v>361</v>
      </c>
      <c r="E250" s="7" t="s">
        <v>26</v>
      </c>
      <c r="F250" s="7" t="s">
        <v>16</v>
      </c>
    </row>
    <row r="251" ht="22.5" customHeight="1">
      <c r="A251" s="7" t="s">
        <v>200</v>
      </c>
      <c r="B251" s="8" t="s">
        <v>355</v>
      </c>
      <c r="C251" s="7" t="s">
        <v>14</v>
      </c>
      <c r="D251" s="7" t="s">
        <v>362</v>
      </c>
      <c r="E251" s="7" t="s">
        <v>26</v>
      </c>
      <c r="F251" s="7" t="s">
        <v>70</v>
      </c>
    </row>
    <row r="252" ht="22.5" customHeight="1">
      <c r="A252" s="7" t="s">
        <v>200</v>
      </c>
      <c r="B252" s="8" t="s">
        <v>355</v>
      </c>
      <c r="C252" s="7" t="s">
        <v>14</v>
      </c>
      <c r="D252" s="7" t="s">
        <v>363</v>
      </c>
      <c r="E252" s="7" t="s">
        <v>26</v>
      </c>
      <c r="F252" s="7" t="s">
        <v>70</v>
      </c>
    </row>
    <row r="253" ht="22.5" customHeight="1">
      <c r="A253" s="7" t="s">
        <v>200</v>
      </c>
      <c r="B253" s="8" t="s">
        <v>355</v>
      </c>
      <c r="C253" s="7" t="s">
        <v>30</v>
      </c>
      <c r="D253" s="7" t="s">
        <v>364</v>
      </c>
      <c r="E253" s="7" t="s">
        <v>16</v>
      </c>
      <c r="F253" s="7" t="s">
        <v>16</v>
      </c>
    </row>
    <row r="254" ht="22.5" customHeight="1">
      <c r="A254" s="7" t="s">
        <v>200</v>
      </c>
      <c r="B254" s="8" t="s">
        <v>355</v>
      </c>
      <c r="C254" s="7" t="s">
        <v>30</v>
      </c>
      <c r="D254" s="7" t="s">
        <v>365</v>
      </c>
      <c r="E254" s="7" t="s">
        <v>26</v>
      </c>
      <c r="F254" s="7" t="s">
        <v>16</v>
      </c>
    </row>
    <row r="255" ht="22.5" customHeight="1">
      <c r="A255" s="7" t="s">
        <v>200</v>
      </c>
      <c r="B255" s="8" t="s">
        <v>355</v>
      </c>
      <c r="C255" s="7" t="s">
        <v>30</v>
      </c>
      <c r="D255" s="7" t="s">
        <v>366</v>
      </c>
      <c r="E255" s="7" t="s">
        <v>26</v>
      </c>
      <c r="F255" s="7" t="s">
        <v>16</v>
      </c>
    </row>
    <row r="256" ht="22.5" customHeight="1">
      <c r="A256" s="7" t="s">
        <v>200</v>
      </c>
      <c r="B256" s="8" t="s">
        <v>355</v>
      </c>
      <c r="C256" s="7" t="s">
        <v>30</v>
      </c>
      <c r="D256" s="7" t="s">
        <v>367</v>
      </c>
      <c r="E256" s="7" t="s">
        <v>26</v>
      </c>
      <c r="F256" s="7" t="s">
        <v>16</v>
      </c>
    </row>
    <row r="257" ht="22.5" customHeight="1">
      <c r="A257" s="7" t="s">
        <v>200</v>
      </c>
      <c r="B257" s="8" t="s">
        <v>355</v>
      </c>
      <c r="C257" s="7" t="s">
        <v>30</v>
      </c>
      <c r="D257" s="7" t="s">
        <v>368</v>
      </c>
      <c r="E257" s="7" t="s">
        <v>26</v>
      </c>
      <c r="F257" s="7" t="s">
        <v>16</v>
      </c>
    </row>
    <row r="258" ht="22.5" customHeight="1">
      <c r="A258" s="7" t="s">
        <v>200</v>
      </c>
      <c r="B258" s="8" t="s">
        <v>355</v>
      </c>
      <c r="C258" s="7" t="s">
        <v>30</v>
      </c>
      <c r="D258" s="7" t="s">
        <v>369</v>
      </c>
      <c r="E258" s="7" t="s">
        <v>26</v>
      </c>
      <c r="F258" s="7" t="s">
        <v>16</v>
      </c>
    </row>
    <row r="259" ht="22.5" customHeight="1">
      <c r="A259" s="7" t="s">
        <v>200</v>
      </c>
      <c r="B259" s="8" t="s">
        <v>355</v>
      </c>
      <c r="C259" s="7" t="s">
        <v>36</v>
      </c>
      <c r="D259" s="7" t="s">
        <v>370</v>
      </c>
      <c r="E259" s="7" t="s">
        <v>16</v>
      </c>
      <c r="F259" s="7" t="s">
        <v>16</v>
      </c>
    </row>
    <row r="260" ht="22.5" customHeight="1">
      <c r="A260" s="7" t="s">
        <v>200</v>
      </c>
      <c r="B260" s="8" t="s">
        <v>355</v>
      </c>
      <c r="C260" s="7" t="s">
        <v>36</v>
      </c>
      <c r="D260" s="7" t="s">
        <v>371</v>
      </c>
      <c r="E260" s="7" t="s">
        <v>105</v>
      </c>
      <c r="F260" s="7" t="s">
        <v>16</v>
      </c>
    </row>
    <row r="261" ht="22.5" customHeight="1">
      <c r="A261" s="7" t="s">
        <v>200</v>
      </c>
      <c r="B261" s="8" t="s">
        <v>355</v>
      </c>
      <c r="C261" s="7" t="s">
        <v>38</v>
      </c>
      <c r="D261" s="7" t="s">
        <v>372</v>
      </c>
      <c r="E261" s="7" t="s">
        <v>16</v>
      </c>
      <c r="F261" s="7" t="s">
        <v>16</v>
      </c>
    </row>
    <row r="262" ht="22.5" customHeight="1">
      <c r="A262" s="7" t="s">
        <v>200</v>
      </c>
      <c r="B262" s="8" t="s">
        <v>355</v>
      </c>
      <c r="C262" s="7" t="s">
        <v>38</v>
      </c>
      <c r="D262" s="7" t="s">
        <v>373</v>
      </c>
      <c r="E262" s="7" t="s">
        <v>26</v>
      </c>
      <c r="F262" s="7" t="s">
        <v>16</v>
      </c>
    </row>
    <row r="263" ht="22.5" customHeight="1">
      <c r="A263" s="7" t="s">
        <v>200</v>
      </c>
      <c r="B263" s="8" t="s">
        <v>355</v>
      </c>
      <c r="C263" s="7" t="s">
        <v>40</v>
      </c>
      <c r="D263" s="7" t="s">
        <v>374</v>
      </c>
      <c r="E263" s="7" t="s">
        <v>16</v>
      </c>
      <c r="F263" s="7" t="s">
        <v>16</v>
      </c>
    </row>
    <row r="264" ht="22.5" customHeight="1">
      <c r="A264" s="7" t="s">
        <v>200</v>
      </c>
      <c r="B264" s="8" t="s">
        <v>355</v>
      </c>
      <c r="C264" s="7" t="s">
        <v>40</v>
      </c>
      <c r="D264" s="7" t="s">
        <v>375</v>
      </c>
      <c r="E264" s="7" t="s">
        <v>26</v>
      </c>
      <c r="F264" s="7" t="s">
        <v>16</v>
      </c>
    </row>
    <row r="265" ht="22.5" customHeight="1">
      <c r="A265" s="7" t="s">
        <v>200</v>
      </c>
      <c r="B265" s="8" t="s">
        <v>355</v>
      </c>
      <c r="C265" s="7" t="s">
        <v>43</v>
      </c>
      <c r="D265" s="7" t="s">
        <v>376</v>
      </c>
      <c r="E265" s="7" t="s">
        <v>16</v>
      </c>
      <c r="F265" s="7" t="s">
        <v>16</v>
      </c>
    </row>
    <row r="266" ht="22.5" customHeight="1">
      <c r="A266" s="7" t="s">
        <v>377</v>
      </c>
      <c r="B266" s="8" t="s">
        <v>378</v>
      </c>
      <c r="C266" s="7" t="s">
        <v>30</v>
      </c>
      <c r="D266" s="7" t="s">
        <v>379</v>
      </c>
      <c r="E266" s="7" t="s">
        <v>16</v>
      </c>
      <c r="F266" s="7" t="s">
        <v>16</v>
      </c>
    </row>
    <row r="267" ht="22.5" customHeight="1">
      <c r="A267" s="7" t="s">
        <v>377</v>
      </c>
      <c r="B267" s="8" t="s">
        <v>378</v>
      </c>
      <c r="C267" s="7" t="s">
        <v>30</v>
      </c>
      <c r="D267" s="7" t="s">
        <v>380</v>
      </c>
      <c r="E267" s="7" t="s">
        <v>16</v>
      </c>
      <c r="F267" s="7" t="s">
        <v>16</v>
      </c>
    </row>
    <row r="268" ht="22.5" customHeight="1">
      <c r="A268" s="7" t="s">
        <v>377</v>
      </c>
      <c r="B268" s="8" t="s">
        <v>378</v>
      </c>
      <c r="C268" s="7" t="s">
        <v>30</v>
      </c>
      <c r="D268" s="7" t="s">
        <v>381</v>
      </c>
      <c r="E268" s="7" t="s">
        <v>16</v>
      </c>
      <c r="F268" s="7" t="s">
        <v>18</v>
      </c>
    </row>
    <row r="269" ht="22.5" customHeight="1">
      <c r="A269" s="7" t="s">
        <v>377</v>
      </c>
      <c r="B269" s="8" t="s">
        <v>378</v>
      </c>
      <c r="C269" s="7" t="s">
        <v>30</v>
      </c>
      <c r="D269" s="7" t="s">
        <v>382</v>
      </c>
      <c r="E269" s="7" t="s">
        <v>16</v>
      </c>
      <c r="F269" s="7" t="s">
        <v>20</v>
      </c>
    </row>
    <row r="270" ht="22.5" customHeight="1">
      <c r="A270" s="7" t="s">
        <v>377</v>
      </c>
      <c r="B270" s="8" t="s">
        <v>378</v>
      </c>
      <c r="C270" s="7" t="s">
        <v>30</v>
      </c>
      <c r="D270" s="7" t="s">
        <v>383</v>
      </c>
      <c r="E270" s="7" t="s">
        <v>16</v>
      </c>
      <c r="F270" s="7" t="s">
        <v>22</v>
      </c>
    </row>
    <row r="271" ht="22.5" customHeight="1">
      <c r="A271" s="7" t="s">
        <v>377</v>
      </c>
      <c r="B271" s="8" t="s">
        <v>378</v>
      </c>
      <c r="C271" s="7" t="s">
        <v>30</v>
      </c>
      <c r="D271" s="7" t="s">
        <v>384</v>
      </c>
      <c r="E271" s="7" t="s">
        <v>16</v>
      </c>
      <c r="F271" s="7" t="s">
        <v>24</v>
      </c>
    </row>
    <row r="272" ht="22.5" customHeight="1">
      <c r="A272" s="7" t="s">
        <v>377</v>
      </c>
      <c r="B272" s="8" t="s">
        <v>378</v>
      </c>
      <c r="C272" s="7" t="s">
        <v>36</v>
      </c>
      <c r="D272" s="7" t="s">
        <v>385</v>
      </c>
      <c r="E272" s="7" t="s">
        <v>16</v>
      </c>
      <c r="F272" s="7" t="s">
        <v>16</v>
      </c>
    </row>
    <row r="273" ht="22.5" customHeight="1">
      <c r="A273" s="7" t="s">
        <v>377</v>
      </c>
      <c r="B273" s="8" t="s">
        <v>378</v>
      </c>
      <c r="C273" s="7" t="s">
        <v>38</v>
      </c>
      <c r="D273" s="7" t="s">
        <v>386</v>
      </c>
      <c r="E273" s="7" t="s">
        <v>16</v>
      </c>
      <c r="F273" s="7" t="s">
        <v>16</v>
      </c>
    </row>
    <row r="274" ht="22.5" customHeight="1">
      <c r="A274" s="7" t="s">
        <v>377</v>
      </c>
      <c r="B274" s="8" t="s">
        <v>378</v>
      </c>
      <c r="C274" s="7" t="s">
        <v>40</v>
      </c>
      <c r="D274" s="7" t="s">
        <v>387</v>
      </c>
      <c r="E274" s="7" t="s">
        <v>16</v>
      </c>
      <c r="F274" s="7" t="s">
        <v>16</v>
      </c>
    </row>
    <row r="275" ht="22.5" customHeight="1">
      <c r="A275" s="7" t="s">
        <v>377</v>
      </c>
      <c r="B275" s="8" t="s">
        <v>378</v>
      </c>
      <c r="C275" s="7" t="s">
        <v>43</v>
      </c>
      <c r="D275" s="7" t="s">
        <v>388</v>
      </c>
      <c r="E275" s="7" t="s">
        <v>16</v>
      </c>
      <c r="F275" s="7" t="s">
        <v>16</v>
      </c>
    </row>
    <row r="276" ht="22.5" customHeight="1">
      <c r="A276" s="7" t="s">
        <v>200</v>
      </c>
      <c r="B276" s="8" t="s">
        <v>389</v>
      </c>
      <c r="C276" s="7" t="s">
        <v>30</v>
      </c>
      <c r="D276" s="7" t="s">
        <v>390</v>
      </c>
      <c r="E276" s="7" t="s">
        <v>151</v>
      </c>
      <c r="F276" s="7" t="s">
        <v>16</v>
      </c>
    </row>
    <row r="277" ht="22.5" customHeight="1">
      <c r="A277" s="7" t="s">
        <v>200</v>
      </c>
      <c r="B277" s="8" t="s">
        <v>389</v>
      </c>
      <c r="C277" s="7" t="s">
        <v>30</v>
      </c>
      <c r="D277" s="7" t="s">
        <v>391</v>
      </c>
      <c r="E277" s="7" t="s">
        <v>151</v>
      </c>
      <c r="F277" s="7" t="s">
        <v>18</v>
      </c>
    </row>
    <row r="278" ht="22.5" customHeight="1">
      <c r="A278" s="7" t="s">
        <v>200</v>
      </c>
      <c r="B278" s="8" t="s">
        <v>389</v>
      </c>
      <c r="C278" s="7" t="s">
        <v>30</v>
      </c>
      <c r="D278" s="7" t="s">
        <v>392</v>
      </c>
      <c r="E278" s="7" t="s">
        <v>151</v>
      </c>
      <c r="F278" s="7" t="s">
        <v>20</v>
      </c>
    </row>
    <row r="279" ht="22.5" customHeight="1">
      <c r="A279" s="7" t="s">
        <v>200</v>
      </c>
      <c r="B279" s="8" t="s">
        <v>389</v>
      </c>
      <c r="C279" s="7" t="s">
        <v>30</v>
      </c>
      <c r="D279" s="7" t="s">
        <v>393</v>
      </c>
      <c r="E279" s="7" t="s">
        <v>151</v>
      </c>
      <c r="F279" s="7" t="s">
        <v>22</v>
      </c>
    </row>
    <row r="280" ht="22.5" customHeight="1">
      <c r="A280" s="7" t="s">
        <v>200</v>
      </c>
      <c r="B280" s="8" t="s">
        <v>389</v>
      </c>
      <c r="C280" s="7" t="s">
        <v>30</v>
      </c>
      <c r="D280" s="7" t="s">
        <v>394</v>
      </c>
      <c r="E280" s="7" t="s">
        <v>151</v>
      </c>
      <c r="F280" s="7" t="s">
        <v>24</v>
      </c>
    </row>
    <row r="281" ht="22.5" customHeight="1">
      <c r="A281" s="7" t="s">
        <v>200</v>
      </c>
      <c r="B281" s="8" t="s">
        <v>389</v>
      </c>
      <c r="C281" s="7" t="s">
        <v>30</v>
      </c>
      <c r="D281" s="7" t="s">
        <v>395</v>
      </c>
      <c r="E281" s="7" t="s">
        <v>26</v>
      </c>
      <c r="F281" s="7" t="s">
        <v>16</v>
      </c>
    </row>
    <row r="282" ht="22.5" customHeight="1">
      <c r="A282" s="7" t="s">
        <v>200</v>
      </c>
      <c r="B282" s="8" t="s">
        <v>389</v>
      </c>
      <c r="C282" s="7" t="s">
        <v>36</v>
      </c>
      <c r="D282" s="7" t="s">
        <v>396</v>
      </c>
      <c r="E282" s="7" t="s">
        <v>151</v>
      </c>
      <c r="F282" s="7" t="s">
        <v>16</v>
      </c>
    </row>
    <row r="283" ht="22.5" customHeight="1">
      <c r="A283" s="7" t="s">
        <v>200</v>
      </c>
      <c r="B283" s="8" t="s">
        <v>389</v>
      </c>
      <c r="C283" s="7" t="s">
        <v>38</v>
      </c>
      <c r="D283" s="7" t="s">
        <v>397</v>
      </c>
      <c r="E283" s="7" t="s">
        <v>151</v>
      </c>
      <c r="F283" s="7" t="s">
        <v>16</v>
      </c>
    </row>
    <row r="284" ht="22.5" customHeight="1">
      <c r="A284" s="7" t="s">
        <v>200</v>
      </c>
      <c r="B284" s="8" t="s">
        <v>389</v>
      </c>
      <c r="C284" s="7" t="s">
        <v>40</v>
      </c>
      <c r="D284" s="7" t="s">
        <v>398</v>
      </c>
      <c r="E284" s="7" t="s">
        <v>151</v>
      </c>
      <c r="F284" s="7" t="s">
        <v>16</v>
      </c>
    </row>
    <row r="285" ht="22.5" customHeight="1">
      <c r="A285" s="7" t="s">
        <v>200</v>
      </c>
      <c r="B285" s="8" t="s">
        <v>389</v>
      </c>
      <c r="C285" s="7" t="s">
        <v>43</v>
      </c>
      <c r="D285" s="7" t="s">
        <v>399</v>
      </c>
      <c r="E285" s="7" t="s">
        <v>151</v>
      </c>
      <c r="F285" s="7" t="s">
        <v>16</v>
      </c>
    </row>
    <row r="286" ht="22.5" customHeight="1">
      <c r="A286" s="7" t="s">
        <v>400</v>
      </c>
      <c r="B286" s="8" t="s">
        <v>401</v>
      </c>
      <c r="C286" s="7" t="s">
        <v>30</v>
      </c>
      <c r="D286" s="7" t="s">
        <v>402</v>
      </c>
      <c r="E286" s="7" t="s">
        <v>16</v>
      </c>
      <c r="F286" s="7" t="s">
        <v>16</v>
      </c>
    </row>
    <row r="287" ht="22.5" customHeight="1">
      <c r="A287" s="7" t="s">
        <v>400</v>
      </c>
      <c r="B287" s="8" t="s">
        <v>401</v>
      </c>
      <c r="C287" s="7" t="s">
        <v>30</v>
      </c>
      <c r="D287" s="7" t="s">
        <v>403</v>
      </c>
      <c r="E287" s="7" t="s">
        <v>16</v>
      </c>
      <c r="F287" s="7" t="s">
        <v>18</v>
      </c>
    </row>
    <row r="288" ht="22.5" customHeight="1">
      <c r="A288" s="7" t="s">
        <v>400</v>
      </c>
      <c r="B288" s="8" t="s">
        <v>401</v>
      </c>
      <c r="C288" s="7" t="s">
        <v>30</v>
      </c>
      <c r="D288" s="7" t="s">
        <v>404</v>
      </c>
      <c r="E288" s="7" t="s">
        <v>16</v>
      </c>
      <c r="F288" s="7" t="s">
        <v>20</v>
      </c>
    </row>
    <row r="289" ht="22.5" customHeight="1">
      <c r="A289" s="7" t="s">
        <v>400</v>
      </c>
      <c r="B289" s="8" t="s">
        <v>401</v>
      </c>
      <c r="C289" s="7" t="s">
        <v>30</v>
      </c>
      <c r="D289" s="7" t="s">
        <v>405</v>
      </c>
      <c r="E289" s="7" t="s">
        <v>16</v>
      </c>
      <c r="F289" s="7" t="s">
        <v>22</v>
      </c>
    </row>
    <row r="290" ht="22.5" customHeight="1">
      <c r="A290" s="7" t="s">
        <v>400</v>
      </c>
      <c r="B290" s="8" t="s">
        <v>401</v>
      </c>
      <c r="C290" s="7" t="s">
        <v>30</v>
      </c>
      <c r="D290" s="7" t="s">
        <v>406</v>
      </c>
      <c r="E290" s="7" t="s">
        <v>16</v>
      </c>
      <c r="F290" s="7" t="s">
        <v>24</v>
      </c>
    </row>
    <row r="291" ht="22.5" customHeight="1">
      <c r="A291" s="7" t="s">
        <v>400</v>
      </c>
      <c r="B291" s="8" t="s">
        <v>401</v>
      </c>
      <c r="C291" s="7" t="s">
        <v>30</v>
      </c>
      <c r="D291" s="7" t="s">
        <v>407</v>
      </c>
      <c r="E291" s="7" t="s">
        <v>16</v>
      </c>
      <c r="F291" s="7" t="s">
        <v>70</v>
      </c>
    </row>
    <row r="292" ht="22.5" customHeight="1">
      <c r="A292" s="7" t="s">
        <v>400</v>
      </c>
      <c r="B292" s="8" t="s">
        <v>401</v>
      </c>
      <c r="C292" s="7" t="s">
        <v>30</v>
      </c>
      <c r="D292" s="7" t="s">
        <v>408</v>
      </c>
      <c r="E292" s="7" t="s">
        <v>26</v>
      </c>
      <c r="F292" s="7" t="s">
        <v>16</v>
      </c>
    </row>
    <row r="293" ht="22.5" customHeight="1">
      <c r="A293" s="7" t="s">
        <v>400</v>
      </c>
      <c r="B293" s="8" t="s">
        <v>401</v>
      </c>
      <c r="C293" s="7" t="s">
        <v>30</v>
      </c>
      <c r="D293" s="7" t="s">
        <v>409</v>
      </c>
      <c r="E293" s="7" t="s">
        <v>26</v>
      </c>
      <c r="F293" s="7" t="s">
        <v>16</v>
      </c>
    </row>
    <row r="294" ht="22.5" customHeight="1">
      <c r="A294" s="7" t="s">
        <v>400</v>
      </c>
      <c r="B294" s="8" t="s">
        <v>401</v>
      </c>
      <c r="C294" s="7" t="s">
        <v>30</v>
      </c>
      <c r="D294" s="7" t="s">
        <v>410</v>
      </c>
      <c r="E294" s="7" t="s">
        <v>26</v>
      </c>
      <c r="F294" s="7" t="s">
        <v>16</v>
      </c>
    </row>
    <row r="295" ht="22.5" customHeight="1">
      <c r="A295" s="7" t="s">
        <v>400</v>
      </c>
      <c r="B295" s="8" t="s">
        <v>401</v>
      </c>
      <c r="C295" s="7" t="s">
        <v>30</v>
      </c>
      <c r="D295" s="7" t="s">
        <v>411</v>
      </c>
      <c r="E295" s="7" t="s">
        <v>26</v>
      </c>
      <c r="F295" s="7" t="s">
        <v>16</v>
      </c>
    </row>
    <row r="296" ht="22.5" customHeight="1">
      <c r="A296" s="7" t="s">
        <v>400</v>
      </c>
      <c r="B296" s="8" t="s">
        <v>401</v>
      </c>
      <c r="C296" s="7" t="s">
        <v>36</v>
      </c>
      <c r="D296" s="7" t="s">
        <v>412</v>
      </c>
      <c r="E296" s="7" t="s">
        <v>16</v>
      </c>
      <c r="F296" s="7" t="s">
        <v>16</v>
      </c>
    </row>
    <row r="297" ht="22.5" customHeight="1">
      <c r="A297" s="7" t="s">
        <v>400</v>
      </c>
      <c r="B297" s="8" t="s">
        <v>401</v>
      </c>
      <c r="C297" s="7" t="s">
        <v>36</v>
      </c>
      <c r="D297" s="7" t="s">
        <v>413</v>
      </c>
      <c r="E297" s="7" t="s">
        <v>26</v>
      </c>
      <c r="F297" s="7" t="s">
        <v>16</v>
      </c>
    </row>
    <row r="298" ht="22.5" customHeight="1">
      <c r="A298" s="7" t="s">
        <v>400</v>
      </c>
      <c r="B298" s="8" t="s">
        <v>401</v>
      </c>
      <c r="C298" s="7" t="s">
        <v>36</v>
      </c>
      <c r="D298" s="7" t="s">
        <v>414</v>
      </c>
      <c r="E298" s="7" t="s">
        <v>105</v>
      </c>
      <c r="F298" s="7" t="s">
        <v>16</v>
      </c>
    </row>
    <row r="299" ht="22.5" customHeight="1">
      <c r="A299" s="7" t="s">
        <v>400</v>
      </c>
      <c r="B299" s="8" t="s">
        <v>401</v>
      </c>
      <c r="C299" s="7" t="s">
        <v>38</v>
      </c>
      <c r="D299" s="7" t="s">
        <v>415</v>
      </c>
      <c r="E299" s="7" t="s">
        <v>16</v>
      </c>
      <c r="F299" s="7" t="s">
        <v>16</v>
      </c>
    </row>
    <row r="300" ht="22.5" customHeight="1">
      <c r="A300" s="7" t="s">
        <v>400</v>
      </c>
      <c r="B300" s="8" t="s">
        <v>401</v>
      </c>
      <c r="C300" s="7" t="s">
        <v>40</v>
      </c>
      <c r="D300" s="7" t="s">
        <v>416</v>
      </c>
      <c r="E300" s="7" t="s">
        <v>16</v>
      </c>
      <c r="F300" s="7" t="s">
        <v>16</v>
      </c>
    </row>
    <row r="301" ht="22.5" customHeight="1">
      <c r="A301" s="7" t="s">
        <v>400</v>
      </c>
      <c r="B301" s="8" t="s">
        <v>401</v>
      </c>
      <c r="C301" s="7" t="s">
        <v>40</v>
      </c>
      <c r="D301" s="7" t="s">
        <v>417</v>
      </c>
      <c r="E301" s="7" t="s">
        <v>26</v>
      </c>
      <c r="F301" s="7" t="s">
        <v>16</v>
      </c>
    </row>
    <row r="302" ht="22.5" customHeight="1">
      <c r="A302" s="7" t="s">
        <v>400</v>
      </c>
      <c r="B302" s="8" t="s">
        <v>401</v>
      </c>
      <c r="C302" s="7" t="s">
        <v>43</v>
      </c>
      <c r="D302" s="7" t="s">
        <v>418</v>
      </c>
      <c r="E302" s="7" t="s">
        <v>16</v>
      </c>
      <c r="F302" s="7" t="s">
        <v>16</v>
      </c>
    </row>
    <row r="303" ht="22.5" customHeight="1">
      <c r="A303" s="7" t="s">
        <v>419</v>
      </c>
      <c r="B303" s="8" t="s">
        <v>420</v>
      </c>
      <c r="C303" s="7" t="s">
        <v>30</v>
      </c>
      <c r="D303" s="7" t="s">
        <v>421</v>
      </c>
      <c r="E303" s="7" t="s">
        <v>16</v>
      </c>
      <c r="F303" s="7" t="s">
        <v>16</v>
      </c>
    </row>
    <row r="304" ht="22.5" customHeight="1">
      <c r="A304" s="7" t="s">
        <v>419</v>
      </c>
      <c r="B304" s="8" t="s">
        <v>420</v>
      </c>
      <c r="C304" s="7" t="s">
        <v>30</v>
      </c>
      <c r="D304" s="7" t="s">
        <v>422</v>
      </c>
      <c r="E304" s="7" t="s">
        <v>16</v>
      </c>
      <c r="F304" s="7" t="s">
        <v>18</v>
      </c>
    </row>
    <row r="305" ht="22.5" customHeight="1">
      <c r="A305" s="7" t="s">
        <v>419</v>
      </c>
      <c r="B305" s="8" t="s">
        <v>420</v>
      </c>
      <c r="C305" s="7" t="s">
        <v>30</v>
      </c>
      <c r="D305" s="7" t="s">
        <v>423</v>
      </c>
      <c r="E305" s="7" t="s">
        <v>16</v>
      </c>
      <c r="F305" s="7" t="s">
        <v>20</v>
      </c>
    </row>
    <row r="306" ht="22.5" customHeight="1">
      <c r="A306" s="7" t="s">
        <v>419</v>
      </c>
      <c r="B306" s="8" t="s">
        <v>420</v>
      </c>
      <c r="C306" s="7" t="s">
        <v>30</v>
      </c>
      <c r="D306" s="7" t="s">
        <v>424</v>
      </c>
      <c r="E306" s="7" t="s">
        <v>16</v>
      </c>
      <c r="F306" s="7" t="s">
        <v>22</v>
      </c>
    </row>
    <row r="307" ht="22.5" customHeight="1">
      <c r="A307" s="7" t="s">
        <v>419</v>
      </c>
      <c r="B307" s="8" t="s">
        <v>420</v>
      </c>
      <c r="C307" s="7" t="s">
        <v>30</v>
      </c>
      <c r="D307" s="7" t="s">
        <v>425</v>
      </c>
      <c r="E307" s="7" t="s">
        <v>16</v>
      </c>
      <c r="F307" s="7" t="s">
        <v>24</v>
      </c>
    </row>
    <row r="308" ht="22.5" customHeight="1">
      <c r="A308" s="7" t="s">
        <v>419</v>
      </c>
      <c r="B308" s="8" t="s">
        <v>420</v>
      </c>
      <c r="C308" s="7" t="s">
        <v>36</v>
      </c>
      <c r="D308" s="7" t="s">
        <v>426</v>
      </c>
      <c r="E308" s="7" t="s">
        <v>16</v>
      </c>
      <c r="F308" s="7" t="s">
        <v>16</v>
      </c>
    </row>
    <row r="309" ht="22.5" customHeight="1">
      <c r="A309" s="7" t="s">
        <v>419</v>
      </c>
      <c r="B309" s="8" t="s">
        <v>420</v>
      </c>
      <c r="C309" s="7" t="s">
        <v>38</v>
      </c>
      <c r="D309" s="7" t="s">
        <v>427</v>
      </c>
      <c r="E309" s="7" t="s">
        <v>16</v>
      </c>
      <c r="F309" s="7" t="s">
        <v>16</v>
      </c>
    </row>
    <row r="310" ht="22.5" customHeight="1">
      <c r="A310" s="7" t="s">
        <v>419</v>
      </c>
      <c r="B310" s="8" t="s">
        <v>420</v>
      </c>
      <c r="C310" s="7" t="s">
        <v>40</v>
      </c>
      <c r="D310" s="7" t="s">
        <v>428</v>
      </c>
      <c r="E310" s="7" t="s">
        <v>16</v>
      </c>
      <c r="F310" s="7" t="s">
        <v>16</v>
      </c>
    </row>
    <row r="311" ht="22.5" customHeight="1">
      <c r="A311" s="7" t="s">
        <v>419</v>
      </c>
      <c r="B311" s="8" t="s">
        <v>420</v>
      </c>
      <c r="C311" s="7" t="s">
        <v>43</v>
      </c>
      <c r="D311" s="7" t="s">
        <v>429</v>
      </c>
      <c r="E311" s="7" t="s">
        <v>16</v>
      </c>
      <c r="F311" s="7" t="s">
        <v>16</v>
      </c>
    </row>
    <row r="312" ht="22.5" customHeight="1">
      <c r="A312" s="7" t="s">
        <v>419</v>
      </c>
      <c r="B312" s="8" t="s">
        <v>430</v>
      </c>
      <c r="C312" s="7" t="s">
        <v>14</v>
      </c>
      <c r="D312" s="7" t="s">
        <v>431</v>
      </c>
      <c r="E312" s="7" t="s">
        <v>16</v>
      </c>
      <c r="F312" s="7" t="s">
        <v>18</v>
      </c>
    </row>
    <row r="313" ht="22.5" customHeight="1">
      <c r="A313" s="7" t="s">
        <v>419</v>
      </c>
      <c r="B313" s="8" t="s">
        <v>430</v>
      </c>
      <c r="C313" s="7" t="s">
        <v>14</v>
      </c>
      <c r="D313" s="7" t="s">
        <v>432</v>
      </c>
      <c r="E313" s="7" t="s">
        <v>16</v>
      </c>
      <c r="F313" s="7" t="s">
        <v>20</v>
      </c>
    </row>
    <row r="314" ht="22.5" customHeight="1">
      <c r="A314" s="7" t="s">
        <v>419</v>
      </c>
      <c r="B314" s="8" t="s">
        <v>430</v>
      </c>
      <c r="C314" s="7" t="s">
        <v>14</v>
      </c>
      <c r="D314" s="7" t="s">
        <v>433</v>
      </c>
      <c r="E314" s="7" t="s">
        <v>16</v>
      </c>
      <c r="F314" s="7" t="s">
        <v>22</v>
      </c>
    </row>
    <row r="315" ht="22.5" customHeight="1">
      <c r="A315" s="7" t="s">
        <v>419</v>
      </c>
      <c r="B315" s="8" t="s">
        <v>430</v>
      </c>
      <c r="C315" s="7" t="s">
        <v>14</v>
      </c>
      <c r="D315" s="7" t="s">
        <v>434</v>
      </c>
      <c r="E315" s="7" t="s">
        <v>16</v>
      </c>
      <c r="F315" s="7" t="s">
        <v>24</v>
      </c>
    </row>
    <row r="316" ht="22.5" customHeight="1">
      <c r="A316" s="7" t="s">
        <v>419</v>
      </c>
      <c r="B316" s="8" t="s">
        <v>430</v>
      </c>
      <c r="C316" s="7" t="s">
        <v>30</v>
      </c>
      <c r="D316" s="7" t="s">
        <v>435</v>
      </c>
      <c r="E316" s="7" t="s">
        <v>16</v>
      </c>
      <c r="F316" s="7" t="s">
        <v>16</v>
      </c>
    </row>
    <row r="317" ht="22.5" customHeight="1">
      <c r="A317" s="7" t="s">
        <v>419</v>
      </c>
      <c r="B317" s="8" t="s">
        <v>430</v>
      </c>
      <c r="C317" s="7" t="s">
        <v>30</v>
      </c>
      <c r="D317" s="7" t="s">
        <v>436</v>
      </c>
      <c r="E317" s="7" t="s">
        <v>16</v>
      </c>
      <c r="F317" s="7" t="s">
        <v>70</v>
      </c>
    </row>
    <row r="318" ht="22.5" customHeight="1">
      <c r="A318" s="7" t="s">
        <v>419</v>
      </c>
      <c r="B318" s="8" t="s">
        <v>430</v>
      </c>
      <c r="C318" s="7" t="s">
        <v>30</v>
      </c>
      <c r="D318" s="7" t="s">
        <v>437</v>
      </c>
      <c r="E318" s="7" t="s">
        <v>26</v>
      </c>
      <c r="F318" s="7" t="s">
        <v>16</v>
      </c>
    </row>
    <row r="319" ht="22.5" customHeight="1">
      <c r="A319" s="7" t="s">
        <v>419</v>
      </c>
      <c r="B319" s="8" t="s">
        <v>430</v>
      </c>
      <c r="C319" s="7" t="s">
        <v>30</v>
      </c>
      <c r="D319" s="7" t="s">
        <v>438</v>
      </c>
      <c r="E319" s="7" t="s">
        <v>26</v>
      </c>
      <c r="F319" s="7" t="s">
        <v>16</v>
      </c>
    </row>
    <row r="320" ht="22.5" customHeight="1">
      <c r="A320" s="7" t="s">
        <v>419</v>
      </c>
      <c r="B320" s="8" t="s">
        <v>430</v>
      </c>
      <c r="C320" s="7" t="s">
        <v>30</v>
      </c>
      <c r="D320" s="7" t="s">
        <v>439</v>
      </c>
      <c r="E320" s="7" t="s">
        <v>26</v>
      </c>
      <c r="F320" s="7" t="s">
        <v>16</v>
      </c>
    </row>
    <row r="321" ht="22.5" customHeight="1">
      <c r="A321" s="7" t="s">
        <v>419</v>
      </c>
      <c r="B321" s="8" t="s">
        <v>430</v>
      </c>
      <c r="C321" s="7" t="s">
        <v>30</v>
      </c>
      <c r="D321" s="7" t="s">
        <v>440</v>
      </c>
      <c r="E321" s="7" t="s">
        <v>26</v>
      </c>
      <c r="F321" s="7" t="s">
        <v>16</v>
      </c>
    </row>
    <row r="322" ht="22.5" customHeight="1">
      <c r="A322" s="7" t="s">
        <v>419</v>
      </c>
      <c r="B322" s="8" t="s">
        <v>430</v>
      </c>
      <c r="C322" s="7" t="s">
        <v>36</v>
      </c>
      <c r="D322" s="7" t="s">
        <v>441</v>
      </c>
      <c r="E322" s="7" t="s">
        <v>16</v>
      </c>
      <c r="F322" s="7" t="s">
        <v>16</v>
      </c>
    </row>
    <row r="323" ht="22.5" customHeight="1">
      <c r="A323" s="7" t="s">
        <v>419</v>
      </c>
      <c r="B323" s="8" t="s">
        <v>430</v>
      </c>
      <c r="C323" s="7" t="s">
        <v>38</v>
      </c>
      <c r="D323" s="7" t="s">
        <v>442</v>
      </c>
      <c r="E323" s="7" t="s">
        <v>16</v>
      </c>
      <c r="F323" s="7" t="s">
        <v>16</v>
      </c>
    </row>
    <row r="324" ht="22.5" customHeight="1">
      <c r="A324" s="7" t="s">
        <v>419</v>
      </c>
      <c r="B324" s="8" t="s">
        <v>430</v>
      </c>
      <c r="C324" s="7" t="s">
        <v>40</v>
      </c>
      <c r="D324" s="7" t="s">
        <v>443</v>
      </c>
      <c r="E324" s="7" t="s">
        <v>16</v>
      </c>
      <c r="F324" s="7" t="s">
        <v>16</v>
      </c>
    </row>
    <row r="325" ht="22.5" customHeight="1">
      <c r="A325" s="7" t="s">
        <v>419</v>
      </c>
      <c r="B325" s="8" t="s">
        <v>430</v>
      </c>
      <c r="C325" s="7" t="s">
        <v>43</v>
      </c>
      <c r="D325" s="7" t="s">
        <v>444</v>
      </c>
      <c r="E325" s="7" t="s">
        <v>16</v>
      </c>
      <c r="F325" s="7" t="s">
        <v>16</v>
      </c>
    </row>
    <row r="326" ht="22.5" customHeight="1">
      <c r="A326" s="7" t="s">
        <v>445</v>
      </c>
      <c r="B326" s="8" t="s">
        <v>446</v>
      </c>
      <c r="C326" s="7" t="s">
        <v>30</v>
      </c>
      <c r="D326" s="7" t="s">
        <v>447</v>
      </c>
      <c r="E326" s="7" t="s">
        <v>16</v>
      </c>
      <c r="F326" s="7" t="s">
        <v>18</v>
      </c>
    </row>
    <row r="327" ht="22.5" customHeight="1">
      <c r="A327" s="7" t="s">
        <v>445</v>
      </c>
      <c r="B327" s="8" t="s">
        <v>446</v>
      </c>
      <c r="C327" s="7" t="s">
        <v>30</v>
      </c>
      <c r="D327" s="7" t="s">
        <v>448</v>
      </c>
      <c r="E327" s="7" t="s">
        <v>16</v>
      </c>
      <c r="F327" s="7" t="s">
        <v>20</v>
      </c>
    </row>
    <row r="328" ht="22.5" customHeight="1">
      <c r="A328" s="7" t="s">
        <v>445</v>
      </c>
      <c r="B328" s="8" t="s">
        <v>446</v>
      </c>
      <c r="C328" s="7" t="s">
        <v>30</v>
      </c>
      <c r="D328" s="7" t="s">
        <v>449</v>
      </c>
      <c r="E328" s="7" t="s">
        <v>16</v>
      </c>
      <c r="F328" s="7" t="s">
        <v>22</v>
      </c>
    </row>
    <row r="329" ht="22.5" customHeight="1">
      <c r="A329" s="7" t="s">
        <v>445</v>
      </c>
      <c r="B329" s="8" t="s">
        <v>446</v>
      </c>
      <c r="C329" s="7" t="s">
        <v>30</v>
      </c>
      <c r="D329" s="7" t="s">
        <v>450</v>
      </c>
      <c r="E329" s="7" t="s">
        <v>16</v>
      </c>
      <c r="F329" s="7" t="s">
        <v>24</v>
      </c>
    </row>
    <row r="330" ht="22.5" customHeight="1">
      <c r="A330" s="7" t="s">
        <v>445</v>
      </c>
      <c r="B330" s="8" t="s">
        <v>446</v>
      </c>
      <c r="C330" s="7" t="s">
        <v>36</v>
      </c>
      <c r="D330" s="7" t="s">
        <v>451</v>
      </c>
      <c r="E330" s="7" t="s">
        <v>16</v>
      </c>
      <c r="F330" s="7" t="s">
        <v>16</v>
      </c>
    </row>
    <row r="331" ht="22.5" customHeight="1">
      <c r="A331" s="7" t="s">
        <v>445</v>
      </c>
      <c r="B331" s="8" t="s">
        <v>446</v>
      </c>
      <c r="C331" s="7" t="s">
        <v>38</v>
      </c>
      <c r="D331" s="7" t="s">
        <v>452</v>
      </c>
      <c r="E331" s="7" t="s">
        <v>16</v>
      </c>
      <c r="F331" s="7" t="s">
        <v>16</v>
      </c>
    </row>
    <row r="332" ht="22.5" customHeight="1">
      <c r="A332" s="7" t="s">
        <v>445</v>
      </c>
      <c r="B332" s="8" t="s">
        <v>446</v>
      </c>
      <c r="C332" s="7" t="s">
        <v>40</v>
      </c>
      <c r="D332" s="7" t="s">
        <v>453</v>
      </c>
      <c r="E332" s="7" t="s">
        <v>16</v>
      </c>
      <c r="F332" s="7" t="s">
        <v>16</v>
      </c>
    </row>
    <row r="333" ht="22.5" customHeight="1">
      <c r="A333" s="7" t="s">
        <v>445</v>
      </c>
      <c r="B333" s="8" t="s">
        <v>446</v>
      </c>
      <c r="C333" s="7" t="s">
        <v>40</v>
      </c>
      <c r="D333" s="7" t="s">
        <v>454</v>
      </c>
      <c r="E333" s="7" t="s">
        <v>16</v>
      </c>
      <c r="F333" s="7" t="s">
        <v>16</v>
      </c>
    </row>
    <row r="334" ht="22.5" customHeight="1">
      <c r="A334" s="7" t="s">
        <v>445</v>
      </c>
      <c r="B334" s="8" t="s">
        <v>446</v>
      </c>
      <c r="C334" s="7" t="s">
        <v>40</v>
      </c>
      <c r="D334" s="7" t="s">
        <v>455</v>
      </c>
      <c r="E334" s="7" t="s">
        <v>26</v>
      </c>
      <c r="F334" s="7" t="s">
        <v>16</v>
      </c>
    </row>
    <row r="335" ht="22.5" customHeight="1">
      <c r="A335" s="7" t="s">
        <v>445</v>
      </c>
      <c r="B335" s="8" t="s">
        <v>446</v>
      </c>
      <c r="C335" s="7" t="s">
        <v>43</v>
      </c>
      <c r="D335" s="7" t="s">
        <v>456</v>
      </c>
      <c r="E335" s="7" t="s">
        <v>16</v>
      </c>
      <c r="F335" s="7" t="s">
        <v>16</v>
      </c>
    </row>
    <row r="336" ht="22.5" customHeight="1">
      <c r="A336" s="7" t="s">
        <v>67</v>
      </c>
      <c r="B336" s="8" t="s">
        <v>457</v>
      </c>
      <c r="C336" s="7" t="s">
        <v>30</v>
      </c>
      <c r="D336" s="7" t="s">
        <v>458</v>
      </c>
      <c r="E336" s="7" t="s">
        <v>16</v>
      </c>
      <c r="F336" s="7" t="s">
        <v>48</v>
      </c>
    </row>
    <row r="337" ht="22.5" customHeight="1">
      <c r="A337" s="7" t="s">
        <v>67</v>
      </c>
      <c r="B337" s="8" t="s">
        <v>457</v>
      </c>
      <c r="C337" s="7" t="s">
        <v>30</v>
      </c>
      <c r="D337" s="7" t="s">
        <v>459</v>
      </c>
      <c r="E337" s="7" t="s">
        <v>16</v>
      </c>
      <c r="F337" s="7" t="s">
        <v>48</v>
      </c>
    </row>
    <row r="338" ht="22.5" customHeight="1">
      <c r="A338" s="7" t="s">
        <v>67</v>
      </c>
      <c r="B338" s="8" t="s">
        <v>457</v>
      </c>
      <c r="C338" s="7" t="s">
        <v>30</v>
      </c>
      <c r="D338" s="7" t="s">
        <v>460</v>
      </c>
      <c r="E338" s="7" t="s">
        <v>16</v>
      </c>
      <c r="F338" s="7" t="s">
        <v>48</v>
      </c>
    </row>
    <row r="339" ht="22.5" customHeight="1">
      <c r="A339" s="7" t="s">
        <v>461</v>
      </c>
      <c r="B339" s="8" t="s">
        <v>462</v>
      </c>
      <c r="C339" s="7" t="s">
        <v>14</v>
      </c>
      <c r="D339" s="7" t="s">
        <v>463</v>
      </c>
      <c r="E339" s="7" t="s">
        <v>26</v>
      </c>
      <c r="F339" s="7" t="s">
        <v>16</v>
      </c>
    </row>
    <row r="340" ht="22.5" customHeight="1">
      <c r="A340" s="7" t="s">
        <v>461</v>
      </c>
      <c r="B340" s="8" t="s">
        <v>462</v>
      </c>
      <c r="C340" s="7" t="s">
        <v>30</v>
      </c>
      <c r="D340" s="7" t="s">
        <v>464</v>
      </c>
      <c r="E340" s="7" t="s">
        <v>26</v>
      </c>
      <c r="F340" s="7" t="s">
        <v>16</v>
      </c>
    </row>
    <row r="341" ht="22.5" customHeight="1">
      <c r="A341" s="7" t="s">
        <v>461</v>
      </c>
      <c r="B341" s="8" t="s">
        <v>462</v>
      </c>
      <c r="C341" s="7" t="s">
        <v>30</v>
      </c>
      <c r="D341" s="7" t="s">
        <v>465</v>
      </c>
      <c r="E341" s="7" t="s">
        <v>26</v>
      </c>
      <c r="F341" s="7" t="s">
        <v>16</v>
      </c>
    </row>
    <row r="342" ht="22.5" customHeight="1">
      <c r="A342" s="7" t="s">
        <v>461</v>
      </c>
      <c r="B342" s="8" t="s">
        <v>462</v>
      </c>
      <c r="C342" s="7" t="s">
        <v>30</v>
      </c>
      <c r="D342" s="7" t="s">
        <v>466</v>
      </c>
      <c r="E342" s="7" t="s">
        <v>26</v>
      </c>
      <c r="F342" s="7" t="s">
        <v>16</v>
      </c>
    </row>
    <row r="343" ht="22.5" customHeight="1">
      <c r="A343" s="7" t="s">
        <v>461</v>
      </c>
      <c r="B343" s="8" t="s">
        <v>462</v>
      </c>
      <c r="C343" s="7" t="s">
        <v>30</v>
      </c>
      <c r="D343" s="7" t="s">
        <v>467</v>
      </c>
      <c r="E343" s="7" t="s">
        <v>26</v>
      </c>
      <c r="F343" s="7" t="s">
        <v>16</v>
      </c>
    </row>
    <row r="344" ht="22.5" customHeight="1">
      <c r="A344" s="7" t="s">
        <v>461</v>
      </c>
      <c r="B344" s="8" t="s">
        <v>462</v>
      </c>
      <c r="C344" s="7" t="s">
        <v>38</v>
      </c>
      <c r="D344" s="7" t="s">
        <v>468</v>
      </c>
      <c r="E344" s="7" t="s">
        <v>26</v>
      </c>
      <c r="F344" s="7" t="s">
        <v>16</v>
      </c>
    </row>
    <row r="345" ht="22.5" customHeight="1">
      <c r="A345" s="7" t="s">
        <v>419</v>
      </c>
      <c r="B345" s="8" t="s">
        <v>469</v>
      </c>
      <c r="C345" s="7" t="s">
        <v>30</v>
      </c>
      <c r="D345" s="7" t="s">
        <v>470</v>
      </c>
      <c r="E345" s="7" t="s">
        <v>26</v>
      </c>
      <c r="F345" s="7" t="s">
        <v>48</v>
      </c>
    </row>
    <row r="346" ht="22.5" customHeight="1">
      <c r="A346" s="7" t="s">
        <v>419</v>
      </c>
      <c r="B346" s="8" t="s">
        <v>469</v>
      </c>
      <c r="C346" s="7" t="s">
        <v>43</v>
      </c>
      <c r="D346" s="7" t="s">
        <v>471</v>
      </c>
      <c r="E346" s="7" t="s">
        <v>26</v>
      </c>
      <c r="F346" s="7" t="s">
        <v>48</v>
      </c>
    </row>
    <row r="347" ht="22.5" customHeight="1">
      <c r="A347" s="7" t="s">
        <v>419</v>
      </c>
      <c r="B347" s="8" t="s">
        <v>469</v>
      </c>
      <c r="C347" s="7" t="s">
        <v>103</v>
      </c>
      <c r="D347" s="7" t="s">
        <v>472</v>
      </c>
      <c r="E347" s="7" t="s">
        <v>105</v>
      </c>
      <c r="F347" s="7" t="s">
        <v>48</v>
      </c>
    </row>
    <row r="348" ht="22.5" customHeight="1">
      <c r="A348" s="7" t="s">
        <v>377</v>
      </c>
      <c r="B348" s="8" t="s">
        <v>473</v>
      </c>
      <c r="C348" s="7" t="s">
        <v>14</v>
      </c>
      <c r="D348" s="7" t="s">
        <v>474</v>
      </c>
      <c r="E348" s="7" t="s">
        <v>16</v>
      </c>
      <c r="F348" s="7" t="s">
        <v>48</v>
      </c>
    </row>
    <row r="349" ht="22.5" customHeight="1">
      <c r="A349" s="7" t="s">
        <v>377</v>
      </c>
      <c r="B349" s="8" t="s">
        <v>473</v>
      </c>
      <c r="C349" s="7" t="s">
        <v>30</v>
      </c>
      <c r="D349" s="7" t="s">
        <v>475</v>
      </c>
      <c r="E349" s="7" t="s">
        <v>16</v>
      </c>
      <c r="F349" s="7" t="s">
        <v>48</v>
      </c>
    </row>
    <row r="350" ht="22.5" customHeight="1">
      <c r="A350" s="7" t="s">
        <v>377</v>
      </c>
      <c r="B350" s="8" t="s">
        <v>473</v>
      </c>
      <c r="C350" s="7" t="s">
        <v>30</v>
      </c>
      <c r="D350" s="7" t="s">
        <v>476</v>
      </c>
      <c r="E350" s="7" t="s">
        <v>16</v>
      </c>
      <c r="F350" s="7" t="s">
        <v>48</v>
      </c>
    </row>
    <row r="351" ht="22.5" customHeight="1">
      <c r="A351" s="7" t="s">
        <v>377</v>
      </c>
      <c r="B351" s="8" t="s">
        <v>473</v>
      </c>
      <c r="C351" s="7" t="s">
        <v>30</v>
      </c>
      <c r="D351" s="7" t="s">
        <v>477</v>
      </c>
      <c r="E351" s="7" t="s">
        <v>16</v>
      </c>
      <c r="F351" s="7" t="s">
        <v>48</v>
      </c>
    </row>
    <row r="352" ht="22.5" customHeight="1">
      <c r="A352" s="7" t="s">
        <v>377</v>
      </c>
      <c r="B352" s="8" t="s">
        <v>473</v>
      </c>
      <c r="C352" s="7" t="s">
        <v>36</v>
      </c>
      <c r="D352" s="7" t="s">
        <v>478</v>
      </c>
      <c r="E352" s="7" t="s">
        <v>26</v>
      </c>
      <c r="F352" s="7" t="s">
        <v>48</v>
      </c>
    </row>
    <row r="353" ht="22.5" customHeight="1">
      <c r="A353" s="7" t="s">
        <v>377</v>
      </c>
      <c r="B353" s="8" t="s">
        <v>473</v>
      </c>
      <c r="C353" s="7" t="s">
        <v>43</v>
      </c>
      <c r="D353" s="7" t="s">
        <v>479</v>
      </c>
      <c r="E353" s="7" t="s">
        <v>26</v>
      </c>
      <c r="F353" s="7" t="s">
        <v>48</v>
      </c>
    </row>
    <row r="354" ht="22.5" customHeight="1">
      <c r="A354" s="7" t="s">
        <v>57</v>
      </c>
      <c r="B354" s="8" t="s">
        <v>480</v>
      </c>
      <c r="C354" s="7" t="s">
        <v>30</v>
      </c>
      <c r="D354" s="7" t="s">
        <v>481</v>
      </c>
      <c r="E354" s="7" t="s">
        <v>16</v>
      </c>
      <c r="F354" s="7" t="s">
        <v>48</v>
      </c>
    </row>
    <row r="355" ht="22.5" customHeight="1">
      <c r="A355" s="7" t="s">
        <v>57</v>
      </c>
      <c r="B355" s="8" t="s">
        <v>480</v>
      </c>
      <c r="C355" s="7" t="s">
        <v>30</v>
      </c>
      <c r="D355" s="7" t="s">
        <v>482</v>
      </c>
      <c r="E355" s="7" t="s">
        <v>16</v>
      </c>
      <c r="F355" s="7" t="s">
        <v>48</v>
      </c>
    </row>
    <row r="356" ht="22.5" customHeight="1">
      <c r="A356" s="7" t="s">
        <v>57</v>
      </c>
      <c r="B356" s="8" t="s">
        <v>480</v>
      </c>
      <c r="C356" s="7" t="s">
        <v>30</v>
      </c>
      <c r="D356" s="7" t="s">
        <v>483</v>
      </c>
      <c r="E356" s="7" t="s">
        <v>16</v>
      </c>
      <c r="F356" s="7" t="s">
        <v>48</v>
      </c>
    </row>
    <row r="357" ht="22.5" customHeight="1">
      <c r="A357" s="7" t="s">
        <v>57</v>
      </c>
      <c r="B357" s="8" t="s">
        <v>480</v>
      </c>
      <c r="C357" s="7" t="s">
        <v>43</v>
      </c>
      <c r="D357" s="7" t="s">
        <v>484</v>
      </c>
      <c r="E357" s="7" t="s">
        <v>26</v>
      </c>
      <c r="F357" s="7" t="s">
        <v>48</v>
      </c>
    </row>
    <row r="358" ht="22.5" customHeight="1">
      <c r="A358" s="7" t="s">
        <v>279</v>
      </c>
      <c r="B358" s="8" t="s">
        <v>485</v>
      </c>
      <c r="C358" s="7" t="s">
        <v>30</v>
      </c>
      <c r="D358" s="7" t="s">
        <v>486</v>
      </c>
      <c r="E358" s="7" t="s">
        <v>16</v>
      </c>
      <c r="F358" s="7" t="s">
        <v>16</v>
      </c>
    </row>
    <row r="359" ht="22.5" customHeight="1">
      <c r="A359" s="7" t="s">
        <v>279</v>
      </c>
      <c r="B359" s="8" t="s">
        <v>485</v>
      </c>
      <c r="C359" s="7" t="s">
        <v>30</v>
      </c>
      <c r="D359" s="7" t="s">
        <v>487</v>
      </c>
      <c r="E359" s="7" t="s">
        <v>16</v>
      </c>
      <c r="F359" s="7" t="s">
        <v>16</v>
      </c>
    </row>
    <row r="360" ht="22.5" customHeight="1">
      <c r="A360" s="7" t="s">
        <v>279</v>
      </c>
      <c r="B360" s="8" t="s">
        <v>485</v>
      </c>
      <c r="C360" s="7" t="s">
        <v>30</v>
      </c>
      <c r="D360" s="7" t="s">
        <v>488</v>
      </c>
      <c r="E360" s="7" t="s">
        <v>16</v>
      </c>
      <c r="F360" s="7" t="s">
        <v>18</v>
      </c>
    </row>
    <row r="361" ht="22.5" customHeight="1">
      <c r="A361" s="7" t="s">
        <v>279</v>
      </c>
      <c r="B361" s="8" t="s">
        <v>485</v>
      </c>
      <c r="C361" s="7" t="s">
        <v>30</v>
      </c>
      <c r="D361" s="7" t="s">
        <v>489</v>
      </c>
      <c r="E361" s="7" t="s">
        <v>16</v>
      </c>
      <c r="F361" s="7" t="s">
        <v>20</v>
      </c>
    </row>
    <row r="362" ht="22.5" customHeight="1">
      <c r="A362" s="7" t="s">
        <v>279</v>
      </c>
      <c r="B362" s="8" t="s">
        <v>485</v>
      </c>
      <c r="C362" s="7" t="s">
        <v>30</v>
      </c>
      <c r="D362" s="7" t="s">
        <v>490</v>
      </c>
      <c r="E362" s="7" t="s">
        <v>16</v>
      </c>
      <c r="F362" s="7" t="s">
        <v>22</v>
      </c>
    </row>
    <row r="363" ht="22.5" customHeight="1">
      <c r="A363" s="7" t="s">
        <v>279</v>
      </c>
      <c r="B363" s="8" t="s">
        <v>485</v>
      </c>
      <c r="C363" s="7" t="s">
        <v>30</v>
      </c>
      <c r="D363" s="7" t="s">
        <v>491</v>
      </c>
      <c r="E363" s="7" t="s">
        <v>16</v>
      </c>
      <c r="F363" s="7" t="s">
        <v>24</v>
      </c>
    </row>
    <row r="364" ht="22.5" customHeight="1">
      <c r="A364" s="7" t="s">
        <v>279</v>
      </c>
      <c r="B364" s="8" t="s">
        <v>485</v>
      </c>
      <c r="C364" s="7" t="s">
        <v>30</v>
      </c>
      <c r="D364" s="7" t="s">
        <v>492</v>
      </c>
      <c r="E364" s="7" t="s">
        <v>26</v>
      </c>
      <c r="F364" s="7" t="s">
        <v>18</v>
      </c>
    </row>
    <row r="365" ht="22.5" customHeight="1">
      <c r="A365" s="7" t="s">
        <v>279</v>
      </c>
      <c r="B365" s="8" t="s">
        <v>485</v>
      </c>
      <c r="C365" s="7" t="s">
        <v>30</v>
      </c>
      <c r="D365" s="7" t="s">
        <v>493</v>
      </c>
      <c r="E365" s="7" t="s">
        <v>26</v>
      </c>
      <c r="F365" s="7" t="s">
        <v>18</v>
      </c>
    </row>
    <row r="366" ht="22.5" customHeight="1">
      <c r="A366" s="7" t="s">
        <v>279</v>
      </c>
      <c r="B366" s="8" t="s">
        <v>485</v>
      </c>
      <c r="C366" s="7" t="s">
        <v>30</v>
      </c>
      <c r="D366" s="7" t="s">
        <v>494</v>
      </c>
      <c r="E366" s="7" t="s">
        <v>26</v>
      </c>
      <c r="F366" s="7" t="s">
        <v>18</v>
      </c>
    </row>
    <row r="367" ht="22.5" customHeight="1">
      <c r="A367" s="7" t="s">
        <v>279</v>
      </c>
      <c r="B367" s="8" t="s">
        <v>485</v>
      </c>
      <c r="C367" s="7" t="s">
        <v>30</v>
      </c>
      <c r="D367" s="7" t="s">
        <v>495</v>
      </c>
      <c r="E367" s="7" t="s">
        <v>26</v>
      </c>
      <c r="F367" s="7" t="s">
        <v>20</v>
      </c>
    </row>
    <row r="368" ht="22.5" customHeight="1">
      <c r="A368" s="7" t="s">
        <v>279</v>
      </c>
      <c r="B368" s="8" t="s">
        <v>485</v>
      </c>
      <c r="C368" s="7" t="s">
        <v>30</v>
      </c>
      <c r="D368" s="7" t="s">
        <v>496</v>
      </c>
      <c r="E368" s="7" t="s">
        <v>26</v>
      </c>
      <c r="F368" s="7" t="s">
        <v>20</v>
      </c>
    </row>
    <row r="369" ht="22.5" customHeight="1">
      <c r="A369" s="7" t="s">
        <v>279</v>
      </c>
      <c r="B369" s="8" t="s">
        <v>485</v>
      </c>
      <c r="C369" s="7" t="s">
        <v>30</v>
      </c>
      <c r="D369" s="7" t="s">
        <v>497</v>
      </c>
      <c r="E369" s="7" t="s">
        <v>26</v>
      </c>
      <c r="F369" s="7" t="s">
        <v>20</v>
      </c>
    </row>
    <row r="370" ht="22.5" customHeight="1">
      <c r="A370" s="7" t="s">
        <v>279</v>
      </c>
      <c r="B370" s="8" t="s">
        <v>485</v>
      </c>
      <c r="C370" s="7" t="s">
        <v>30</v>
      </c>
      <c r="D370" s="7" t="s">
        <v>498</v>
      </c>
      <c r="E370" s="7" t="s">
        <v>26</v>
      </c>
      <c r="F370" s="7" t="s">
        <v>22</v>
      </c>
    </row>
    <row r="371" ht="22.5" customHeight="1">
      <c r="A371" s="7" t="s">
        <v>279</v>
      </c>
      <c r="B371" s="8" t="s">
        <v>485</v>
      </c>
      <c r="C371" s="7" t="s">
        <v>30</v>
      </c>
      <c r="D371" s="7" t="s">
        <v>499</v>
      </c>
      <c r="E371" s="7" t="s">
        <v>26</v>
      </c>
      <c r="F371" s="7" t="s">
        <v>22</v>
      </c>
    </row>
    <row r="372" ht="22.5" customHeight="1">
      <c r="A372" s="7" t="s">
        <v>279</v>
      </c>
      <c r="B372" s="8" t="s">
        <v>485</v>
      </c>
      <c r="C372" s="7" t="s">
        <v>30</v>
      </c>
      <c r="D372" s="7" t="s">
        <v>500</v>
      </c>
      <c r="E372" s="7" t="s">
        <v>26</v>
      </c>
      <c r="F372" s="7" t="s">
        <v>22</v>
      </c>
    </row>
    <row r="373" ht="22.5" customHeight="1">
      <c r="A373" s="7" t="s">
        <v>279</v>
      </c>
      <c r="B373" s="8" t="s">
        <v>485</v>
      </c>
      <c r="C373" s="7" t="s">
        <v>30</v>
      </c>
      <c r="D373" s="7" t="s">
        <v>501</v>
      </c>
      <c r="E373" s="7" t="s">
        <v>26</v>
      </c>
      <c r="F373" s="7" t="s">
        <v>24</v>
      </c>
    </row>
    <row r="374" ht="22.5" customHeight="1">
      <c r="A374" s="7" t="s">
        <v>279</v>
      </c>
      <c r="B374" s="8" t="s">
        <v>485</v>
      </c>
      <c r="C374" s="7" t="s">
        <v>30</v>
      </c>
      <c r="D374" s="7" t="s">
        <v>502</v>
      </c>
      <c r="E374" s="7" t="s">
        <v>26</v>
      </c>
      <c r="F374" s="7" t="s">
        <v>24</v>
      </c>
    </row>
    <row r="375" ht="22.5" customHeight="1">
      <c r="A375" s="7" t="s">
        <v>279</v>
      </c>
      <c r="B375" s="8" t="s">
        <v>485</v>
      </c>
      <c r="C375" s="7" t="s">
        <v>30</v>
      </c>
      <c r="D375" s="7" t="s">
        <v>503</v>
      </c>
      <c r="E375" s="7" t="s">
        <v>26</v>
      </c>
      <c r="F375" s="7" t="s">
        <v>24</v>
      </c>
    </row>
    <row r="376" ht="22.5" customHeight="1">
      <c r="A376" s="7" t="s">
        <v>279</v>
      </c>
      <c r="B376" s="8" t="s">
        <v>485</v>
      </c>
      <c r="C376" s="7" t="s">
        <v>36</v>
      </c>
      <c r="D376" s="7" t="s">
        <v>504</v>
      </c>
      <c r="E376" s="7" t="s">
        <v>16</v>
      </c>
      <c r="F376" s="7" t="s">
        <v>16</v>
      </c>
    </row>
    <row r="377" ht="22.5" customHeight="1">
      <c r="A377" s="7" t="s">
        <v>279</v>
      </c>
      <c r="B377" s="8" t="s">
        <v>485</v>
      </c>
      <c r="C377" s="7" t="s">
        <v>38</v>
      </c>
      <c r="D377" s="7" t="s">
        <v>505</v>
      </c>
      <c r="E377" s="7" t="s">
        <v>16</v>
      </c>
      <c r="F377" s="7" t="s">
        <v>16</v>
      </c>
    </row>
    <row r="378" ht="22.5" customHeight="1">
      <c r="A378" s="7" t="s">
        <v>279</v>
      </c>
      <c r="B378" s="8" t="s">
        <v>485</v>
      </c>
      <c r="C378" s="7" t="s">
        <v>40</v>
      </c>
      <c r="D378" s="7" t="s">
        <v>506</v>
      </c>
      <c r="E378" s="7" t="s">
        <v>16</v>
      </c>
      <c r="F378" s="7" t="s">
        <v>16</v>
      </c>
    </row>
    <row r="379" ht="22.5" customHeight="1">
      <c r="A379" s="7" t="s">
        <v>279</v>
      </c>
      <c r="B379" s="8" t="s">
        <v>485</v>
      </c>
      <c r="C379" s="7" t="s">
        <v>43</v>
      </c>
      <c r="D379" s="7" t="s">
        <v>507</v>
      </c>
      <c r="E379" s="7" t="s">
        <v>16</v>
      </c>
      <c r="F379" s="7" t="s">
        <v>16</v>
      </c>
    </row>
    <row r="380" ht="22.5" customHeight="1">
      <c r="A380" s="7" t="s">
        <v>279</v>
      </c>
      <c r="B380" s="8" t="s">
        <v>485</v>
      </c>
      <c r="C380" s="7" t="s">
        <v>43</v>
      </c>
      <c r="D380" s="7" t="s">
        <v>508</v>
      </c>
      <c r="E380" s="7" t="s">
        <v>105</v>
      </c>
      <c r="F380" s="7" t="s">
        <v>16</v>
      </c>
    </row>
    <row r="381" ht="22.5" customHeight="1">
      <c r="A381" s="7" t="s">
        <v>57</v>
      </c>
      <c r="B381" s="8" t="s">
        <v>509</v>
      </c>
      <c r="C381" s="7" t="s">
        <v>30</v>
      </c>
      <c r="D381" s="7" t="s">
        <v>510</v>
      </c>
      <c r="E381" s="7" t="s">
        <v>16</v>
      </c>
      <c r="F381" s="7" t="s">
        <v>16</v>
      </c>
    </row>
    <row r="382" ht="22.5" customHeight="1">
      <c r="A382" s="7" t="s">
        <v>57</v>
      </c>
      <c r="B382" s="8" t="s">
        <v>509</v>
      </c>
      <c r="C382" s="7" t="s">
        <v>30</v>
      </c>
      <c r="D382" s="7" t="s">
        <v>511</v>
      </c>
      <c r="E382" s="7" t="s">
        <v>16</v>
      </c>
      <c r="F382" s="7" t="s">
        <v>16</v>
      </c>
    </row>
    <row r="383" ht="22.5" customHeight="1">
      <c r="A383" s="7" t="s">
        <v>57</v>
      </c>
      <c r="B383" s="8" t="s">
        <v>509</v>
      </c>
      <c r="C383" s="7" t="s">
        <v>30</v>
      </c>
      <c r="D383" s="7" t="s">
        <v>512</v>
      </c>
      <c r="E383" s="7" t="s">
        <v>16</v>
      </c>
      <c r="F383" s="7" t="s">
        <v>16</v>
      </c>
    </row>
    <row r="384" ht="22.5" customHeight="1">
      <c r="A384" s="7" t="s">
        <v>57</v>
      </c>
      <c r="B384" s="8" t="s">
        <v>509</v>
      </c>
      <c r="C384" s="7" t="s">
        <v>30</v>
      </c>
      <c r="D384" s="7" t="s">
        <v>513</v>
      </c>
      <c r="E384" s="7" t="s">
        <v>16</v>
      </c>
      <c r="F384" s="7" t="s">
        <v>18</v>
      </c>
    </row>
    <row r="385" ht="22.5" customHeight="1">
      <c r="A385" s="7" t="s">
        <v>57</v>
      </c>
      <c r="B385" s="8" t="s">
        <v>509</v>
      </c>
      <c r="C385" s="7" t="s">
        <v>30</v>
      </c>
      <c r="D385" s="7" t="s">
        <v>514</v>
      </c>
      <c r="E385" s="7" t="s">
        <v>16</v>
      </c>
      <c r="F385" s="7" t="s">
        <v>20</v>
      </c>
    </row>
    <row r="386" ht="22.5" customHeight="1">
      <c r="A386" s="7" t="s">
        <v>57</v>
      </c>
      <c r="B386" s="8" t="s">
        <v>509</v>
      </c>
      <c r="C386" s="7" t="s">
        <v>30</v>
      </c>
      <c r="D386" s="7" t="s">
        <v>515</v>
      </c>
      <c r="E386" s="7" t="s">
        <v>16</v>
      </c>
      <c r="F386" s="7" t="s">
        <v>22</v>
      </c>
    </row>
    <row r="387" ht="22.5" customHeight="1">
      <c r="A387" s="7" t="s">
        <v>57</v>
      </c>
      <c r="B387" s="8" t="s">
        <v>509</v>
      </c>
      <c r="C387" s="7" t="s">
        <v>30</v>
      </c>
      <c r="D387" s="7" t="s">
        <v>516</v>
      </c>
      <c r="E387" s="7" t="s">
        <v>16</v>
      </c>
      <c r="F387" s="7" t="s">
        <v>24</v>
      </c>
    </row>
    <row r="388" ht="22.5" customHeight="1">
      <c r="A388" s="7" t="s">
        <v>57</v>
      </c>
      <c r="B388" s="8" t="s">
        <v>509</v>
      </c>
      <c r="C388" s="7" t="s">
        <v>30</v>
      </c>
      <c r="D388" s="7" t="s">
        <v>517</v>
      </c>
      <c r="E388" s="7" t="s">
        <v>26</v>
      </c>
      <c r="F388" s="7" t="s">
        <v>16</v>
      </c>
    </row>
    <row r="389" ht="22.5" customHeight="1">
      <c r="A389" s="7" t="s">
        <v>57</v>
      </c>
      <c r="B389" s="8" t="s">
        <v>509</v>
      </c>
      <c r="C389" s="7" t="s">
        <v>30</v>
      </c>
      <c r="D389" s="7" t="s">
        <v>518</v>
      </c>
      <c r="E389" s="7" t="s">
        <v>26</v>
      </c>
      <c r="F389" s="7" t="s">
        <v>18</v>
      </c>
    </row>
    <row r="390" ht="22.5" customHeight="1">
      <c r="A390" s="7" t="s">
        <v>57</v>
      </c>
      <c r="B390" s="8" t="s">
        <v>509</v>
      </c>
      <c r="C390" s="7" t="s">
        <v>30</v>
      </c>
      <c r="D390" s="7" t="s">
        <v>519</v>
      </c>
      <c r="E390" s="7" t="s">
        <v>26</v>
      </c>
      <c r="F390" s="7" t="s">
        <v>18</v>
      </c>
    </row>
    <row r="391" ht="22.5" customHeight="1">
      <c r="A391" s="7" t="s">
        <v>57</v>
      </c>
      <c r="B391" s="8" t="s">
        <v>509</v>
      </c>
      <c r="C391" s="7" t="s">
        <v>30</v>
      </c>
      <c r="D391" s="7" t="s">
        <v>520</v>
      </c>
      <c r="E391" s="7" t="s">
        <v>26</v>
      </c>
      <c r="F391" s="7" t="s">
        <v>18</v>
      </c>
    </row>
    <row r="392" ht="22.5" customHeight="1">
      <c r="A392" s="7" t="s">
        <v>57</v>
      </c>
      <c r="B392" s="8" t="s">
        <v>509</v>
      </c>
      <c r="C392" s="7" t="s">
        <v>30</v>
      </c>
      <c r="D392" s="7" t="s">
        <v>521</v>
      </c>
      <c r="E392" s="7" t="s">
        <v>26</v>
      </c>
      <c r="F392" s="7" t="s">
        <v>20</v>
      </c>
    </row>
    <row r="393" ht="22.5" customHeight="1">
      <c r="A393" s="7" t="s">
        <v>57</v>
      </c>
      <c r="B393" s="8" t="s">
        <v>509</v>
      </c>
      <c r="C393" s="7" t="s">
        <v>30</v>
      </c>
      <c r="D393" s="7" t="s">
        <v>522</v>
      </c>
      <c r="E393" s="7" t="s">
        <v>26</v>
      </c>
      <c r="F393" s="7" t="s">
        <v>20</v>
      </c>
    </row>
    <row r="394" ht="22.5" customHeight="1">
      <c r="A394" s="7" t="s">
        <v>57</v>
      </c>
      <c r="B394" s="8" t="s">
        <v>509</v>
      </c>
      <c r="C394" s="7" t="s">
        <v>30</v>
      </c>
      <c r="D394" s="7" t="s">
        <v>523</v>
      </c>
      <c r="E394" s="7" t="s">
        <v>26</v>
      </c>
      <c r="F394" s="7" t="s">
        <v>20</v>
      </c>
    </row>
    <row r="395" ht="22.5" customHeight="1">
      <c r="A395" s="7" t="s">
        <v>57</v>
      </c>
      <c r="B395" s="8" t="s">
        <v>509</v>
      </c>
      <c r="C395" s="7" t="s">
        <v>30</v>
      </c>
      <c r="D395" s="7" t="s">
        <v>524</v>
      </c>
      <c r="E395" s="7" t="s">
        <v>26</v>
      </c>
      <c r="F395" s="7" t="s">
        <v>22</v>
      </c>
    </row>
    <row r="396" ht="22.5" customHeight="1">
      <c r="A396" s="7" t="s">
        <v>57</v>
      </c>
      <c r="B396" s="8" t="s">
        <v>509</v>
      </c>
      <c r="C396" s="7" t="s">
        <v>30</v>
      </c>
      <c r="D396" s="7" t="s">
        <v>525</v>
      </c>
      <c r="E396" s="7" t="s">
        <v>26</v>
      </c>
      <c r="F396" s="7" t="s">
        <v>22</v>
      </c>
    </row>
    <row r="397" ht="22.5" customHeight="1">
      <c r="A397" s="7" t="s">
        <v>57</v>
      </c>
      <c r="B397" s="8" t="s">
        <v>509</v>
      </c>
      <c r="C397" s="7" t="s">
        <v>30</v>
      </c>
      <c r="D397" s="7" t="s">
        <v>526</v>
      </c>
      <c r="E397" s="7" t="s">
        <v>26</v>
      </c>
      <c r="F397" s="7" t="s">
        <v>22</v>
      </c>
    </row>
    <row r="398" ht="22.5" customHeight="1">
      <c r="A398" s="7" t="s">
        <v>57</v>
      </c>
      <c r="B398" s="8" t="s">
        <v>509</v>
      </c>
      <c r="C398" s="7" t="s">
        <v>30</v>
      </c>
      <c r="D398" s="7" t="s">
        <v>527</v>
      </c>
      <c r="E398" s="7" t="s">
        <v>26</v>
      </c>
      <c r="F398" s="7" t="s">
        <v>24</v>
      </c>
    </row>
    <row r="399" ht="22.5" customHeight="1">
      <c r="A399" s="7" t="s">
        <v>57</v>
      </c>
      <c r="B399" s="8" t="s">
        <v>509</v>
      </c>
      <c r="C399" s="7" t="s">
        <v>30</v>
      </c>
      <c r="D399" s="7" t="s">
        <v>528</v>
      </c>
      <c r="E399" s="7" t="s">
        <v>26</v>
      </c>
      <c r="F399" s="7" t="s">
        <v>24</v>
      </c>
    </row>
    <row r="400" ht="22.5" customHeight="1">
      <c r="A400" s="7" t="s">
        <v>57</v>
      </c>
      <c r="B400" s="8" t="s">
        <v>509</v>
      </c>
      <c r="C400" s="7" t="s">
        <v>30</v>
      </c>
      <c r="D400" s="7" t="s">
        <v>529</v>
      </c>
      <c r="E400" s="7" t="s">
        <v>26</v>
      </c>
      <c r="F400" s="7" t="s">
        <v>24</v>
      </c>
    </row>
    <row r="401" ht="22.5" customHeight="1">
      <c r="A401" s="7" t="s">
        <v>57</v>
      </c>
      <c r="B401" s="8" t="s">
        <v>509</v>
      </c>
      <c r="C401" s="7" t="s">
        <v>36</v>
      </c>
      <c r="D401" s="7" t="s">
        <v>530</v>
      </c>
      <c r="E401" s="7" t="s">
        <v>16</v>
      </c>
      <c r="F401" s="7" t="s">
        <v>16</v>
      </c>
    </row>
    <row r="402" ht="22.5" customHeight="1">
      <c r="A402" s="7" t="s">
        <v>57</v>
      </c>
      <c r="B402" s="8" t="s">
        <v>509</v>
      </c>
      <c r="C402" s="7" t="s">
        <v>38</v>
      </c>
      <c r="D402" s="7" t="s">
        <v>531</v>
      </c>
      <c r="E402" s="7" t="s">
        <v>16</v>
      </c>
      <c r="F402" s="7" t="s">
        <v>16</v>
      </c>
    </row>
    <row r="403" ht="22.5" customHeight="1">
      <c r="A403" s="7" t="s">
        <v>57</v>
      </c>
      <c r="B403" s="8" t="s">
        <v>509</v>
      </c>
      <c r="C403" s="7" t="s">
        <v>38</v>
      </c>
      <c r="D403" s="7" t="s">
        <v>532</v>
      </c>
      <c r="E403" s="7" t="s">
        <v>105</v>
      </c>
      <c r="F403" s="7" t="s">
        <v>16</v>
      </c>
    </row>
    <row r="404" ht="22.5" customHeight="1">
      <c r="A404" s="7" t="s">
        <v>57</v>
      </c>
      <c r="B404" s="8" t="s">
        <v>509</v>
      </c>
      <c r="C404" s="7" t="s">
        <v>40</v>
      </c>
      <c r="D404" s="7" t="s">
        <v>533</v>
      </c>
      <c r="E404" s="7" t="s">
        <v>16</v>
      </c>
      <c r="F404" s="7" t="s">
        <v>16</v>
      </c>
    </row>
    <row r="405" ht="22.5" customHeight="1">
      <c r="A405" s="7" t="s">
        <v>57</v>
      </c>
      <c r="B405" s="8" t="s">
        <v>509</v>
      </c>
      <c r="C405" s="7" t="s">
        <v>43</v>
      </c>
      <c r="D405" s="7" t="s">
        <v>534</v>
      </c>
      <c r="E405" s="7" t="s">
        <v>16</v>
      </c>
      <c r="F405" s="7" t="s">
        <v>16</v>
      </c>
    </row>
    <row r="406" ht="22.5" customHeight="1">
      <c r="A406" s="7" t="s">
        <v>178</v>
      </c>
      <c r="B406" s="8" t="s">
        <v>535</v>
      </c>
      <c r="C406" s="7" t="s">
        <v>30</v>
      </c>
      <c r="D406" s="7" t="s">
        <v>536</v>
      </c>
      <c r="E406" s="7" t="s">
        <v>16</v>
      </c>
      <c r="F406" s="7" t="s">
        <v>16</v>
      </c>
    </row>
    <row r="407" ht="22.5" customHeight="1">
      <c r="A407" s="7" t="s">
        <v>178</v>
      </c>
      <c r="B407" s="8" t="s">
        <v>535</v>
      </c>
      <c r="C407" s="7" t="s">
        <v>30</v>
      </c>
      <c r="D407" s="7" t="s">
        <v>537</v>
      </c>
      <c r="E407" s="7" t="s">
        <v>16</v>
      </c>
      <c r="F407" s="7" t="s">
        <v>18</v>
      </c>
    </row>
    <row r="408" ht="22.5" customHeight="1">
      <c r="A408" s="7" t="s">
        <v>178</v>
      </c>
      <c r="B408" s="8" t="s">
        <v>535</v>
      </c>
      <c r="C408" s="7" t="s">
        <v>30</v>
      </c>
      <c r="D408" s="7" t="s">
        <v>538</v>
      </c>
      <c r="E408" s="7" t="s">
        <v>16</v>
      </c>
      <c r="F408" s="7" t="s">
        <v>20</v>
      </c>
    </row>
    <row r="409" ht="22.5" customHeight="1">
      <c r="A409" s="7" t="s">
        <v>178</v>
      </c>
      <c r="B409" s="8" t="s">
        <v>535</v>
      </c>
      <c r="C409" s="7" t="s">
        <v>30</v>
      </c>
      <c r="D409" s="7" t="s">
        <v>539</v>
      </c>
      <c r="E409" s="7" t="s">
        <v>16</v>
      </c>
      <c r="F409" s="7" t="s">
        <v>22</v>
      </c>
    </row>
    <row r="410" ht="22.5" customHeight="1">
      <c r="A410" s="7" t="s">
        <v>178</v>
      </c>
      <c r="B410" s="8" t="s">
        <v>535</v>
      </c>
      <c r="C410" s="7" t="s">
        <v>30</v>
      </c>
      <c r="D410" s="7" t="s">
        <v>540</v>
      </c>
      <c r="E410" s="7" t="s">
        <v>16</v>
      </c>
      <c r="F410" s="7" t="s">
        <v>24</v>
      </c>
    </row>
    <row r="411" ht="22.5" customHeight="1">
      <c r="A411" s="7" t="s">
        <v>178</v>
      </c>
      <c r="B411" s="8" t="s">
        <v>535</v>
      </c>
      <c r="C411" s="7" t="s">
        <v>30</v>
      </c>
      <c r="D411" s="7" t="s">
        <v>541</v>
      </c>
      <c r="E411" s="7" t="s">
        <v>26</v>
      </c>
      <c r="F411" s="7" t="s">
        <v>18</v>
      </c>
    </row>
    <row r="412" ht="22.5" customHeight="1">
      <c r="A412" s="7" t="s">
        <v>178</v>
      </c>
      <c r="B412" s="8" t="s">
        <v>535</v>
      </c>
      <c r="C412" s="7" t="s">
        <v>30</v>
      </c>
      <c r="D412" s="7" t="s">
        <v>542</v>
      </c>
      <c r="E412" s="7" t="s">
        <v>26</v>
      </c>
      <c r="F412" s="7" t="s">
        <v>20</v>
      </c>
    </row>
    <row r="413" ht="22.5" customHeight="1">
      <c r="A413" s="7" t="s">
        <v>178</v>
      </c>
      <c r="B413" s="8" t="s">
        <v>535</v>
      </c>
      <c r="C413" s="7" t="s">
        <v>30</v>
      </c>
      <c r="D413" s="7" t="s">
        <v>543</v>
      </c>
      <c r="E413" s="7" t="s">
        <v>26</v>
      </c>
      <c r="F413" s="7" t="s">
        <v>20</v>
      </c>
    </row>
    <row r="414" ht="22.5" customHeight="1">
      <c r="A414" s="7" t="s">
        <v>178</v>
      </c>
      <c r="B414" s="8" t="s">
        <v>535</v>
      </c>
      <c r="C414" s="7" t="s">
        <v>30</v>
      </c>
      <c r="D414" s="7" t="s">
        <v>544</v>
      </c>
      <c r="E414" s="7" t="s">
        <v>26</v>
      </c>
      <c r="F414" s="7" t="s">
        <v>22</v>
      </c>
    </row>
    <row r="415" ht="22.5" customHeight="1">
      <c r="A415" s="7" t="s">
        <v>178</v>
      </c>
      <c r="B415" s="8" t="s">
        <v>535</v>
      </c>
      <c r="C415" s="7" t="s">
        <v>30</v>
      </c>
      <c r="D415" s="7" t="s">
        <v>545</v>
      </c>
      <c r="E415" s="7" t="s">
        <v>26</v>
      </c>
      <c r="F415" s="7" t="s">
        <v>24</v>
      </c>
    </row>
    <row r="416" ht="22.5" customHeight="1">
      <c r="A416" s="7" t="s">
        <v>178</v>
      </c>
      <c r="B416" s="8" t="s">
        <v>535</v>
      </c>
      <c r="C416" s="7" t="s">
        <v>36</v>
      </c>
      <c r="D416" s="7" t="s">
        <v>546</v>
      </c>
      <c r="E416" s="7" t="s">
        <v>16</v>
      </c>
      <c r="F416" s="7" t="s">
        <v>16</v>
      </c>
    </row>
    <row r="417" ht="22.5" customHeight="1">
      <c r="A417" s="7" t="s">
        <v>178</v>
      </c>
      <c r="B417" s="8" t="s">
        <v>535</v>
      </c>
      <c r="C417" s="7" t="s">
        <v>38</v>
      </c>
      <c r="D417" s="7" t="s">
        <v>547</v>
      </c>
      <c r="E417" s="7" t="s">
        <v>16</v>
      </c>
      <c r="F417" s="7" t="s">
        <v>16</v>
      </c>
    </row>
    <row r="418" ht="22.5" customHeight="1">
      <c r="A418" s="7" t="s">
        <v>178</v>
      </c>
      <c r="B418" s="8" t="s">
        <v>535</v>
      </c>
      <c r="C418" s="7" t="s">
        <v>38</v>
      </c>
      <c r="D418" s="7" t="s">
        <v>548</v>
      </c>
      <c r="E418" s="7" t="s">
        <v>26</v>
      </c>
      <c r="F418" s="7" t="s">
        <v>16</v>
      </c>
    </row>
    <row r="419" ht="22.5" customHeight="1">
      <c r="A419" s="7" t="s">
        <v>178</v>
      </c>
      <c r="B419" s="8" t="s">
        <v>535</v>
      </c>
      <c r="C419" s="7" t="s">
        <v>38</v>
      </c>
      <c r="D419" s="7" t="s">
        <v>549</v>
      </c>
      <c r="E419" s="7" t="s">
        <v>105</v>
      </c>
      <c r="F419" s="7" t="s">
        <v>16</v>
      </c>
    </row>
    <row r="420" ht="22.5" customHeight="1">
      <c r="A420" s="7" t="s">
        <v>178</v>
      </c>
      <c r="B420" s="8" t="s">
        <v>535</v>
      </c>
      <c r="C420" s="7" t="s">
        <v>40</v>
      </c>
      <c r="D420" s="7" t="s">
        <v>550</v>
      </c>
      <c r="E420" s="7" t="s">
        <v>16</v>
      </c>
      <c r="F420" s="7" t="s">
        <v>16</v>
      </c>
    </row>
    <row r="421" ht="22.5" customHeight="1">
      <c r="A421" s="7" t="s">
        <v>178</v>
      </c>
      <c r="B421" s="8" t="s">
        <v>535</v>
      </c>
      <c r="C421" s="7" t="s">
        <v>43</v>
      </c>
      <c r="D421" s="7" t="s">
        <v>551</v>
      </c>
      <c r="E421" s="7" t="s">
        <v>16</v>
      </c>
      <c r="F421" s="7" t="s">
        <v>16</v>
      </c>
    </row>
    <row r="422" ht="22.5" customHeight="1">
      <c r="A422" s="7" t="s">
        <v>67</v>
      </c>
      <c r="B422" s="8" t="s">
        <v>552</v>
      </c>
      <c r="C422" s="7" t="s">
        <v>14</v>
      </c>
      <c r="D422" s="7" t="s">
        <v>553</v>
      </c>
      <c r="E422" s="7" t="s">
        <v>16</v>
      </c>
      <c r="F422" s="7" t="s">
        <v>48</v>
      </c>
    </row>
    <row r="423" ht="22.5" customHeight="1">
      <c r="A423" s="7" t="s">
        <v>67</v>
      </c>
      <c r="B423" s="8" t="s">
        <v>552</v>
      </c>
      <c r="C423" s="7" t="s">
        <v>30</v>
      </c>
      <c r="D423" s="7" t="s">
        <v>554</v>
      </c>
      <c r="E423" s="7" t="s">
        <v>16</v>
      </c>
      <c r="F423" s="7" t="s">
        <v>48</v>
      </c>
    </row>
    <row r="424" ht="22.5" customHeight="1">
      <c r="A424" s="7" t="s">
        <v>67</v>
      </c>
      <c r="B424" s="8" t="s">
        <v>552</v>
      </c>
      <c r="C424" s="7" t="s">
        <v>30</v>
      </c>
      <c r="D424" s="7" t="s">
        <v>555</v>
      </c>
      <c r="E424" s="7" t="s">
        <v>16</v>
      </c>
      <c r="F424" s="7" t="s">
        <v>48</v>
      </c>
    </row>
    <row r="425" ht="22.5" customHeight="1">
      <c r="A425" s="7" t="s">
        <v>67</v>
      </c>
      <c r="B425" s="8" t="s">
        <v>552</v>
      </c>
      <c r="C425" s="7" t="s">
        <v>30</v>
      </c>
      <c r="D425" s="7" t="s">
        <v>556</v>
      </c>
      <c r="E425" s="7" t="s">
        <v>16</v>
      </c>
      <c r="F425" s="7" t="s">
        <v>48</v>
      </c>
    </row>
    <row r="426" ht="22.5" customHeight="1">
      <c r="A426" s="7" t="s">
        <v>67</v>
      </c>
      <c r="B426" s="8" t="s">
        <v>552</v>
      </c>
      <c r="C426" s="7" t="s">
        <v>30</v>
      </c>
      <c r="D426" s="7" t="s">
        <v>557</v>
      </c>
      <c r="E426" s="7" t="s">
        <v>16</v>
      </c>
      <c r="F426" s="7" t="s">
        <v>48</v>
      </c>
    </row>
    <row r="427" ht="22.5" customHeight="1">
      <c r="A427" s="7" t="s">
        <v>67</v>
      </c>
      <c r="B427" s="8" t="s">
        <v>552</v>
      </c>
      <c r="C427" s="7" t="s">
        <v>30</v>
      </c>
      <c r="D427" s="7" t="s">
        <v>558</v>
      </c>
      <c r="E427" s="7" t="s">
        <v>26</v>
      </c>
      <c r="F427" s="7" t="s">
        <v>48</v>
      </c>
    </row>
    <row r="428" ht="22.5" customHeight="1">
      <c r="A428" s="7" t="s">
        <v>67</v>
      </c>
      <c r="B428" s="8" t="s">
        <v>552</v>
      </c>
      <c r="C428" s="7" t="s">
        <v>30</v>
      </c>
      <c r="D428" s="7" t="s">
        <v>559</v>
      </c>
      <c r="E428" s="7" t="s">
        <v>26</v>
      </c>
      <c r="F428" s="7" t="s">
        <v>48</v>
      </c>
    </row>
    <row r="429" ht="22.5" customHeight="1">
      <c r="A429" s="7" t="s">
        <v>67</v>
      </c>
      <c r="B429" s="8" t="s">
        <v>552</v>
      </c>
      <c r="C429" s="7" t="s">
        <v>30</v>
      </c>
      <c r="D429" s="7" t="s">
        <v>560</v>
      </c>
      <c r="E429" s="7" t="s">
        <v>26</v>
      </c>
      <c r="F429" s="7" t="s">
        <v>48</v>
      </c>
    </row>
    <row r="430" ht="22.5" customHeight="1">
      <c r="A430" s="7" t="s">
        <v>67</v>
      </c>
      <c r="B430" s="8" t="s">
        <v>552</v>
      </c>
      <c r="C430" s="7" t="s">
        <v>30</v>
      </c>
      <c r="D430" s="7" t="s">
        <v>561</v>
      </c>
      <c r="E430" s="7" t="s">
        <v>26</v>
      </c>
      <c r="F430" s="7" t="s">
        <v>48</v>
      </c>
    </row>
    <row r="431" ht="22.5" customHeight="1">
      <c r="A431" s="7" t="s">
        <v>67</v>
      </c>
      <c r="B431" s="8" t="s">
        <v>552</v>
      </c>
      <c r="C431" s="7" t="s">
        <v>38</v>
      </c>
      <c r="D431" s="7" t="s">
        <v>562</v>
      </c>
      <c r="E431" s="7" t="s">
        <v>26</v>
      </c>
      <c r="F431" s="7" t="s">
        <v>48</v>
      </c>
    </row>
    <row r="432" ht="22.5" customHeight="1">
      <c r="A432" s="7" t="s">
        <v>67</v>
      </c>
      <c r="B432" s="8" t="s">
        <v>552</v>
      </c>
      <c r="C432" s="7" t="s">
        <v>43</v>
      </c>
      <c r="D432" s="7" t="s">
        <v>563</v>
      </c>
      <c r="E432" s="7" t="s">
        <v>26</v>
      </c>
      <c r="F432" s="7" t="s">
        <v>48</v>
      </c>
    </row>
    <row r="433" ht="22.5" customHeight="1">
      <c r="A433" s="7" t="s">
        <v>67</v>
      </c>
      <c r="B433" s="8" t="s">
        <v>552</v>
      </c>
      <c r="C433" s="7" t="s">
        <v>30</v>
      </c>
      <c r="D433" s="7" t="s">
        <v>564</v>
      </c>
      <c r="E433" s="7" t="s">
        <v>76</v>
      </c>
      <c r="F433" s="7" t="s">
        <v>565</v>
      </c>
    </row>
    <row r="434" ht="22.5" customHeight="1">
      <c r="A434" s="7" t="s">
        <v>134</v>
      </c>
      <c r="B434" s="8" t="s">
        <v>566</v>
      </c>
      <c r="C434" s="7" t="s">
        <v>14</v>
      </c>
      <c r="D434" s="7" t="s">
        <v>567</v>
      </c>
      <c r="E434" s="7" t="s">
        <v>16</v>
      </c>
      <c r="F434" s="7" t="s">
        <v>16</v>
      </c>
    </row>
    <row r="435" ht="22.5" customHeight="1">
      <c r="A435" s="7" t="s">
        <v>134</v>
      </c>
      <c r="B435" s="8" t="s">
        <v>566</v>
      </c>
      <c r="C435" s="7" t="s">
        <v>30</v>
      </c>
      <c r="D435" s="7" t="s">
        <v>568</v>
      </c>
      <c r="E435" s="7" t="s">
        <v>16</v>
      </c>
      <c r="F435" s="7" t="s">
        <v>16</v>
      </c>
    </row>
    <row r="436" ht="22.5" customHeight="1">
      <c r="A436" s="7" t="s">
        <v>134</v>
      </c>
      <c r="B436" s="8" t="s">
        <v>566</v>
      </c>
      <c r="C436" s="7" t="s">
        <v>30</v>
      </c>
      <c r="D436" s="7" t="s">
        <v>569</v>
      </c>
      <c r="E436" s="7" t="s">
        <v>26</v>
      </c>
      <c r="F436" s="7" t="s">
        <v>16</v>
      </c>
    </row>
    <row r="437" ht="22.5" customHeight="1">
      <c r="A437" s="7" t="s">
        <v>134</v>
      </c>
      <c r="B437" s="8" t="s">
        <v>566</v>
      </c>
      <c r="C437" s="7" t="s">
        <v>30</v>
      </c>
      <c r="D437" s="7" t="s">
        <v>570</v>
      </c>
      <c r="E437" s="7" t="s">
        <v>26</v>
      </c>
      <c r="F437" s="7" t="s">
        <v>16</v>
      </c>
    </row>
    <row r="438" ht="22.5" customHeight="1">
      <c r="A438" s="7" t="s">
        <v>134</v>
      </c>
      <c r="B438" s="8" t="s">
        <v>566</v>
      </c>
      <c r="C438" s="7" t="s">
        <v>30</v>
      </c>
      <c r="D438" s="7" t="s">
        <v>571</v>
      </c>
      <c r="E438" s="7" t="s">
        <v>26</v>
      </c>
      <c r="F438" s="7" t="s">
        <v>16</v>
      </c>
    </row>
    <row r="439" ht="22.5" customHeight="1">
      <c r="A439" s="7" t="s">
        <v>134</v>
      </c>
      <c r="B439" s="8" t="s">
        <v>566</v>
      </c>
      <c r="C439" s="7" t="s">
        <v>30</v>
      </c>
      <c r="D439" s="7" t="s">
        <v>572</v>
      </c>
      <c r="E439" s="7" t="s">
        <v>26</v>
      </c>
      <c r="F439" s="7" t="s">
        <v>16</v>
      </c>
    </row>
    <row r="440" ht="22.5" customHeight="1">
      <c r="A440" s="7" t="s">
        <v>134</v>
      </c>
      <c r="B440" s="8" t="s">
        <v>566</v>
      </c>
      <c r="C440" s="7" t="s">
        <v>30</v>
      </c>
      <c r="D440" s="7" t="s">
        <v>573</v>
      </c>
      <c r="E440" s="7" t="s">
        <v>26</v>
      </c>
      <c r="F440" s="7" t="s">
        <v>16</v>
      </c>
    </row>
    <row r="441" ht="22.5" customHeight="1">
      <c r="A441" s="7" t="s">
        <v>134</v>
      </c>
      <c r="B441" s="8" t="s">
        <v>566</v>
      </c>
      <c r="C441" s="7" t="s">
        <v>30</v>
      </c>
      <c r="D441" s="7" t="s">
        <v>574</v>
      </c>
      <c r="E441" s="7" t="s">
        <v>26</v>
      </c>
      <c r="F441" s="7" t="s">
        <v>16</v>
      </c>
    </row>
    <row r="442" ht="22.5" customHeight="1">
      <c r="A442" s="7" t="s">
        <v>134</v>
      </c>
      <c r="B442" s="8" t="s">
        <v>566</v>
      </c>
      <c r="C442" s="7" t="s">
        <v>30</v>
      </c>
      <c r="D442" s="7" t="s">
        <v>575</v>
      </c>
      <c r="E442" s="7" t="s">
        <v>26</v>
      </c>
      <c r="F442" s="7" t="s">
        <v>16</v>
      </c>
    </row>
    <row r="443" ht="22.5" customHeight="1">
      <c r="A443" s="7" t="s">
        <v>134</v>
      </c>
      <c r="B443" s="8" t="s">
        <v>566</v>
      </c>
      <c r="C443" s="7" t="s">
        <v>36</v>
      </c>
      <c r="D443" s="7" t="s">
        <v>576</v>
      </c>
      <c r="E443" s="7" t="s">
        <v>16</v>
      </c>
      <c r="F443" s="7" t="s">
        <v>16</v>
      </c>
    </row>
    <row r="444" ht="22.5" customHeight="1">
      <c r="A444" s="7" t="s">
        <v>134</v>
      </c>
      <c r="B444" s="8" t="s">
        <v>566</v>
      </c>
      <c r="C444" s="7" t="s">
        <v>36</v>
      </c>
      <c r="D444" s="7" t="s">
        <v>577</v>
      </c>
      <c r="E444" s="7" t="s">
        <v>105</v>
      </c>
      <c r="F444" s="7" t="s">
        <v>16</v>
      </c>
    </row>
    <row r="445" ht="22.5" customHeight="1">
      <c r="A445" s="7" t="s">
        <v>134</v>
      </c>
      <c r="B445" s="8" t="s">
        <v>566</v>
      </c>
      <c r="C445" s="7" t="s">
        <v>38</v>
      </c>
      <c r="D445" s="7" t="s">
        <v>578</v>
      </c>
      <c r="E445" s="7" t="s">
        <v>16</v>
      </c>
      <c r="F445" s="7" t="s">
        <v>16</v>
      </c>
    </row>
    <row r="446" ht="22.5" customHeight="1">
      <c r="A446" s="7" t="s">
        <v>134</v>
      </c>
      <c r="B446" s="8" t="s">
        <v>566</v>
      </c>
      <c r="C446" s="7" t="s">
        <v>40</v>
      </c>
      <c r="D446" s="7" t="s">
        <v>579</v>
      </c>
      <c r="E446" s="7" t="s">
        <v>16</v>
      </c>
      <c r="F446" s="7" t="s">
        <v>16</v>
      </c>
    </row>
    <row r="447" ht="22.5" customHeight="1">
      <c r="A447" s="7" t="s">
        <v>134</v>
      </c>
      <c r="B447" s="8" t="s">
        <v>566</v>
      </c>
      <c r="C447" s="7" t="s">
        <v>43</v>
      </c>
      <c r="D447" s="7" t="s">
        <v>580</v>
      </c>
      <c r="E447" s="7" t="s">
        <v>16</v>
      </c>
      <c r="F447" s="7" t="s">
        <v>16</v>
      </c>
    </row>
    <row r="448" ht="22.5" customHeight="1">
      <c r="A448" s="7" t="s">
        <v>134</v>
      </c>
      <c r="B448" s="8" t="s">
        <v>581</v>
      </c>
      <c r="C448" s="7" t="s">
        <v>14</v>
      </c>
      <c r="D448" s="7" t="s">
        <v>582</v>
      </c>
      <c r="E448" s="7" t="s">
        <v>16</v>
      </c>
      <c r="F448" s="7" t="s">
        <v>16</v>
      </c>
    </row>
    <row r="449" ht="22.5" customHeight="1">
      <c r="A449" s="7" t="s">
        <v>134</v>
      </c>
      <c r="B449" s="8" t="s">
        <v>581</v>
      </c>
      <c r="C449" s="7" t="s">
        <v>30</v>
      </c>
      <c r="D449" s="7" t="s">
        <v>583</v>
      </c>
      <c r="E449" s="7" t="s">
        <v>16</v>
      </c>
      <c r="F449" s="7" t="s">
        <v>16</v>
      </c>
    </row>
    <row r="450" ht="22.5" customHeight="1">
      <c r="A450" s="7" t="s">
        <v>134</v>
      </c>
      <c r="B450" s="8" t="s">
        <v>581</v>
      </c>
      <c r="C450" s="7" t="s">
        <v>36</v>
      </c>
      <c r="D450" s="7" t="s">
        <v>584</v>
      </c>
      <c r="E450" s="7" t="s">
        <v>16</v>
      </c>
      <c r="F450" s="7" t="s">
        <v>16</v>
      </c>
    </row>
    <row r="451" ht="22.5" customHeight="1">
      <c r="A451" s="7" t="s">
        <v>134</v>
      </c>
      <c r="B451" s="8" t="s">
        <v>581</v>
      </c>
      <c r="C451" s="7" t="s">
        <v>38</v>
      </c>
      <c r="D451" s="7" t="s">
        <v>585</v>
      </c>
      <c r="E451" s="7" t="s">
        <v>16</v>
      </c>
      <c r="F451" s="7" t="s">
        <v>16</v>
      </c>
    </row>
    <row r="452" ht="22.5" customHeight="1">
      <c r="A452" s="7" t="s">
        <v>134</v>
      </c>
      <c r="B452" s="8" t="s">
        <v>581</v>
      </c>
      <c r="C452" s="7" t="s">
        <v>40</v>
      </c>
      <c r="D452" s="7" t="s">
        <v>586</v>
      </c>
      <c r="E452" s="7" t="s">
        <v>16</v>
      </c>
      <c r="F452" s="7" t="s">
        <v>16</v>
      </c>
    </row>
    <row r="453" ht="22.5" customHeight="1">
      <c r="A453" s="7" t="s">
        <v>134</v>
      </c>
      <c r="B453" s="8" t="s">
        <v>581</v>
      </c>
      <c r="C453" s="7" t="s">
        <v>43</v>
      </c>
      <c r="D453" s="7" t="s">
        <v>587</v>
      </c>
      <c r="E453" s="7" t="s">
        <v>16</v>
      </c>
      <c r="F453" s="7" t="s">
        <v>16</v>
      </c>
    </row>
    <row r="454" ht="22.5" customHeight="1">
      <c r="A454" s="7" t="s">
        <v>134</v>
      </c>
      <c r="B454" s="8" t="s">
        <v>588</v>
      </c>
      <c r="C454" s="7" t="s">
        <v>14</v>
      </c>
      <c r="D454" s="7" t="s">
        <v>589</v>
      </c>
      <c r="E454" s="7" t="s">
        <v>16</v>
      </c>
      <c r="F454" s="7" t="s">
        <v>16</v>
      </c>
    </row>
    <row r="455" ht="22.5" customHeight="1">
      <c r="A455" s="7" t="s">
        <v>134</v>
      </c>
      <c r="B455" s="8" t="s">
        <v>588</v>
      </c>
      <c r="C455" s="7" t="s">
        <v>30</v>
      </c>
      <c r="D455" s="7" t="s">
        <v>590</v>
      </c>
      <c r="E455" s="7" t="s">
        <v>16</v>
      </c>
      <c r="F455" s="7" t="s">
        <v>16</v>
      </c>
    </row>
    <row r="456" ht="22.5" customHeight="1">
      <c r="A456" s="7" t="s">
        <v>134</v>
      </c>
      <c r="B456" s="8" t="s">
        <v>588</v>
      </c>
      <c r="C456" s="7" t="s">
        <v>36</v>
      </c>
      <c r="D456" s="7" t="s">
        <v>591</v>
      </c>
      <c r="E456" s="7" t="s">
        <v>16</v>
      </c>
      <c r="F456" s="7" t="s">
        <v>16</v>
      </c>
    </row>
    <row r="457" ht="22.5" customHeight="1">
      <c r="A457" s="7" t="s">
        <v>134</v>
      </c>
      <c r="B457" s="8" t="s">
        <v>588</v>
      </c>
      <c r="C457" s="7" t="s">
        <v>38</v>
      </c>
      <c r="D457" s="7" t="s">
        <v>592</v>
      </c>
      <c r="E457" s="7" t="s">
        <v>16</v>
      </c>
      <c r="F457" s="7" t="s">
        <v>16</v>
      </c>
    </row>
    <row r="458" ht="22.5" customHeight="1">
      <c r="A458" s="7" t="s">
        <v>134</v>
      </c>
      <c r="B458" s="8" t="s">
        <v>588</v>
      </c>
      <c r="C458" s="7" t="s">
        <v>40</v>
      </c>
      <c r="D458" s="7" t="s">
        <v>593</v>
      </c>
      <c r="E458" s="7" t="s">
        <v>16</v>
      </c>
      <c r="F458" s="7" t="s">
        <v>16</v>
      </c>
    </row>
    <row r="459" ht="22.5" customHeight="1">
      <c r="A459" s="7" t="s">
        <v>134</v>
      </c>
      <c r="B459" s="8" t="s">
        <v>588</v>
      </c>
      <c r="C459" s="7" t="s">
        <v>43</v>
      </c>
      <c r="D459" s="7" t="s">
        <v>594</v>
      </c>
      <c r="E459" s="7" t="s">
        <v>16</v>
      </c>
      <c r="F459" s="7" t="s">
        <v>16</v>
      </c>
    </row>
    <row r="460" ht="22.5" customHeight="1">
      <c r="A460" s="7" t="s">
        <v>226</v>
      </c>
      <c r="B460" s="8" t="s">
        <v>595</v>
      </c>
      <c r="C460" s="7" t="s">
        <v>30</v>
      </c>
      <c r="D460" s="7" t="s">
        <v>596</v>
      </c>
      <c r="E460" s="7" t="s">
        <v>16</v>
      </c>
      <c r="F460" s="7" t="s">
        <v>16</v>
      </c>
    </row>
    <row r="461" ht="22.5" customHeight="1">
      <c r="A461" s="7" t="s">
        <v>226</v>
      </c>
      <c r="B461" s="8" t="s">
        <v>595</v>
      </c>
      <c r="C461" s="7" t="s">
        <v>30</v>
      </c>
      <c r="D461" s="7" t="s">
        <v>597</v>
      </c>
      <c r="E461" s="7" t="s">
        <v>16</v>
      </c>
      <c r="F461" s="7" t="s">
        <v>16</v>
      </c>
    </row>
    <row r="462" ht="22.5" customHeight="1">
      <c r="A462" s="7" t="s">
        <v>226</v>
      </c>
      <c r="B462" s="8" t="s">
        <v>595</v>
      </c>
      <c r="C462" s="7" t="s">
        <v>598</v>
      </c>
      <c r="D462" s="7" t="s">
        <v>599</v>
      </c>
      <c r="E462" s="7" t="s">
        <v>16</v>
      </c>
      <c r="F462" s="7" t="s">
        <v>16</v>
      </c>
    </row>
    <row r="463" ht="22.5" customHeight="1">
      <c r="A463" s="7" t="s">
        <v>226</v>
      </c>
      <c r="B463" s="8" t="s">
        <v>595</v>
      </c>
      <c r="C463" s="7" t="s">
        <v>36</v>
      </c>
      <c r="D463" s="7" t="s">
        <v>600</v>
      </c>
      <c r="E463" s="7" t="s">
        <v>16</v>
      </c>
      <c r="F463" s="7" t="s">
        <v>16</v>
      </c>
    </row>
    <row r="464" ht="22.5" customHeight="1">
      <c r="A464" s="7" t="s">
        <v>226</v>
      </c>
      <c r="B464" s="8" t="s">
        <v>595</v>
      </c>
      <c r="C464" s="7" t="s">
        <v>230</v>
      </c>
      <c r="D464" s="7" t="s">
        <v>601</v>
      </c>
      <c r="E464" s="7" t="s">
        <v>16</v>
      </c>
      <c r="F464" s="7" t="s">
        <v>16</v>
      </c>
    </row>
    <row r="465" ht="22.5" customHeight="1">
      <c r="A465" s="7" t="s">
        <v>226</v>
      </c>
      <c r="B465" s="8" t="s">
        <v>595</v>
      </c>
      <c r="C465" s="7" t="s">
        <v>38</v>
      </c>
      <c r="D465" s="7" t="s">
        <v>602</v>
      </c>
      <c r="E465" s="7" t="s">
        <v>16</v>
      </c>
      <c r="F465" s="7" t="s">
        <v>16</v>
      </c>
    </row>
    <row r="466" ht="22.5" customHeight="1">
      <c r="A466" s="7" t="s">
        <v>226</v>
      </c>
      <c r="B466" s="8" t="s">
        <v>595</v>
      </c>
      <c r="C466" s="7" t="s">
        <v>233</v>
      </c>
      <c r="D466" s="7" t="s">
        <v>603</v>
      </c>
      <c r="E466" s="7" t="s">
        <v>16</v>
      </c>
      <c r="F466" s="7" t="s">
        <v>16</v>
      </c>
    </row>
    <row r="467" ht="22.5" customHeight="1">
      <c r="A467" s="7" t="s">
        <v>226</v>
      </c>
      <c r="B467" s="8" t="s">
        <v>595</v>
      </c>
      <c r="C467" s="7" t="s">
        <v>40</v>
      </c>
      <c r="D467" s="7" t="s">
        <v>604</v>
      </c>
      <c r="E467" s="7" t="s">
        <v>16</v>
      </c>
      <c r="F467" s="7" t="s">
        <v>16</v>
      </c>
    </row>
    <row r="468" ht="22.5" customHeight="1">
      <c r="A468" s="7" t="s">
        <v>226</v>
      </c>
      <c r="B468" s="8" t="s">
        <v>595</v>
      </c>
      <c r="C468" s="7" t="s">
        <v>236</v>
      </c>
      <c r="D468" s="7" t="s">
        <v>605</v>
      </c>
      <c r="E468" s="7" t="s">
        <v>16</v>
      </c>
      <c r="F468" s="7" t="s">
        <v>16</v>
      </c>
    </row>
    <row r="469" ht="22.5" customHeight="1">
      <c r="A469" s="7" t="s">
        <v>226</v>
      </c>
      <c r="B469" s="8" t="s">
        <v>595</v>
      </c>
      <c r="C469" s="7" t="s">
        <v>43</v>
      </c>
      <c r="D469" s="7" t="s">
        <v>606</v>
      </c>
      <c r="E469" s="7" t="s">
        <v>16</v>
      </c>
      <c r="F469" s="7" t="s">
        <v>16</v>
      </c>
    </row>
    <row r="470" ht="22.5" customHeight="1">
      <c r="A470" s="7" t="s">
        <v>226</v>
      </c>
      <c r="B470" s="8" t="s">
        <v>595</v>
      </c>
      <c r="C470" s="7" t="s">
        <v>239</v>
      </c>
      <c r="D470" s="7" t="s">
        <v>607</v>
      </c>
      <c r="E470" s="7" t="s">
        <v>16</v>
      </c>
      <c r="F470" s="7" t="s">
        <v>16</v>
      </c>
    </row>
    <row r="471" ht="22.5" customHeight="1">
      <c r="A471" s="7" t="s">
        <v>178</v>
      </c>
      <c r="B471" s="8" t="s">
        <v>608</v>
      </c>
      <c r="C471" s="7" t="s">
        <v>14</v>
      </c>
      <c r="D471" s="7" t="s">
        <v>609</v>
      </c>
      <c r="E471" s="7" t="s">
        <v>26</v>
      </c>
      <c r="F471" s="7" t="s">
        <v>48</v>
      </c>
    </row>
    <row r="472" ht="22.5" customHeight="1">
      <c r="A472" s="7" t="s">
        <v>178</v>
      </c>
      <c r="B472" s="8" t="s">
        <v>608</v>
      </c>
      <c r="C472" s="7" t="s">
        <v>30</v>
      </c>
      <c r="D472" s="7" t="s">
        <v>610</v>
      </c>
      <c r="E472" s="7" t="s">
        <v>26</v>
      </c>
      <c r="F472" s="7" t="s">
        <v>48</v>
      </c>
    </row>
    <row r="473" ht="22.5" customHeight="1">
      <c r="A473" s="7" t="s">
        <v>178</v>
      </c>
      <c r="B473" s="8" t="s">
        <v>608</v>
      </c>
      <c r="C473" s="7" t="s">
        <v>36</v>
      </c>
      <c r="D473" s="7" t="s">
        <v>611</v>
      </c>
      <c r="E473" s="7" t="s">
        <v>26</v>
      </c>
      <c r="F473" s="7" t="s">
        <v>48</v>
      </c>
    </row>
    <row r="474" ht="22.5" customHeight="1">
      <c r="A474" s="7" t="s">
        <v>178</v>
      </c>
      <c r="B474" s="8" t="s">
        <v>608</v>
      </c>
      <c r="C474" s="7" t="s">
        <v>38</v>
      </c>
      <c r="D474" s="7" t="s">
        <v>612</v>
      </c>
      <c r="E474" s="7" t="s">
        <v>26</v>
      </c>
      <c r="F474" s="7" t="s">
        <v>48</v>
      </c>
    </row>
    <row r="475" ht="22.5" customHeight="1">
      <c r="A475" s="7" t="s">
        <v>178</v>
      </c>
      <c r="B475" s="8" t="s">
        <v>608</v>
      </c>
      <c r="C475" s="7" t="s">
        <v>40</v>
      </c>
      <c r="D475" s="7" t="s">
        <v>613</v>
      </c>
      <c r="E475" s="7" t="s">
        <v>26</v>
      </c>
      <c r="F475" s="7" t="s">
        <v>48</v>
      </c>
    </row>
    <row r="476" ht="22.5" customHeight="1">
      <c r="A476" s="7" t="s">
        <v>178</v>
      </c>
      <c r="B476" s="8" t="s">
        <v>608</v>
      </c>
      <c r="C476" s="7" t="s">
        <v>43</v>
      </c>
      <c r="D476" s="7" t="s">
        <v>614</v>
      </c>
      <c r="E476" s="7" t="s">
        <v>26</v>
      </c>
      <c r="F476" s="7" t="s">
        <v>48</v>
      </c>
    </row>
    <row r="477" ht="22.5" customHeight="1">
      <c r="A477" s="7" t="s">
        <v>178</v>
      </c>
      <c r="B477" s="8" t="s">
        <v>608</v>
      </c>
      <c r="C477" s="7" t="s">
        <v>43</v>
      </c>
      <c r="D477" s="7" t="s">
        <v>615</v>
      </c>
      <c r="E477" s="7" t="s">
        <v>26</v>
      </c>
      <c r="F477" s="7" t="s">
        <v>48</v>
      </c>
    </row>
    <row r="478" ht="22.5" customHeight="1">
      <c r="A478" s="7" t="s">
        <v>139</v>
      </c>
      <c r="B478" s="8" t="s">
        <v>616</v>
      </c>
      <c r="C478" s="7" t="s">
        <v>38</v>
      </c>
      <c r="D478" s="7" t="s">
        <v>617</v>
      </c>
      <c r="E478" s="7" t="s">
        <v>26</v>
      </c>
      <c r="F478" s="7" t="s">
        <v>48</v>
      </c>
    </row>
    <row r="479" ht="22.5" customHeight="1">
      <c r="A479" s="7" t="s">
        <v>139</v>
      </c>
      <c r="B479" s="8" t="s">
        <v>616</v>
      </c>
      <c r="C479" s="7" t="s">
        <v>43</v>
      </c>
      <c r="D479" s="7" t="s">
        <v>618</v>
      </c>
      <c r="E479" s="7" t="s">
        <v>26</v>
      </c>
      <c r="F479" s="7" t="s">
        <v>48</v>
      </c>
    </row>
    <row r="480" ht="22.5" customHeight="1">
      <c r="A480" s="7" t="s">
        <v>139</v>
      </c>
      <c r="B480" s="8" t="s">
        <v>616</v>
      </c>
      <c r="C480" s="7" t="s">
        <v>103</v>
      </c>
      <c r="D480" s="7" t="s">
        <v>619</v>
      </c>
      <c r="E480" s="7" t="s">
        <v>105</v>
      </c>
      <c r="F480" s="7" t="s">
        <v>48</v>
      </c>
    </row>
    <row r="481" ht="22.5" customHeight="1">
      <c r="A481" s="7" t="s">
        <v>139</v>
      </c>
      <c r="B481" s="8" t="s">
        <v>616</v>
      </c>
      <c r="C481" s="7" t="s">
        <v>14</v>
      </c>
      <c r="D481" s="7" t="s">
        <v>620</v>
      </c>
      <c r="E481" s="7" t="s">
        <v>76</v>
      </c>
      <c r="F481" s="7" t="s">
        <v>621</v>
      </c>
    </row>
    <row r="482" ht="22.5" customHeight="1">
      <c r="A482" s="7" t="s">
        <v>226</v>
      </c>
      <c r="B482" s="8" t="s">
        <v>622</v>
      </c>
      <c r="C482" s="7" t="s">
        <v>30</v>
      </c>
      <c r="D482" s="7" t="s">
        <v>623</v>
      </c>
      <c r="E482" s="7" t="s">
        <v>16</v>
      </c>
      <c r="F482" s="7" t="s">
        <v>16</v>
      </c>
    </row>
    <row r="483" ht="22.5" customHeight="1">
      <c r="A483" s="7" t="s">
        <v>226</v>
      </c>
      <c r="B483" s="8" t="s">
        <v>622</v>
      </c>
      <c r="C483" s="7" t="s">
        <v>30</v>
      </c>
      <c r="D483" s="7" t="s">
        <v>624</v>
      </c>
      <c r="E483" s="7" t="s">
        <v>16</v>
      </c>
      <c r="F483" s="7" t="s">
        <v>16</v>
      </c>
    </row>
    <row r="484" ht="22.5" customHeight="1">
      <c r="A484" s="7" t="s">
        <v>226</v>
      </c>
      <c r="B484" s="8" t="s">
        <v>622</v>
      </c>
      <c r="C484" s="7" t="s">
        <v>598</v>
      </c>
      <c r="D484" s="7" t="s">
        <v>625</v>
      </c>
      <c r="E484" s="7" t="s">
        <v>16</v>
      </c>
      <c r="F484" s="7" t="s">
        <v>16</v>
      </c>
    </row>
    <row r="485" ht="22.5" customHeight="1">
      <c r="A485" s="7" t="s">
        <v>226</v>
      </c>
      <c r="B485" s="8" t="s">
        <v>622</v>
      </c>
      <c r="C485" s="7" t="s">
        <v>36</v>
      </c>
      <c r="D485" s="7" t="s">
        <v>626</v>
      </c>
      <c r="E485" s="7" t="s">
        <v>16</v>
      </c>
      <c r="F485" s="7" t="s">
        <v>16</v>
      </c>
    </row>
    <row r="486" ht="22.5" customHeight="1">
      <c r="A486" s="7" t="s">
        <v>226</v>
      </c>
      <c r="B486" s="8" t="s">
        <v>622</v>
      </c>
      <c r="C486" s="7" t="s">
        <v>230</v>
      </c>
      <c r="D486" s="7" t="s">
        <v>627</v>
      </c>
      <c r="E486" s="7" t="s">
        <v>16</v>
      </c>
      <c r="F486" s="7" t="s">
        <v>16</v>
      </c>
    </row>
    <row r="487" ht="22.5" customHeight="1">
      <c r="A487" s="7" t="s">
        <v>226</v>
      </c>
      <c r="B487" s="8" t="s">
        <v>622</v>
      </c>
      <c r="C487" s="7" t="s">
        <v>38</v>
      </c>
      <c r="D487" s="7" t="s">
        <v>628</v>
      </c>
      <c r="E487" s="7" t="s">
        <v>16</v>
      </c>
      <c r="F487" s="7" t="s">
        <v>16</v>
      </c>
    </row>
    <row r="488" ht="22.5" customHeight="1">
      <c r="A488" s="7" t="s">
        <v>226</v>
      </c>
      <c r="B488" s="8" t="s">
        <v>622</v>
      </c>
      <c r="C488" s="7" t="s">
        <v>233</v>
      </c>
      <c r="D488" s="7" t="s">
        <v>629</v>
      </c>
      <c r="E488" s="7" t="s">
        <v>16</v>
      </c>
      <c r="F488" s="7" t="s">
        <v>16</v>
      </c>
    </row>
    <row r="489" ht="22.5" customHeight="1">
      <c r="A489" s="7" t="s">
        <v>226</v>
      </c>
      <c r="B489" s="8" t="s">
        <v>622</v>
      </c>
      <c r="C489" s="7" t="s">
        <v>40</v>
      </c>
      <c r="D489" s="7" t="s">
        <v>630</v>
      </c>
      <c r="E489" s="7" t="s">
        <v>16</v>
      </c>
      <c r="F489" s="7" t="s">
        <v>16</v>
      </c>
    </row>
    <row r="490" ht="22.5" customHeight="1">
      <c r="A490" s="7" t="s">
        <v>226</v>
      </c>
      <c r="B490" s="8" t="s">
        <v>622</v>
      </c>
      <c r="C490" s="7" t="s">
        <v>236</v>
      </c>
      <c r="D490" s="7" t="s">
        <v>631</v>
      </c>
      <c r="E490" s="7" t="s">
        <v>16</v>
      </c>
      <c r="F490" s="7" t="s">
        <v>16</v>
      </c>
    </row>
    <row r="491" ht="22.5" customHeight="1">
      <c r="A491" s="7" t="s">
        <v>226</v>
      </c>
      <c r="B491" s="8" t="s">
        <v>622</v>
      </c>
      <c r="C491" s="7" t="s">
        <v>43</v>
      </c>
      <c r="D491" s="7" t="s">
        <v>632</v>
      </c>
      <c r="E491" s="7" t="s">
        <v>16</v>
      </c>
      <c r="F491" s="7" t="s">
        <v>16</v>
      </c>
    </row>
    <row r="492" ht="22.5" customHeight="1">
      <c r="A492" s="7" t="s">
        <v>226</v>
      </c>
      <c r="B492" s="8" t="s">
        <v>622</v>
      </c>
      <c r="C492" s="7" t="s">
        <v>239</v>
      </c>
      <c r="D492" s="7" t="s">
        <v>633</v>
      </c>
      <c r="E492" s="7" t="s">
        <v>16</v>
      </c>
      <c r="F492" s="7" t="s">
        <v>16</v>
      </c>
    </row>
    <row r="493" ht="22.5" customHeight="1">
      <c r="A493" s="7" t="s">
        <v>152</v>
      </c>
      <c r="B493" s="8" t="s">
        <v>634</v>
      </c>
      <c r="C493" s="7" t="s">
        <v>14</v>
      </c>
      <c r="D493" s="7" t="s">
        <v>635</v>
      </c>
      <c r="E493" s="7" t="s">
        <v>26</v>
      </c>
      <c r="F493" s="7" t="s">
        <v>48</v>
      </c>
    </row>
    <row r="494" ht="22.5" customHeight="1">
      <c r="A494" s="7" t="s">
        <v>152</v>
      </c>
      <c r="B494" s="8" t="s">
        <v>634</v>
      </c>
      <c r="C494" s="7" t="s">
        <v>43</v>
      </c>
      <c r="D494" s="7" t="s">
        <v>636</v>
      </c>
      <c r="E494" s="7" t="s">
        <v>26</v>
      </c>
      <c r="F494" s="7" t="s">
        <v>48</v>
      </c>
    </row>
    <row r="495" ht="22.5" customHeight="1">
      <c r="A495" s="7" t="s">
        <v>178</v>
      </c>
      <c r="B495" s="8" t="s">
        <v>637</v>
      </c>
      <c r="C495" s="7" t="s">
        <v>30</v>
      </c>
      <c r="D495" s="7" t="s">
        <v>638</v>
      </c>
      <c r="E495" s="7" t="s">
        <v>16</v>
      </c>
      <c r="F495" s="7" t="s">
        <v>48</v>
      </c>
    </row>
    <row r="496" ht="22.5" customHeight="1">
      <c r="A496" s="7" t="s">
        <v>178</v>
      </c>
      <c r="B496" s="8" t="s">
        <v>637</v>
      </c>
      <c r="C496" s="7" t="s">
        <v>30</v>
      </c>
      <c r="D496" s="7" t="s">
        <v>639</v>
      </c>
      <c r="E496" s="7" t="s">
        <v>16</v>
      </c>
      <c r="F496" s="7" t="s">
        <v>48</v>
      </c>
    </row>
    <row r="497" ht="22.5" customHeight="1">
      <c r="A497" s="7" t="s">
        <v>178</v>
      </c>
      <c r="B497" s="8" t="s">
        <v>637</v>
      </c>
      <c r="C497" s="7" t="s">
        <v>30</v>
      </c>
      <c r="D497" s="7" t="s">
        <v>640</v>
      </c>
      <c r="E497" s="7" t="s">
        <v>16</v>
      </c>
      <c r="F497" s="7" t="s">
        <v>48</v>
      </c>
    </row>
    <row r="498" ht="22.5" customHeight="1">
      <c r="A498" s="7" t="s">
        <v>178</v>
      </c>
      <c r="B498" s="8" t="s">
        <v>637</v>
      </c>
      <c r="C498" s="7" t="s">
        <v>43</v>
      </c>
      <c r="D498" s="7" t="s">
        <v>641</v>
      </c>
      <c r="E498" s="7" t="s">
        <v>26</v>
      </c>
      <c r="F498" s="7" t="s">
        <v>48</v>
      </c>
    </row>
    <row r="499" ht="22.5" customHeight="1">
      <c r="A499" s="7" t="s">
        <v>163</v>
      </c>
      <c r="B499" s="8" t="s">
        <v>642</v>
      </c>
      <c r="C499" s="7" t="s">
        <v>30</v>
      </c>
      <c r="D499" s="7" t="s">
        <v>643</v>
      </c>
      <c r="E499" s="7" t="s">
        <v>26</v>
      </c>
      <c r="F499" s="7" t="s">
        <v>48</v>
      </c>
    </row>
    <row r="500" ht="22.5" customHeight="1">
      <c r="A500" s="7" t="s">
        <v>250</v>
      </c>
      <c r="B500" s="8" t="s">
        <v>644</v>
      </c>
      <c r="C500" s="7" t="s">
        <v>14</v>
      </c>
      <c r="D500" s="7" t="s">
        <v>645</v>
      </c>
      <c r="E500" s="7" t="s">
        <v>16</v>
      </c>
      <c r="F500" s="7" t="s">
        <v>16</v>
      </c>
    </row>
    <row r="501" ht="22.5" customHeight="1">
      <c r="A501" s="7" t="s">
        <v>250</v>
      </c>
      <c r="B501" s="8" t="s">
        <v>644</v>
      </c>
      <c r="C501" s="7" t="s">
        <v>14</v>
      </c>
      <c r="D501" s="7" t="s">
        <v>646</v>
      </c>
      <c r="E501" s="7" t="s">
        <v>16</v>
      </c>
      <c r="F501" s="7" t="s">
        <v>18</v>
      </c>
    </row>
    <row r="502" ht="22.5" customHeight="1">
      <c r="A502" s="7" t="s">
        <v>250</v>
      </c>
      <c r="B502" s="8" t="s">
        <v>644</v>
      </c>
      <c r="C502" s="7" t="s">
        <v>14</v>
      </c>
      <c r="D502" s="7" t="s">
        <v>647</v>
      </c>
      <c r="E502" s="7" t="s">
        <v>16</v>
      </c>
      <c r="F502" s="7" t="s">
        <v>20</v>
      </c>
    </row>
    <row r="503" ht="22.5" customHeight="1">
      <c r="A503" s="7" t="s">
        <v>250</v>
      </c>
      <c r="B503" s="8" t="s">
        <v>644</v>
      </c>
      <c r="C503" s="7" t="s">
        <v>14</v>
      </c>
      <c r="D503" s="7" t="s">
        <v>648</v>
      </c>
      <c r="E503" s="7" t="s">
        <v>16</v>
      </c>
      <c r="F503" s="7" t="s">
        <v>22</v>
      </c>
    </row>
    <row r="504" ht="22.5" customHeight="1">
      <c r="A504" s="7" t="s">
        <v>250</v>
      </c>
      <c r="B504" s="8" t="s">
        <v>644</v>
      </c>
      <c r="C504" s="7" t="s">
        <v>14</v>
      </c>
      <c r="D504" s="7" t="s">
        <v>649</v>
      </c>
      <c r="E504" s="7" t="s">
        <v>16</v>
      </c>
      <c r="F504" s="7" t="s">
        <v>24</v>
      </c>
    </row>
    <row r="505" ht="22.5" customHeight="1">
      <c r="A505" s="7" t="s">
        <v>250</v>
      </c>
      <c r="B505" s="8" t="s">
        <v>644</v>
      </c>
      <c r="C505" s="7" t="s">
        <v>14</v>
      </c>
      <c r="D505" s="7" t="s">
        <v>650</v>
      </c>
      <c r="E505" s="7" t="s">
        <v>26</v>
      </c>
      <c r="F505" s="7" t="s">
        <v>18</v>
      </c>
    </row>
    <row r="506" ht="22.5" customHeight="1">
      <c r="A506" s="7" t="s">
        <v>250</v>
      </c>
      <c r="B506" s="8" t="s">
        <v>644</v>
      </c>
      <c r="C506" s="7" t="s">
        <v>14</v>
      </c>
      <c r="D506" s="7" t="s">
        <v>651</v>
      </c>
      <c r="E506" s="7" t="s">
        <v>26</v>
      </c>
      <c r="F506" s="7" t="s">
        <v>20</v>
      </c>
    </row>
    <row r="507" ht="22.5" customHeight="1">
      <c r="A507" s="7" t="s">
        <v>250</v>
      </c>
      <c r="B507" s="8" t="s">
        <v>644</v>
      </c>
      <c r="C507" s="7" t="s">
        <v>14</v>
      </c>
      <c r="D507" s="7" t="s">
        <v>652</v>
      </c>
      <c r="E507" s="7" t="s">
        <v>26</v>
      </c>
      <c r="F507" s="7" t="s">
        <v>22</v>
      </c>
    </row>
    <row r="508" ht="22.5" customHeight="1">
      <c r="A508" s="7" t="s">
        <v>250</v>
      </c>
      <c r="B508" s="8" t="s">
        <v>644</v>
      </c>
      <c r="C508" s="7" t="s">
        <v>14</v>
      </c>
      <c r="D508" s="7" t="s">
        <v>653</v>
      </c>
      <c r="E508" s="7" t="s">
        <v>26</v>
      </c>
      <c r="F508" s="7" t="s">
        <v>24</v>
      </c>
    </row>
    <row r="509" ht="22.5" customHeight="1">
      <c r="A509" s="7" t="s">
        <v>250</v>
      </c>
      <c r="B509" s="8" t="s">
        <v>644</v>
      </c>
      <c r="C509" s="7" t="s">
        <v>30</v>
      </c>
      <c r="D509" s="7" t="s">
        <v>654</v>
      </c>
      <c r="E509" s="7" t="s">
        <v>16</v>
      </c>
      <c r="F509" s="7" t="s">
        <v>16</v>
      </c>
    </row>
    <row r="510" ht="22.5" customHeight="1">
      <c r="A510" s="7" t="s">
        <v>250</v>
      </c>
      <c r="B510" s="8" t="s">
        <v>644</v>
      </c>
      <c r="C510" s="7" t="s">
        <v>36</v>
      </c>
      <c r="D510" s="7" t="s">
        <v>655</v>
      </c>
      <c r="E510" s="7" t="s">
        <v>16</v>
      </c>
      <c r="F510" s="7" t="s">
        <v>16</v>
      </c>
    </row>
    <row r="511" ht="22.5" customHeight="1">
      <c r="A511" s="7" t="s">
        <v>250</v>
      </c>
      <c r="B511" s="8" t="s">
        <v>644</v>
      </c>
      <c r="C511" s="7" t="s">
        <v>38</v>
      </c>
      <c r="D511" s="7" t="s">
        <v>656</v>
      </c>
      <c r="E511" s="7" t="s">
        <v>16</v>
      </c>
      <c r="F511" s="7" t="s">
        <v>16</v>
      </c>
    </row>
    <row r="512" ht="22.5" customHeight="1">
      <c r="A512" s="7" t="s">
        <v>250</v>
      </c>
      <c r="B512" s="8" t="s">
        <v>644</v>
      </c>
      <c r="C512" s="7" t="s">
        <v>40</v>
      </c>
      <c r="D512" s="7" t="s">
        <v>657</v>
      </c>
      <c r="E512" s="7" t="s">
        <v>16</v>
      </c>
      <c r="F512" s="7" t="s">
        <v>16</v>
      </c>
    </row>
    <row r="513" ht="22.5" customHeight="1">
      <c r="A513" s="7" t="s">
        <v>250</v>
      </c>
      <c r="B513" s="8" t="s">
        <v>644</v>
      </c>
      <c r="C513" s="7" t="s">
        <v>43</v>
      </c>
      <c r="D513" s="7" t="s">
        <v>658</v>
      </c>
      <c r="E513" s="7" t="s">
        <v>16</v>
      </c>
      <c r="F513" s="7" t="s">
        <v>16</v>
      </c>
    </row>
    <row r="514" ht="22.5" customHeight="1">
      <c r="A514" s="7" t="s">
        <v>250</v>
      </c>
      <c r="B514" s="8" t="s">
        <v>644</v>
      </c>
      <c r="C514" s="7" t="s">
        <v>43</v>
      </c>
      <c r="D514" s="7" t="s">
        <v>659</v>
      </c>
      <c r="E514" s="7" t="s">
        <v>26</v>
      </c>
      <c r="F514" s="7" t="s">
        <v>16</v>
      </c>
    </row>
    <row r="515" ht="22.5" customHeight="1">
      <c r="A515" s="7" t="s">
        <v>226</v>
      </c>
      <c r="B515" s="8" t="s">
        <v>660</v>
      </c>
      <c r="C515" s="7" t="s">
        <v>43</v>
      </c>
      <c r="D515" s="7" t="s">
        <v>661</v>
      </c>
      <c r="E515" s="7" t="s">
        <v>16</v>
      </c>
      <c r="F515" s="7" t="s">
        <v>16</v>
      </c>
    </row>
    <row r="516" ht="22.5" customHeight="1">
      <c r="A516" s="7" t="s">
        <v>226</v>
      </c>
      <c r="B516" s="8" t="s">
        <v>660</v>
      </c>
      <c r="C516" s="7" t="s">
        <v>239</v>
      </c>
      <c r="D516" s="7" t="s">
        <v>662</v>
      </c>
      <c r="E516" s="7" t="s">
        <v>16</v>
      </c>
      <c r="F516" s="7" t="s">
        <v>16</v>
      </c>
    </row>
    <row r="517" ht="22.5" customHeight="1">
      <c r="A517" s="7" t="s">
        <v>12</v>
      </c>
      <c r="B517" s="8" t="s">
        <v>663</v>
      </c>
      <c r="C517" s="7" t="s">
        <v>30</v>
      </c>
      <c r="D517" s="7" t="s">
        <v>664</v>
      </c>
      <c r="E517" s="7" t="s">
        <v>16</v>
      </c>
      <c r="F517" s="7" t="s">
        <v>48</v>
      </c>
    </row>
    <row r="518" ht="22.5" customHeight="1">
      <c r="A518" s="7" t="s">
        <v>12</v>
      </c>
      <c r="B518" s="8" t="s">
        <v>663</v>
      </c>
      <c r="C518" s="7" t="s">
        <v>30</v>
      </c>
      <c r="D518" s="7" t="s">
        <v>665</v>
      </c>
      <c r="E518" s="7" t="s">
        <v>16</v>
      </c>
      <c r="F518" s="7" t="s">
        <v>48</v>
      </c>
    </row>
    <row r="519" ht="22.5" customHeight="1">
      <c r="A519" s="7" t="s">
        <v>12</v>
      </c>
      <c r="B519" s="8" t="s">
        <v>663</v>
      </c>
      <c r="C519" s="7" t="s">
        <v>40</v>
      </c>
      <c r="D519" s="7" t="s">
        <v>666</v>
      </c>
      <c r="E519" s="7" t="s">
        <v>26</v>
      </c>
      <c r="F519" s="7" t="s">
        <v>48</v>
      </c>
    </row>
    <row r="520" ht="22.5" customHeight="1">
      <c r="A520" s="7" t="s">
        <v>106</v>
      </c>
      <c r="B520" s="8" t="s">
        <v>667</v>
      </c>
      <c r="C520" s="7" t="s">
        <v>14</v>
      </c>
      <c r="D520" s="7" t="s">
        <v>668</v>
      </c>
      <c r="E520" s="7" t="s">
        <v>16</v>
      </c>
      <c r="F520" s="7" t="s">
        <v>48</v>
      </c>
    </row>
    <row r="521" ht="22.5" customHeight="1">
      <c r="A521" s="7" t="s">
        <v>106</v>
      </c>
      <c r="B521" s="8" t="s">
        <v>667</v>
      </c>
      <c r="C521" s="7" t="s">
        <v>14</v>
      </c>
      <c r="D521" s="7" t="s">
        <v>669</v>
      </c>
      <c r="E521" s="7" t="s">
        <v>16</v>
      </c>
      <c r="F521" s="7" t="s">
        <v>48</v>
      </c>
    </row>
    <row r="522" ht="22.5" customHeight="1">
      <c r="A522" s="7" t="s">
        <v>106</v>
      </c>
      <c r="B522" s="8" t="s">
        <v>667</v>
      </c>
      <c r="C522" s="7" t="s">
        <v>14</v>
      </c>
      <c r="D522" s="7" t="s">
        <v>670</v>
      </c>
      <c r="E522" s="7" t="s">
        <v>16</v>
      </c>
      <c r="F522" s="7" t="s">
        <v>48</v>
      </c>
    </row>
    <row r="523" ht="22.5" customHeight="1">
      <c r="A523" s="7" t="s">
        <v>279</v>
      </c>
      <c r="B523" s="8" t="s">
        <v>671</v>
      </c>
      <c r="C523" s="7" t="s">
        <v>30</v>
      </c>
      <c r="D523" s="7" t="s">
        <v>672</v>
      </c>
      <c r="E523" s="7" t="s">
        <v>26</v>
      </c>
      <c r="F523" s="7" t="s">
        <v>48</v>
      </c>
    </row>
    <row r="524" ht="22.5" customHeight="1">
      <c r="A524" s="7" t="s">
        <v>279</v>
      </c>
      <c r="B524" s="8" t="s">
        <v>671</v>
      </c>
      <c r="C524" s="7" t="s">
        <v>43</v>
      </c>
      <c r="D524" s="7" t="s">
        <v>673</v>
      </c>
      <c r="E524" s="7" t="s">
        <v>26</v>
      </c>
      <c r="F524" s="7" t="s">
        <v>48</v>
      </c>
    </row>
    <row r="525" ht="22.5" customHeight="1">
      <c r="A525" s="7" t="s">
        <v>178</v>
      </c>
      <c r="B525" s="8" t="s">
        <v>674</v>
      </c>
      <c r="C525" s="7" t="s">
        <v>14</v>
      </c>
      <c r="D525" s="7" t="s">
        <v>675</v>
      </c>
      <c r="E525" s="7" t="s">
        <v>151</v>
      </c>
      <c r="F525" s="7" t="s">
        <v>18</v>
      </c>
    </row>
    <row r="526" ht="22.5" customHeight="1">
      <c r="A526" s="7" t="s">
        <v>178</v>
      </c>
      <c r="B526" s="8" t="s">
        <v>674</v>
      </c>
      <c r="C526" s="7" t="s">
        <v>14</v>
      </c>
      <c r="D526" s="7" t="s">
        <v>676</v>
      </c>
      <c r="E526" s="7" t="s">
        <v>151</v>
      </c>
      <c r="F526" s="7" t="s">
        <v>20</v>
      </c>
    </row>
    <row r="527" ht="22.5" customHeight="1">
      <c r="A527" s="7" t="s">
        <v>178</v>
      </c>
      <c r="B527" s="8" t="s">
        <v>674</v>
      </c>
      <c r="C527" s="7" t="s">
        <v>14</v>
      </c>
      <c r="D527" s="7" t="s">
        <v>677</v>
      </c>
      <c r="E527" s="7" t="s">
        <v>151</v>
      </c>
      <c r="F527" s="7" t="s">
        <v>22</v>
      </c>
    </row>
    <row r="528" ht="22.5" customHeight="1">
      <c r="A528" s="7" t="s">
        <v>178</v>
      </c>
      <c r="B528" s="8" t="s">
        <v>674</v>
      </c>
      <c r="C528" s="7" t="s">
        <v>14</v>
      </c>
      <c r="D528" s="7" t="s">
        <v>678</v>
      </c>
      <c r="E528" s="7" t="s">
        <v>151</v>
      </c>
      <c r="F528" s="7" t="s">
        <v>24</v>
      </c>
    </row>
    <row r="529" ht="22.5" customHeight="1">
      <c r="A529" s="7" t="s">
        <v>178</v>
      </c>
      <c r="B529" s="8" t="s">
        <v>674</v>
      </c>
      <c r="C529" s="7" t="s">
        <v>14</v>
      </c>
      <c r="D529" s="7" t="s">
        <v>679</v>
      </c>
      <c r="E529" s="7" t="s">
        <v>26</v>
      </c>
      <c r="F529" s="7" t="s">
        <v>16</v>
      </c>
    </row>
    <row r="530" ht="22.5" customHeight="1">
      <c r="A530" s="7" t="s">
        <v>178</v>
      </c>
      <c r="B530" s="8" t="s">
        <v>674</v>
      </c>
      <c r="C530" s="7" t="s">
        <v>14</v>
      </c>
      <c r="D530" s="7" t="s">
        <v>680</v>
      </c>
      <c r="E530" s="7" t="s">
        <v>26</v>
      </c>
      <c r="F530" s="7" t="s">
        <v>18</v>
      </c>
    </row>
    <row r="531" ht="22.5" customHeight="1">
      <c r="A531" s="7" t="s">
        <v>178</v>
      </c>
      <c r="B531" s="8" t="s">
        <v>674</v>
      </c>
      <c r="C531" s="7" t="s">
        <v>14</v>
      </c>
      <c r="D531" s="7" t="s">
        <v>681</v>
      </c>
      <c r="E531" s="7" t="s">
        <v>26</v>
      </c>
      <c r="F531" s="7" t="s">
        <v>20</v>
      </c>
    </row>
    <row r="532" ht="22.5" customHeight="1">
      <c r="A532" s="7" t="s">
        <v>178</v>
      </c>
      <c r="B532" s="8" t="s">
        <v>674</v>
      </c>
      <c r="C532" s="7" t="s">
        <v>14</v>
      </c>
      <c r="D532" s="7" t="s">
        <v>682</v>
      </c>
      <c r="E532" s="7" t="s">
        <v>26</v>
      </c>
      <c r="F532" s="7" t="s">
        <v>22</v>
      </c>
    </row>
    <row r="533" ht="22.5" customHeight="1">
      <c r="A533" s="7" t="s">
        <v>178</v>
      </c>
      <c r="B533" s="8" t="s">
        <v>674</v>
      </c>
      <c r="C533" s="7" t="s">
        <v>14</v>
      </c>
      <c r="D533" s="7" t="s">
        <v>683</v>
      </c>
      <c r="E533" s="7" t="s">
        <v>26</v>
      </c>
      <c r="F533" s="7" t="s">
        <v>24</v>
      </c>
    </row>
    <row r="534" ht="22.5" customHeight="1">
      <c r="A534" s="7" t="s">
        <v>178</v>
      </c>
      <c r="B534" s="8" t="s">
        <v>674</v>
      </c>
      <c r="C534" s="7" t="s">
        <v>30</v>
      </c>
      <c r="D534" s="7" t="s">
        <v>684</v>
      </c>
      <c r="E534" s="7" t="s">
        <v>151</v>
      </c>
      <c r="F534" s="7" t="s">
        <v>16</v>
      </c>
    </row>
    <row r="535" ht="22.5" customHeight="1">
      <c r="A535" s="7" t="s">
        <v>178</v>
      </c>
      <c r="B535" s="8" t="s">
        <v>674</v>
      </c>
      <c r="C535" s="7" t="s">
        <v>36</v>
      </c>
      <c r="D535" s="7" t="s">
        <v>685</v>
      </c>
      <c r="E535" s="7" t="s">
        <v>151</v>
      </c>
      <c r="F535" s="7" t="s">
        <v>16</v>
      </c>
    </row>
    <row r="536" ht="22.5" customHeight="1">
      <c r="A536" s="7" t="s">
        <v>178</v>
      </c>
      <c r="B536" s="8" t="s">
        <v>674</v>
      </c>
      <c r="C536" s="7" t="s">
        <v>38</v>
      </c>
      <c r="D536" s="7" t="s">
        <v>686</v>
      </c>
      <c r="E536" s="7" t="s">
        <v>151</v>
      </c>
      <c r="F536" s="7" t="s">
        <v>16</v>
      </c>
    </row>
    <row r="537" ht="22.5" customHeight="1">
      <c r="A537" s="7" t="s">
        <v>178</v>
      </c>
      <c r="B537" s="8" t="s">
        <v>674</v>
      </c>
      <c r="C537" s="7" t="s">
        <v>40</v>
      </c>
      <c r="D537" s="7" t="s">
        <v>687</v>
      </c>
      <c r="E537" s="7" t="s">
        <v>151</v>
      </c>
      <c r="F537" s="7" t="s">
        <v>16</v>
      </c>
    </row>
    <row r="538" ht="22.5" customHeight="1">
      <c r="A538" s="7" t="s">
        <v>178</v>
      </c>
      <c r="B538" s="8" t="s">
        <v>674</v>
      </c>
      <c r="C538" s="7" t="s">
        <v>40</v>
      </c>
      <c r="D538" s="7" t="s">
        <v>688</v>
      </c>
      <c r="E538" s="7" t="s">
        <v>26</v>
      </c>
      <c r="F538" s="7" t="s">
        <v>16</v>
      </c>
    </row>
    <row r="539" ht="22.5" customHeight="1">
      <c r="A539" s="7" t="s">
        <v>178</v>
      </c>
      <c r="B539" s="8" t="s">
        <v>674</v>
      </c>
      <c r="C539" s="7" t="s">
        <v>43</v>
      </c>
      <c r="D539" s="7" t="s">
        <v>689</v>
      </c>
      <c r="E539" s="7" t="s">
        <v>151</v>
      </c>
      <c r="F539" s="7" t="s">
        <v>16</v>
      </c>
    </row>
    <row r="540" ht="22.5" customHeight="1">
      <c r="A540" s="7" t="s">
        <v>178</v>
      </c>
      <c r="B540" s="8" t="s">
        <v>690</v>
      </c>
      <c r="C540" s="7" t="s">
        <v>14</v>
      </c>
      <c r="D540" s="7" t="s">
        <v>691</v>
      </c>
      <c r="E540" s="7" t="s">
        <v>26</v>
      </c>
      <c r="F540" s="7" t="s">
        <v>48</v>
      </c>
    </row>
    <row r="541" ht="22.5" customHeight="1">
      <c r="A541" s="7" t="s">
        <v>50</v>
      </c>
      <c r="B541" s="8" t="s">
        <v>692</v>
      </c>
      <c r="C541" s="7" t="s">
        <v>43</v>
      </c>
      <c r="D541" s="7" t="s">
        <v>693</v>
      </c>
      <c r="E541" s="7" t="s">
        <v>26</v>
      </c>
      <c r="F541" s="7" t="s">
        <v>48</v>
      </c>
    </row>
    <row r="542" ht="22.5" customHeight="1">
      <c r="A542" s="7" t="s">
        <v>50</v>
      </c>
      <c r="B542" s="8" t="s">
        <v>694</v>
      </c>
      <c r="C542" s="7" t="s">
        <v>14</v>
      </c>
      <c r="D542" s="7" t="s">
        <v>695</v>
      </c>
      <c r="E542" s="7" t="s">
        <v>155</v>
      </c>
      <c r="F542" s="7" t="s">
        <v>48</v>
      </c>
    </row>
    <row r="543" ht="22.5" customHeight="1">
      <c r="A543" s="7" t="s">
        <v>50</v>
      </c>
      <c r="B543" s="8" t="s">
        <v>694</v>
      </c>
      <c r="C543" s="7" t="s">
        <v>14</v>
      </c>
      <c r="D543" s="7" t="s">
        <v>696</v>
      </c>
      <c r="E543" s="7" t="s">
        <v>155</v>
      </c>
      <c r="F543" s="7" t="s">
        <v>48</v>
      </c>
    </row>
    <row r="544" ht="22.5" customHeight="1">
      <c r="A544" s="7" t="s">
        <v>697</v>
      </c>
      <c r="B544" s="8" t="s">
        <v>698</v>
      </c>
      <c r="C544" s="7" t="s">
        <v>30</v>
      </c>
      <c r="D544" s="7" t="s">
        <v>699</v>
      </c>
      <c r="E544" s="7" t="s">
        <v>26</v>
      </c>
      <c r="F544" s="7" t="s">
        <v>48</v>
      </c>
    </row>
    <row r="545" ht="22.5" customHeight="1">
      <c r="A545" s="7" t="s">
        <v>697</v>
      </c>
      <c r="B545" s="8" t="s">
        <v>698</v>
      </c>
      <c r="C545" s="7" t="s">
        <v>40</v>
      </c>
      <c r="D545" s="7" t="s">
        <v>700</v>
      </c>
      <c r="E545" s="7" t="s">
        <v>26</v>
      </c>
      <c r="F545" s="7" t="s">
        <v>48</v>
      </c>
    </row>
    <row r="546" ht="22.5" customHeight="1">
      <c r="A546" s="7" t="s">
        <v>53</v>
      </c>
      <c r="B546" s="8" t="s">
        <v>701</v>
      </c>
      <c r="C546" s="7" t="s">
        <v>14</v>
      </c>
      <c r="D546" s="7" t="s">
        <v>702</v>
      </c>
      <c r="E546" s="7" t="s">
        <v>26</v>
      </c>
      <c r="F546" s="7" t="s">
        <v>16</v>
      </c>
    </row>
    <row r="547" ht="22.5" customHeight="1">
      <c r="A547" s="7" t="s">
        <v>53</v>
      </c>
      <c r="B547" s="8" t="s">
        <v>701</v>
      </c>
      <c r="C547" s="7" t="s">
        <v>14</v>
      </c>
      <c r="D547" s="7" t="s">
        <v>703</v>
      </c>
      <c r="E547" s="7" t="s">
        <v>26</v>
      </c>
      <c r="F547" s="7" t="s">
        <v>16</v>
      </c>
    </row>
    <row r="548" ht="22.5" customHeight="1">
      <c r="A548" s="7" t="s">
        <v>53</v>
      </c>
      <c r="B548" s="8" t="s">
        <v>701</v>
      </c>
      <c r="C548" s="7" t="s">
        <v>14</v>
      </c>
      <c r="D548" s="7" t="s">
        <v>704</v>
      </c>
      <c r="E548" s="7" t="s">
        <v>26</v>
      </c>
      <c r="F548" s="7" t="s">
        <v>16</v>
      </c>
    </row>
    <row r="549" ht="22.5" customHeight="1">
      <c r="A549" s="7" t="s">
        <v>53</v>
      </c>
      <c r="B549" s="8" t="s">
        <v>701</v>
      </c>
      <c r="C549" s="7" t="s">
        <v>14</v>
      </c>
      <c r="D549" s="7" t="s">
        <v>705</v>
      </c>
      <c r="E549" s="7" t="s">
        <v>26</v>
      </c>
      <c r="F549" s="7" t="s">
        <v>18</v>
      </c>
    </row>
    <row r="550" ht="22.5" customHeight="1">
      <c r="A550" s="7" t="s">
        <v>53</v>
      </c>
      <c r="B550" s="8" t="s">
        <v>701</v>
      </c>
      <c r="C550" s="7" t="s">
        <v>14</v>
      </c>
      <c r="D550" s="7" t="s">
        <v>706</v>
      </c>
      <c r="E550" s="7" t="s">
        <v>26</v>
      </c>
      <c r="F550" s="7" t="s">
        <v>20</v>
      </c>
    </row>
    <row r="551" ht="22.5" customHeight="1">
      <c r="A551" s="7" t="s">
        <v>53</v>
      </c>
      <c r="B551" s="8" t="s">
        <v>701</v>
      </c>
      <c r="C551" s="7" t="s">
        <v>14</v>
      </c>
      <c r="D551" s="7" t="s">
        <v>707</v>
      </c>
      <c r="E551" s="7" t="s">
        <v>26</v>
      </c>
      <c r="F551" s="7" t="s">
        <v>22</v>
      </c>
    </row>
    <row r="552" ht="22.5" customHeight="1">
      <c r="A552" s="7" t="s">
        <v>53</v>
      </c>
      <c r="B552" s="8" t="s">
        <v>701</v>
      </c>
      <c r="C552" s="7" t="s">
        <v>14</v>
      </c>
      <c r="D552" s="7" t="s">
        <v>708</v>
      </c>
      <c r="E552" s="7" t="s">
        <v>26</v>
      </c>
      <c r="F552" s="7" t="s">
        <v>24</v>
      </c>
    </row>
    <row r="553" ht="22.5" customHeight="1">
      <c r="A553" s="7" t="s">
        <v>53</v>
      </c>
      <c r="B553" s="8" t="s">
        <v>701</v>
      </c>
      <c r="C553" s="7" t="s">
        <v>30</v>
      </c>
      <c r="D553" s="7" t="s">
        <v>709</v>
      </c>
      <c r="E553" s="7" t="s">
        <v>26</v>
      </c>
      <c r="F553" s="7" t="s">
        <v>16</v>
      </c>
    </row>
    <row r="554" ht="22.5" customHeight="1">
      <c r="A554" s="7" t="s">
        <v>53</v>
      </c>
      <c r="B554" s="8" t="s">
        <v>701</v>
      </c>
      <c r="C554" s="7" t="s">
        <v>36</v>
      </c>
      <c r="D554" s="7" t="s">
        <v>710</v>
      </c>
      <c r="E554" s="7" t="s">
        <v>26</v>
      </c>
      <c r="F554" s="7" t="s">
        <v>16</v>
      </c>
    </row>
    <row r="555" ht="22.5" customHeight="1">
      <c r="A555" s="7" t="s">
        <v>53</v>
      </c>
      <c r="B555" s="8" t="s">
        <v>701</v>
      </c>
      <c r="C555" s="7" t="s">
        <v>38</v>
      </c>
      <c r="D555" s="7" t="s">
        <v>711</v>
      </c>
      <c r="E555" s="7" t="s">
        <v>26</v>
      </c>
      <c r="F555" s="7" t="s">
        <v>16</v>
      </c>
    </row>
    <row r="556" ht="22.5" customHeight="1">
      <c r="A556" s="7" t="s">
        <v>53</v>
      </c>
      <c r="B556" s="8" t="s">
        <v>701</v>
      </c>
      <c r="C556" s="7" t="s">
        <v>40</v>
      </c>
      <c r="D556" s="7" t="s">
        <v>712</v>
      </c>
      <c r="E556" s="7" t="s">
        <v>26</v>
      </c>
      <c r="F556" s="7" t="s">
        <v>16</v>
      </c>
    </row>
    <row r="557" ht="22.5" customHeight="1">
      <c r="A557" s="7" t="s">
        <v>53</v>
      </c>
      <c r="B557" s="8" t="s">
        <v>701</v>
      </c>
      <c r="C557" s="7" t="s">
        <v>43</v>
      </c>
      <c r="D557" s="7" t="s">
        <v>713</v>
      </c>
      <c r="E557" s="7" t="s">
        <v>26</v>
      </c>
      <c r="F557" s="7" t="s">
        <v>16</v>
      </c>
    </row>
    <row r="558" ht="22.5" customHeight="1">
      <c r="A558" s="7" t="s">
        <v>195</v>
      </c>
      <c r="B558" s="8" t="s">
        <v>714</v>
      </c>
      <c r="C558" s="7" t="s">
        <v>14</v>
      </c>
      <c r="D558" s="7" t="s">
        <v>715</v>
      </c>
      <c r="E558" s="7" t="s">
        <v>16</v>
      </c>
      <c r="F558" s="7" t="s">
        <v>18</v>
      </c>
    </row>
    <row r="559" ht="22.5" customHeight="1">
      <c r="A559" s="7" t="s">
        <v>195</v>
      </c>
      <c r="B559" s="8" t="s">
        <v>714</v>
      </c>
      <c r="C559" s="7" t="s">
        <v>30</v>
      </c>
      <c r="D559" s="7" t="s">
        <v>716</v>
      </c>
      <c r="E559" s="7" t="s">
        <v>16</v>
      </c>
      <c r="F559" s="7" t="s">
        <v>16</v>
      </c>
    </row>
    <row r="560" ht="22.5" customHeight="1">
      <c r="A560" s="7" t="s">
        <v>195</v>
      </c>
      <c r="B560" s="8" t="s">
        <v>714</v>
      </c>
      <c r="C560" s="7" t="s">
        <v>30</v>
      </c>
      <c r="D560" s="7" t="s">
        <v>717</v>
      </c>
      <c r="E560" s="7" t="s">
        <v>16</v>
      </c>
      <c r="F560" s="7" t="s">
        <v>16</v>
      </c>
    </row>
    <row r="561" ht="22.5" customHeight="1">
      <c r="A561" s="7" t="s">
        <v>195</v>
      </c>
      <c r="B561" s="8" t="s">
        <v>714</v>
      </c>
      <c r="C561" s="7" t="s">
        <v>36</v>
      </c>
      <c r="D561" s="7" t="s">
        <v>718</v>
      </c>
      <c r="E561" s="7" t="s">
        <v>16</v>
      </c>
      <c r="F561" s="7" t="s">
        <v>16</v>
      </c>
    </row>
    <row r="562" ht="22.5" customHeight="1">
      <c r="A562" s="7" t="s">
        <v>195</v>
      </c>
      <c r="B562" s="8" t="s">
        <v>714</v>
      </c>
      <c r="C562" s="7" t="s">
        <v>38</v>
      </c>
      <c r="D562" s="7" t="s">
        <v>719</v>
      </c>
      <c r="E562" s="7" t="s">
        <v>16</v>
      </c>
      <c r="F562" s="7" t="s">
        <v>16</v>
      </c>
    </row>
    <row r="563" ht="22.5" customHeight="1">
      <c r="A563" s="7" t="s">
        <v>195</v>
      </c>
      <c r="B563" s="8" t="s">
        <v>714</v>
      </c>
      <c r="C563" s="7" t="s">
        <v>38</v>
      </c>
      <c r="D563" s="7" t="s">
        <v>720</v>
      </c>
      <c r="E563" s="7" t="s">
        <v>26</v>
      </c>
      <c r="F563" s="7" t="s">
        <v>16</v>
      </c>
    </row>
    <row r="564" ht="22.5" customHeight="1">
      <c r="A564" s="7" t="s">
        <v>195</v>
      </c>
      <c r="B564" s="8" t="s">
        <v>714</v>
      </c>
      <c r="C564" s="7" t="s">
        <v>40</v>
      </c>
      <c r="D564" s="7" t="s">
        <v>721</v>
      </c>
      <c r="E564" s="7" t="s">
        <v>16</v>
      </c>
      <c r="F564" s="7" t="s">
        <v>16</v>
      </c>
    </row>
    <row r="565" ht="22.5" customHeight="1">
      <c r="A565" s="7" t="s">
        <v>195</v>
      </c>
      <c r="B565" s="8" t="s">
        <v>714</v>
      </c>
      <c r="C565" s="7" t="s">
        <v>43</v>
      </c>
      <c r="D565" s="7" t="s">
        <v>722</v>
      </c>
      <c r="E565" s="7" t="s">
        <v>16</v>
      </c>
      <c r="F565" s="7" t="s">
        <v>16</v>
      </c>
    </row>
    <row r="566" ht="22.5" customHeight="1">
      <c r="A566" s="7" t="s">
        <v>200</v>
      </c>
      <c r="B566" s="8" t="s">
        <v>723</v>
      </c>
      <c r="C566" s="7" t="s">
        <v>30</v>
      </c>
      <c r="D566" s="7" t="s">
        <v>724</v>
      </c>
      <c r="E566" s="7" t="s">
        <v>26</v>
      </c>
      <c r="F566" s="7" t="s">
        <v>48</v>
      </c>
    </row>
    <row r="567" ht="22.5" customHeight="1">
      <c r="A567" s="7" t="s">
        <v>200</v>
      </c>
      <c r="B567" s="8" t="s">
        <v>723</v>
      </c>
      <c r="C567" s="7" t="s">
        <v>43</v>
      </c>
      <c r="D567" s="7" t="s">
        <v>725</v>
      </c>
      <c r="E567" s="7" t="s">
        <v>26</v>
      </c>
      <c r="F567" s="7" t="s">
        <v>48</v>
      </c>
    </row>
    <row r="568" ht="22.5" customHeight="1">
      <c r="A568" s="7" t="s">
        <v>152</v>
      </c>
      <c r="B568" s="8" t="s">
        <v>726</v>
      </c>
      <c r="C568" s="7" t="s">
        <v>30</v>
      </c>
      <c r="D568" s="7" t="s">
        <v>727</v>
      </c>
      <c r="E568" s="7" t="s">
        <v>155</v>
      </c>
      <c r="F568" s="7" t="s">
        <v>48</v>
      </c>
    </row>
    <row r="569" ht="22.5" customHeight="1">
      <c r="A569" s="7" t="s">
        <v>152</v>
      </c>
      <c r="B569" s="8" t="s">
        <v>726</v>
      </c>
      <c r="C569" s="7" t="s">
        <v>30</v>
      </c>
      <c r="D569" s="7" t="s">
        <v>728</v>
      </c>
      <c r="E569" s="7" t="s">
        <v>155</v>
      </c>
      <c r="F569" s="7" t="s">
        <v>48</v>
      </c>
    </row>
    <row r="570" ht="22.5" customHeight="1">
      <c r="A570" s="7" t="s">
        <v>152</v>
      </c>
      <c r="B570" s="8" t="s">
        <v>726</v>
      </c>
      <c r="C570" s="7" t="s">
        <v>30</v>
      </c>
      <c r="D570" s="7" t="s">
        <v>729</v>
      </c>
      <c r="E570" s="7" t="s">
        <v>76</v>
      </c>
      <c r="F570" s="16" t="s">
        <v>730</v>
      </c>
    </row>
    <row r="571" ht="22.5" customHeight="1">
      <c r="A571" s="7" t="s">
        <v>67</v>
      </c>
      <c r="B571" s="8" t="s">
        <v>731</v>
      </c>
      <c r="C571" s="7" t="s">
        <v>30</v>
      </c>
      <c r="D571" s="7" t="s">
        <v>732</v>
      </c>
      <c r="E571" s="7" t="s">
        <v>26</v>
      </c>
      <c r="F571" s="7" t="s">
        <v>48</v>
      </c>
    </row>
    <row r="572" ht="22.5" customHeight="1">
      <c r="A572" s="7" t="s">
        <v>67</v>
      </c>
      <c r="B572" s="8" t="s">
        <v>731</v>
      </c>
      <c r="C572" s="7" t="s">
        <v>43</v>
      </c>
      <c r="D572" s="7" t="s">
        <v>733</v>
      </c>
      <c r="E572" s="7" t="s">
        <v>26</v>
      </c>
      <c r="F572" s="7" t="s">
        <v>48</v>
      </c>
    </row>
    <row r="573" ht="22.5" customHeight="1">
      <c r="A573" s="7" t="s">
        <v>377</v>
      </c>
      <c r="B573" s="8" t="s">
        <v>734</v>
      </c>
      <c r="C573" s="7" t="s">
        <v>14</v>
      </c>
      <c r="D573" s="7" t="s">
        <v>735</v>
      </c>
      <c r="E573" s="7" t="s">
        <v>26</v>
      </c>
      <c r="F573" s="7" t="s">
        <v>48</v>
      </c>
    </row>
    <row r="574" ht="22.5" customHeight="1">
      <c r="A574" s="7" t="s">
        <v>377</v>
      </c>
      <c r="B574" s="8" t="s">
        <v>734</v>
      </c>
      <c r="C574" s="7" t="s">
        <v>14</v>
      </c>
      <c r="D574" s="7" t="s">
        <v>736</v>
      </c>
      <c r="E574" s="7" t="s">
        <v>26</v>
      </c>
      <c r="F574" s="7" t="s">
        <v>18</v>
      </c>
    </row>
    <row r="575" ht="22.5" customHeight="1">
      <c r="A575" s="7" t="s">
        <v>377</v>
      </c>
      <c r="B575" s="8" t="s">
        <v>734</v>
      </c>
      <c r="C575" s="7" t="s">
        <v>43</v>
      </c>
      <c r="D575" s="7" t="s">
        <v>737</v>
      </c>
      <c r="E575" s="7" t="s">
        <v>26</v>
      </c>
      <c r="F575" s="7" t="s">
        <v>48</v>
      </c>
    </row>
    <row r="576" ht="22.5" customHeight="1">
      <c r="A576" s="7" t="s">
        <v>377</v>
      </c>
      <c r="B576" s="8" t="s">
        <v>734</v>
      </c>
      <c r="C576" s="7" t="s">
        <v>43</v>
      </c>
      <c r="D576" s="7" t="s">
        <v>738</v>
      </c>
      <c r="E576" s="7" t="s">
        <v>26</v>
      </c>
      <c r="F576" s="7" t="s">
        <v>48</v>
      </c>
    </row>
    <row r="577" ht="22.5" customHeight="1">
      <c r="A577" s="7" t="s">
        <v>12</v>
      </c>
      <c r="B577" s="8" t="s">
        <v>739</v>
      </c>
      <c r="C577" s="7" t="s">
        <v>30</v>
      </c>
      <c r="D577" s="7" t="s">
        <v>740</v>
      </c>
      <c r="E577" s="7" t="s">
        <v>16</v>
      </c>
      <c r="F577" s="7" t="s">
        <v>16</v>
      </c>
    </row>
    <row r="578" ht="22.5" customHeight="1">
      <c r="A578" s="7" t="s">
        <v>12</v>
      </c>
      <c r="B578" s="8" t="s">
        <v>739</v>
      </c>
      <c r="C578" s="7" t="s">
        <v>30</v>
      </c>
      <c r="D578" s="7" t="s">
        <v>741</v>
      </c>
      <c r="E578" s="7" t="s">
        <v>16</v>
      </c>
      <c r="F578" s="7" t="s">
        <v>16</v>
      </c>
    </row>
    <row r="579" ht="22.5" customHeight="1">
      <c r="A579" s="7" t="s">
        <v>12</v>
      </c>
      <c r="B579" s="8" t="s">
        <v>739</v>
      </c>
      <c r="C579" s="7" t="s">
        <v>30</v>
      </c>
      <c r="D579" s="7" t="s">
        <v>742</v>
      </c>
      <c r="E579" s="7" t="s">
        <v>16</v>
      </c>
      <c r="F579" s="7" t="s">
        <v>18</v>
      </c>
    </row>
    <row r="580" ht="22.5" customHeight="1">
      <c r="A580" s="7" t="s">
        <v>12</v>
      </c>
      <c r="B580" s="8" t="s">
        <v>739</v>
      </c>
      <c r="C580" s="7" t="s">
        <v>30</v>
      </c>
      <c r="D580" s="7" t="s">
        <v>743</v>
      </c>
      <c r="E580" s="7" t="s">
        <v>16</v>
      </c>
      <c r="F580" s="7" t="s">
        <v>20</v>
      </c>
    </row>
    <row r="581" ht="22.5" customHeight="1">
      <c r="A581" s="7" t="s">
        <v>12</v>
      </c>
      <c r="B581" s="8" t="s">
        <v>739</v>
      </c>
      <c r="C581" s="7" t="s">
        <v>30</v>
      </c>
      <c r="D581" s="7" t="s">
        <v>744</v>
      </c>
      <c r="E581" s="7" t="s">
        <v>16</v>
      </c>
      <c r="F581" s="7" t="s">
        <v>22</v>
      </c>
    </row>
    <row r="582" ht="22.5" customHeight="1">
      <c r="A582" s="7" t="s">
        <v>12</v>
      </c>
      <c r="B582" s="8" t="s">
        <v>739</v>
      </c>
      <c r="C582" s="7" t="s">
        <v>30</v>
      </c>
      <c r="D582" s="7" t="s">
        <v>745</v>
      </c>
      <c r="E582" s="7" t="s">
        <v>16</v>
      </c>
      <c r="F582" s="7" t="s">
        <v>24</v>
      </c>
    </row>
    <row r="583" ht="22.5" customHeight="1">
      <c r="A583" s="7" t="s">
        <v>12</v>
      </c>
      <c r="B583" s="8" t="s">
        <v>739</v>
      </c>
      <c r="C583" s="7" t="s">
        <v>30</v>
      </c>
      <c r="D583" s="7" t="s">
        <v>746</v>
      </c>
      <c r="E583" s="7" t="s">
        <v>26</v>
      </c>
      <c r="F583" s="7" t="s">
        <v>16</v>
      </c>
    </row>
    <row r="584" ht="22.5" customHeight="1">
      <c r="A584" s="7" t="s">
        <v>12</v>
      </c>
      <c r="B584" s="8" t="s">
        <v>739</v>
      </c>
      <c r="C584" s="7" t="s">
        <v>30</v>
      </c>
      <c r="D584" s="7" t="s">
        <v>747</v>
      </c>
      <c r="E584" s="7" t="s">
        <v>26</v>
      </c>
      <c r="F584" s="7" t="s">
        <v>16</v>
      </c>
    </row>
    <row r="585" ht="22.5" customHeight="1">
      <c r="A585" s="7" t="s">
        <v>12</v>
      </c>
      <c r="B585" s="8" t="s">
        <v>739</v>
      </c>
      <c r="C585" s="7" t="s">
        <v>30</v>
      </c>
      <c r="D585" s="7" t="s">
        <v>748</v>
      </c>
      <c r="E585" s="7" t="s">
        <v>26</v>
      </c>
      <c r="F585" s="7" t="s">
        <v>18</v>
      </c>
    </row>
    <row r="586" ht="22.5" customHeight="1">
      <c r="A586" s="7" t="s">
        <v>12</v>
      </c>
      <c r="B586" s="8" t="s">
        <v>739</v>
      </c>
      <c r="C586" s="7" t="s">
        <v>30</v>
      </c>
      <c r="D586" s="7" t="s">
        <v>749</v>
      </c>
      <c r="E586" s="7" t="s">
        <v>26</v>
      </c>
      <c r="F586" s="7" t="s">
        <v>18</v>
      </c>
    </row>
    <row r="587" ht="22.5" customHeight="1">
      <c r="A587" s="7" t="s">
        <v>12</v>
      </c>
      <c r="B587" s="8" t="s">
        <v>739</v>
      </c>
      <c r="C587" s="7" t="s">
        <v>30</v>
      </c>
      <c r="D587" s="7" t="s">
        <v>750</v>
      </c>
      <c r="E587" s="7" t="s">
        <v>26</v>
      </c>
      <c r="F587" s="7" t="s">
        <v>20</v>
      </c>
    </row>
    <row r="588" ht="22.5" customHeight="1">
      <c r="A588" s="7" t="s">
        <v>12</v>
      </c>
      <c r="B588" s="8" t="s">
        <v>739</v>
      </c>
      <c r="C588" s="7" t="s">
        <v>30</v>
      </c>
      <c r="D588" s="7" t="s">
        <v>751</v>
      </c>
      <c r="E588" s="7" t="s">
        <v>26</v>
      </c>
      <c r="F588" s="7" t="s">
        <v>20</v>
      </c>
    </row>
    <row r="589" ht="22.5" customHeight="1">
      <c r="A589" s="7" t="s">
        <v>12</v>
      </c>
      <c r="B589" s="8" t="s">
        <v>739</v>
      </c>
      <c r="C589" s="7" t="s">
        <v>30</v>
      </c>
      <c r="D589" s="7" t="s">
        <v>752</v>
      </c>
      <c r="E589" s="7" t="s">
        <v>26</v>
      </c>
      <c r="F589" s="7" t="s">
        <v>20</v>
      </c>
    </row>
    <row r="590" ht="22.5" customHeight="1">
      <c r="A590" s="7" t="s">
        <v>12</v>
      </c>
      <c r="B590" s="8" t="s">
        <v>739</v>
      </c>
      <c r="C590" s="7" t="s">
        <v>30</v>
      </c>
      <c r="D590" s="7" t="s">
        <v>753</v>
      </c>
      <c r="E590" s="7" t="s">
        <v>26</v>
      </c>
      <c r="F590" s="7" t="s">
        <v>22</v>
      </c>
    </row>
    <row r="591" ht="22.5" customHeight="1">
      <c r="A591" s="7" t="s">
        <v>12</v>
      </c>
      <c r="B591" s="8" t="s">
        <v>739</v>
      </c>
      <c r="C591" s="7" t="s">
        <v>30</v>
      </c>
      <c r="D591" s="7" t="s">
        <v>754</v>
      </c>
      <c r="E591" s="7" t="s">
        <v>26</v>
      </c>
      <c r="F591" s="7" t="s">
        <v>22</v>
      </c>
    </row>
    <row r="592" ht="22.5" customHeight="1">
      <c r="A592" s="7" t="s">
        <v>12</v>
      </c>
      <c r="B592" s="8" t="s">
        <v>739</v>
      </c>
      <c r="C592" s="7" t="s">
        <v>30</v>
      </c>
      <c r="D592" s="7" t="s">
        <v>755</v>
      </c>
      <c r="E592" s="7" t="s">
        <v>26</v>
      </c>
      <c r="F592" s="7" t="s">
        <v>24</v>
      </c>
    </row>
    <row r="593" ht="22.5" customHeight="1">
      <c r="A593" s="7" t="s">
        <v>12</v>
      </c>
      <c r="B593" s="8" t="s">
        <v>739</v>
      </c>
      <c r="C593" s="7" t="s">
        <v>30</v>
      </c>
      <c r="D593" s="7" t="s">
        <v>756</v>
      </c>
      <c r="E593" s="7" t="s">
        <v>26</v>
      </c>
      <c r="F593" s="7" t="s">
        <v>24</v>
      </c>
    </row>
    <row r="594" ht="22.5" customHeight="1">
      <c r="A594" s="7" t="s">
        <v>12</v>
      </c>
      <c r="B594" s="8" t="s">
        <v>739</v>
      </c>
      <c r="C594" s="7" t="s">
        <v>36</v>
      </c>
      <c r="D594" s="7" t="s">
        <v>757</v>
      </c>
      <c r="E594" s="7" t="s">
        <v>16</v>
      </c>
      <c r="F594" s="7" t="s">
        <v>16</v>
      </c>
    </row>
    <row r="595" ht="22.5" customHeight="1">
      <c r="A595" s="7" t="s">
        <v>12</v>
      </c>
      <c r="B595" s="8" t="s">
        <v>739</v>
      </c>
      <c r="C595" s="7" t="s">
        <v>38</v>
      </c>
      <c r="D595" s="7" t="s">
        <v>758</v>
      </c>
      <c r="E595" s="7" t="s">
        <v>16</v>
      </c>
      <c r="F595" s="7" t="s">
        <v>16</v>
      </c>
    </row>
    <row r="596" ht="22.5" customHeight="1">
      <c r="A596" s="7" t="s">
        <v>12</v>
      </c>
      <c r="B596" s="8" t="s">
        <v>739</v>
      </c>
      <c r="C596" s="7" t="s">
        <v>40</v>
      </c>
      <c r="D596" s="7" t="s">
        <v>759</v>
      </c>
      <c r="E596" s="7" t="s">
        <v>16</v>
      </c>
      <c r="F596" s="7" t="s">
        <v>16</v>
      </c>
    </row>
    <row r="597" ht="22.5" customHeight="1">
      <c r="A597" s="7" t="s">
        <v>12</v>
      </c>
      <c r="B597" s="8" t="s">
        <v>739</v>
      </c>
      <c r="C597" s="7" t="s">
        <v>40</v>
      </c>
      <c r="D597" s="7" t="s">
        <v>760</v>
      </c>
      <c r="E597" s="7" t="s">
        <v>105</v>
      </c>
      <c r="F597" s="7" t="s">
        <v>16</v>
      </c>
    </row>
    <row r="598" ht="22.5" customHeight="1">
      <c r="A598" s="7" t="s">
        <v>12</v>
      </c>
      <c r="B598" s="8" t="s">
        <v>739</v>
      </c>
      <c r="C598" s="7" t="s">
        <v>43</v>
      </c>
      <c r="D598" s="7" t="s">
        <v>761</v>
      </c>
      <c r="E598" s="7" t="s">
        <v>16</v>
      </c>
      <c r="F598" s="7" t="s">
        <v>16</v>
      </c>
    </row>
    <row r="599" ht="22.5" customHeight="1">
      <c r="A599" s="7" t="s">
        <v>200</v>
      </c>
      <c r="B599" s="8" t="s">
        <v>762</v>
      </c>
      <c r="C599" s="7" t="s">
        <v>14</v>
      </c>
      <c r="D599" s="7" t="s">
        <v>763</v>
      </c>
      <c r="E599" s="7" t="s">
        <v>16</v>
      </c>
      <c r="F599" s="7" t="s">
        <v>16</v>
      </c>
    </row>
    <row r="600" ht="22.5" customHeight="1">
      <c r="A600" s="7" t="s">
        <v>200</v>
      </c>
      <c r="B600" s="8" t="s">
        <v>762</v>
      </c>
      <c r="C600" s="7" t="s">
        <v>30</v>
      </c>
      <c r="D600" s="7" t="s">
        <v>764</v>
      </c>
      <c r="E600" s="7" t="s">
        <v>16</v>
      </c>
      <c r="F600" s="7" t="s">
        <v>16</v>
      </c>
    </row>
    <row r="601" ht="22.5" customHeight="1">
      <c r="A601" s="7" t="s">
        <v>200</v>
      </c>
      <c r="B601" s="8" t="s">
        <v>762</v>
      </c>
      <c r="C601" s="7" t="s">
        <v>30</v>
      </c>
      <c r="D601" s="7" t="s">
        <v>765</v>
      </c>
      <c r="E601" s="7" t="s">
        <v>16</v>
      </c>
      <c r="F601" s="7" t="s">
        <v>16</v>
      </c>
    </row>
    <row r="602" ht="22.5" customHeight="1">
      <c r="A602" s="7" t="s">
        <v>200</v>
      </c>
      <c r="B602" s="8" t="s">
        <v>762</v>
      </c>
      <c r="C602" s="7" t="s">
        <v>30</v>
      </c>
      <c r="D602" s="7" t="s">
        <v>766</v>
      </c>
      <c r="E602" s="7" t="s">
        <v>16</v>
      </c>
      <c r="F602" s="7" t="s">
        <v>18</v>
      </c>
    </row>
    <row r="603" ht="22.5" customHeight="1">
      <c r="A603" s="7" t="s">
        <v>200</v>
      </c>
      <c r="B603" s="8" t="s">
        <v>762</v>
      </c>
      <c r="C603" s="7" t="s">
        <v>30</v>
      </c>
      <c r="D603" s="7" t="s">
        <v>767</v>
      </c>
      <c r="E603" s="7" t="s">
        <v>16</v>
      </c>
      <c r="F603" s="7" t="s">
        <v>20</v>
      </c>
    </row>
    <row r="604" ht="22.5" customHeight="1">
      <c r="A604" s="7" t="s">
        <v>200</v>
      </c>
      <c r="B604" s="8" t="s">
        <v>762</v>
      </c>
      <c r="C604" s="7" t="s">
        <v>30</v>
      </c>
      <c r="D604" s="7" t="s">
        <v>768</v>
      </c>
      <c r="E604" s="7" t="s">
        <v>16</v>
      </c>
      <c r="F604" s="7" t="s">
        <v>22</v>
      </c>
    </row>
    <row r="605" ht="22.5" customHeight="1">
      <c r="A605" s="7" t="s">
        <v>200</v>
      </c>
      <c r="B605" s="8" t="s">
        <v>762</v>
      </c>
      <c r="C605" s="7" t="s">
        <v>30</v>
      </c>
      <c r="D605" s="7" t="s">
        <v>769</v>
      </c>
      <c r="E605" s="7" t="s">
        <v>16</v>
      </c>
      <c r="F605" s="7" t="s">
        <v>24</v>
      </c>
    </row>
    <row r="606" ht="22.5" customHeight="1">
      <c r="A606" s="7" t="s">
        <v>200</v>
      </c>
      <c r="B606" s="8" t="s">
        <v>762</v>
      </c>
      <c r="C606" s="7" t="s">
        <v>30</v>
      </c>
      <c r="D606" s="7" t="s">
        <v>770</v>
      </c>
      <c r="E606" s="7" t="s">
        <v>16</v>
      </c>
      <c r="F606" s="7" t="s">
        <v>771</v>
      </c>
    </row>
    <row r="607" ht="22.5" customHeight="1">
      <c r="A607" s="7" t="s">
        <v>200</v>
      </c>
      <c r="B607" s="8" t="s">
        <v>762</v>
      </c>
      <c r="C607" s="7" t="s">
        <v>30</v>
      </c>
      <c r="D607" s="7" t="s">
        <v>772</v>
      </c>
      <c r="E607" s="7" t="s">
        <v>26</v>
      </c>
      <c r="F607" s="7" t="s">
        <v>16</v>
      </c>
    </row>
    <row r="608" ht="22.5" customHeight="1">
      <c r="A608" s="7" t="s">
        <v>200</v>
      </c>
      <c r="B608" s="8" t="s">
        <v>762</v>
      </c>
      <c r="C608" s="7" t="s">
        <v>30</v>
      </c>
      <c r="D608" s="7" t="s">
        <v>773</v>
      </c>
      <c r="E608" s="7" t="s">
        <v>26</v>
      </c>
      <c r="F608" s="7" t="s">
        <v>20</v>
      </c>
    </row>
    <row r="609" ht="22.5" customHeight="1">
      <c r="A609" s="7" t="s">
        <v>200</v>
      </c>
      <c r="B609" s="8" t="s">
        <v>762</v>
      </c>
      <c r="C609" s="7" t="s">
        <v>36</v>
      </c>
      <c r="D609" s="7" t="s">
        <v>774</v>
      </c>
      <c r="E609" s="7" t="s">
        <v>16</v>
      </c>
      <c r="F609" s="7" t="s">
        <v>16</v>
      </c>
    </row>
    <row r="610" ht="22.5" customHeight="1">
      <c r="A610" s="7" t="s">
        <v>200</v>
      </c>
      <c r="B610" s="8" t="s">
        <v>762</v>
      </c>
      <c r="C610" s="7" t="s">
        <v>38</v>
      </c>
      <c r="D610" s="7" t="s">
        <v>775</v>
      </c>
      <c r="E610" s="7" t="s">
        <v>16</v>
      </c>
      <c r="F610" s="7" t="s">
        <v>16</v>
      </c>
    </row>
    <row r="611" ht="22.5" customHeight="1">
      <c r="A611" s="7" t="s">
        <v>200</v>
      </c>
      <c r="B611" s="8" t="s">
        <v>762</v>
      </c>
      <c r="C611" s="7" t="s">
        <v>40</v>
      </c>
      <c r="D611" s="7" t="s">
        <v>776</v>
      </c>
      <c r="E611" s="7" t="s">
        <v>16</v>
      </c>
      <c r="F611" s="7" t="s">
        <v>16</v>
      </c>
    </row>
    <row r="612" ht="22.5" customHeight="1">
      <c r="A612" s="7" t="s">
        <v>200</v>
      </c>
      <c r="B612" s="8" t="s">
        <v>762</v>
      </c>
      <c r="C612" s="7" t="s">
        <v>43</v>
      </c>
      <c r="D612" s="7" t="s">
        <v>777</v>
      </c>
      <c r="E612" s="7" t="s">
        <v>16</v>
      </c>
      <c r="F612" s="7" t="s">
        <v>16</v>
      </c>
    </row>
    <row r="613" ht="22.5" customHeight="1">
      <c r="A613" s="7" t="s">
        <v>778</v>
      </c>
      <c r="B613" s="8" t="s">
        <v>779</v>
      </c>
      <c r="C613" s="7" t="s">
        <v>14</v>
      </c>
      <c r="D613" s="7" t="s">
        <v>780</v>
      </c>
      <c r="E613" s="7" t="s">
        <v>155</v>
      </c>
      <c r="F613" s="7" t="s">
        <v>48</v>
      </c>
    </row>
    <row r="614" ht="22.5" customHeight="1">
      <c r="A614" s="7" t="s">
        <v>778</v>
      </c>
      <c r="B614" s="8" t="s">
        <v>779</v>
      </c>
      <c r="C614" s="7" t="s">
        <v>14</v>
      </c>
      <c r="D614" s="7" t="s">
        <v>781</v>
      </c>
      <c r="E614" s="7" t="s">
        <v>155</v>
      </c>
      <c r="F614" s="7" t="s">
        <v>48</v>
      </c>
    </row>
    <row r="615" ht="22.5" customHeight="1">
      <c r="A615" s="7" t="s">
        <v>778</v>
      </c>
      <c r="B615" s="8" t="s">
        <v>779</v>
      </c>
      <c r="C615" s="7" t="s">
        <v>43</v>
      </c>
      <c r="D615" s="7" t="s">
        <v>782</v>
      </c>
      <c r="E615" s="7" t="s">
        <v>26</v>
      </c>
      <c r="F615" s="7" t="s">
        <v>48</v>
      </c>
    </row>
    <row r="616" ht="22.5" customHeight="1">
      <c r="A616" s="7" t="s">
        <v>139</v>
      </c>
      <c r="B616" s="8" t="s">
        <v>783</v>
      </c>
      <c r="C616" s="7" t="s">
        <v>14</v>
      </c>
      <c r="D616" s="7" t="s">
        <v>784</v>
      </c>
      <c r="E616" s="7" t="s">
        <v>16</v>
      </c>
      <c r="F616" s="7" t="s">
        <v>48</v>
      </c>
    </row>
    <row r="617" ht="22.5" customHeight="1">
      <c r="A617" s="7" t="s">
        <v>139</v>
      </c>
      <c r="B617" s="8" t="s">
        <v>783</v>
      </c>
      <c r="C617" s="7" t="s">
        <v>43</v>
      </c>
      <c r="D617" s="7" t="s">
        <v>785</v>
      </c>
      <c r="E617" s="7" t="s">
        <v>26</v>
      </c>
      <c r="F617" s="7" t="s">
        <v>48</v>
      </c>
    </row>
    <row r="618" ht="22.5" customHeight="1">
      <c r="A618" s="7" t="s">
        <v>139</v>
      </c>
      <c r="B618" s="8" t="s">
        <v>783</v>
      </c>
      <c r="C618" s="7" t="s">
        <v>14</v>
      </c>
      <c r="D618" s="7" t="s">
        <v>786</v>
      </c>
      <c r="E618" s="7" t="s">
        <v>76</v>
      </c>
      <c r="F618" s="7" t="s">
        <v>787</v>
      </c>
    </row>
    <row r="619" ht="22.5" customHeight="1">
      <c r="A619" s="7" t="s">
        <v>53</v>
      </c>
      <c r="B619" s="8" t="s">
        <v>788</v>
      </c>
      <c r="C619" s="7" t="s">
        <v>14</v>
      </c>
      <c r="D619" s="7" t="s">
        <v>789</v>
      </c>
      <c r="E619" s="7" t="s">
        <v>16</v>
      </c>
      <c r="F619" s="7" t="s">
        <v>16</v>
      </c>
    </row>
    <row r="620" ht="22.5" customHeight="1">
      <c r="A620" s="7" t="s">
        <v>53</v>
      </c>
      <c r="B620" s="8" t="s">
        <v>788</v>
      </c>
      <c r="C620" s="7" t="s">
        <v>14</v>
      </c>
      <c r="D620" s="7" t="s">
        <v>790</v>
      </c>
      <c r="E620" s="7" t="s">
        <v>16</v>
      </c>
      <c r="F620" s="7" t="s">
        <v>16</v>
      </c>
    </row>
    <row r="621" ht="22.5" customHeight="1">
      <c r="A621" s="7" t="s">
        <v>53</v>
      </c>
      <c r="B621" s="8" t="s">
        <v>788</v>
      </c>
      <c r="C621" s="7" t="s">
        <v>14</v>
      </c>
      <c r="D621" s="7" t="s">
        <v>791</v>
      </c>
      <c r="E621" s="7" t="s">
        <v>16</v>
      </c>
      <c r="F621" s="7" t="s">
        <v>18</v>
      </c>
    </row>
    <row r="622" ht="22.5" customHeight="1">
      <c r="A622" s="7" t="s">
        <v>53</v>
      </c>
      <c r="B622" s="8" t="s">
        <v>788</v>
      </c>
      <c r="C622" s="7" t="s">
        <v>14</v>
      </c>
      <c r="D622" s="7" t="s">
        <v>792</v>
      </c>
      <c r="E622" s="7" t="s">
        <v>16</v>
      </c>
      <c r="F622" s="7" t="s">
        <v>20</v>
      </c>
    </row>
    <row r="623" ht="22.5" customHeight="1">
      <c r="A623" s="7" t="s">
        <v>53</v>
      </c>
      <c r="B623" s="8" t="s">
        <v>788</v>
      </c>
      <c r="C623" s="7" t="s">
        <v>14</v>
      </c>
      <c r="D623" s="7" t="s">
        <v>793</v>
      </c>
      <c r="E623" s="7" t="s">
        <v>16</v>
      </c>
      <c r="F623" s="7" t="s">
        <v>22</v>
      </c>
    </row>
    <row r="624" ht="22.5" customHeight="1">
      <c r="A624" s="7" t="s">
        <v>53</v>
      </c>
      <c r="B624" s="8" t="s">
        <v>788</v>
      </c>
      <c r="C624" s="7" t="s">
        <v>14</v>
      </c>
      <c r="D624" s="7" t="s">
        <v>794</v>
      </c>
      <c r="E624" s="7" t="s">
        <v>16</v>
      </c>
      <c r="F624" s="7" t="s">
        <v>24</v>
      </c>
    </row>
    <row r="625" ht="22.5" customHeight="1">
      <c r="A625" s="7" t="s">
        <v>53</v>
      </c>
      <c r="B625" s="8" t="s">
        <v>788</v>
      </c>
      <c r="C625" s="7" t="s">
        <v>14</v>
      </c>
      <c r="D625" s="7" t="s">
        <v>795</v>
      </c>
      <c r="E625" s="7" t="s">
        <v>26</v>
      </c>
      <c r="F625" s="7" t="s">
        <v>18</v>
      </c>
    </row>
    <row r="626" ht="22.5" customHeight="1">
      <c r="A626" s="7" t="s">
        <v>53</v>
      </c>
      <c r="B626" s="8" t="s">
        <v>788</v>
      </c>
      <c r="C626" s="7" t="s">
        <v>14</v>
      </c>
      <c r="D626" s="7" t="s">
        <v>796</v>
      </c>
      <c r="E626" s="7" t="s">
        <v>26</v>
      </c>
      <c r="F626" s="7" t="s">
        <v>20</v>
      </c>
    </row>
    <row r="627" ht="22.5" customHeight="1">
      <c r="A627" s="7" t="s">
        <v>53</v>
      </c>
      <c r="B627" s="8" t="s">
        <v>788</v>
      </c>
      <c r="C627" s="7" t="s">
        <v>14</v>
      </c>
      <c r="D627" s="7" t="s">
        <v>797</v>
      </c>
      <c r="E627" s="7" t="s">
        <v>26</v>
      </c>
      <c r="F627" s="7" t="s">
        <v>20</v>
      </c>
    </row>
    <row r="628" ht="22.5" customHeight="1">
      <c r="A628" s="7" t="s">
        <v>53</v>
      </c>
      <c r="B628" s="8" t="s">
        <v>788</v>
      </c>
      <c r="C628" s="7" t="s">
        <v>14</v>
      </c>
      <c r="D628" s="7" t="s">
        <v>798</v>
      </c>
      <c r="E628" s="7" t="s">
        <v>26</v>
      </c>
      <c r="F628" s="7" t="s">
        <v>22</v>
      </c>
    </row>
    <row r="629" ht="22.5" customHeight="1">
      <c r="A629" s="7" t="s">
        <v>53</v>
      </c>
      <c r="B629" s="8" t="s">
        <v>788</v>
      </c>
      <c r="C629" s="7" t="s">
        <v>14</v>
      </c>
      <c r="D629" s="7" t="s">
        <v>799</v>
      </c>
      <c r="E629" s="7" t="s">
        <v>26</v>
      </c>
      <c r="F629" s="7" t="s">
        <v>24</v>
      </c>
    </row>
    <row r="630" ht="22.5" customHeight="1">
      <c r="A630" s="7" t="s">
        <v>53</v>
      </c>
      <c r="B630" s="8" t="s">
        <v>788</v>
      </c>
      <c r="C630" s="7" t="s">
        <v>30</v>
      </c>
      <c r="D630" s="7" t="s">
        <v>800</v>
      </c>
      <c r="E630" s="7" t="s">
        <v>16</v>
      </c>
      <c r="F630" s="7" t="s">
        <v>16</v>
      </c>
    </row>
    <row r="631" ht="22.5" customHeight="1">
      <c r="A631" s="7" t="s">
        <v>53</v>
      </c>
      <c r="B631" s="8" t="s">
        <v>788</v>
      </c>
      <c r="C631" s="7" t="s">
        <v>30</v>
      </c>
      <c r="D631" s="7" t="s">
        <v>801</v>
      </c>
      <c r="E631" s="7" t="s">
        <v>16</v>
      </c>
      <c r="F631" s="7" t="s">
        <v>16</v>
      </c>
    </row>
    <row r="632" ht="22.5" customHeight="1">
      <c r="A632" s="7" t="s">
        <v>53</v>
      </c>
      <c r="B632" s="8" t="s">
        <v>788</v>
      </c>
      <c r="C632" s="7" t="s">
        <v>30</v>
      </c>
      <c r="D632" s="7" t="s">
        <v>802</v>
      </c>
      <c r="E632" s="7" t="s">
        <v>26</v>
      </c>
      <c r="F632" s="7" t="s">
        <v>18</v>
      </c>
    </row>
    <row r="633" ht="22.5" customHeight="1">
      <c r="A633" s="7" t="s">
        <v>53</v>
      </c>
      <c r="B633" s="8" t="s">
        <v>788</v>
      </c>
      <c r="C633" s="7" t="s">
        <v>30</v>
      </c>
      <c r="D633" s="7" t="s">
        <v>803</v>
      </c>
      <c r="E633" s="7" t="s">
        <v>26</v>
      </c>
      <c r="F633" s="7" t="s">
        <v>20</v>
      </c>
    </row>
    <row r="634" ht="22.5" customHeight="1">
      <c r="A634" s="7" t="s">
        <v>53</v>
      </c>
      <c r="B634" s="8" t="s">
        <v>788</v>
      </c>
      <c r="C634" s="7" t="s">
        <v>30</v>
      </c>
      <c r="D634" s="7" t="s">
        <v>804</v>
      </c>
      <c r="E634" s="7" t="s">
        <v>26</v>
      </c>
      <c r="F634" s="7" t="s">
        <v>22</v>
      </c>
    </row>
    <row r="635" ht="22.5" customHeight="1">
      <c r="A635" s="7" t="s">
        <v>53</v>
      </c>
      <c r="B635" s="8" t="s">
        <v>788</v>
      </c>
      <c r="C635" s="7" t="s">
        <v>30</v>
      </c>
      <c r="D635" s="7" t="s">
        <v>805</v>
      </c>
      <c r="E635" s="7" t="s">
        <v>26</v>
      </c>
      <c r="F635" s="7" t="s">
        <v>24</v>
      </c>
    </row>
    <row r="636" ht="22.5" customHeight="1">
      <c r="A636" s="7" t="s">
        <v>53</v>
      </c>
      <c r="B636" s="8" t="s">
        <v>788</v>
      </c>
      <c r="C636" s="7" t="s">
        <v>36</v>
      </c>
      <c r="D636" s="7" t="s">
        <v>806</v>
      </c>
      <c r="E636" s="7" t="s">
        <v>16</v>
      </c>
      <c r="F636" s="7" t="s">
        <v>16</v>
      </c>
    </row>
    <row r="637" ht="22.5" customHeight="1">
      <c r="A637" s="7" t="s">
        <v>53</v>
      </c>
      <c r="B637" s="8" t="s">
        <v>788</v>
      </c>
      <c r="C637" s="7" t="s">
        <v>38</v>
      </c>
      <c r="D637" s="7" t="s">
        <v>807</v>
      </c>
      <c r="E637" s="7" t="s">
        <v>16</v>
      </c>
      <c r="F637" s="7" t="s">
        <v>16</v>
      </c>
    </row>
    <row r="638" ht="22.5" customHeight="1">
      <c r="A638" s="7" t="s">
        <v>53</v>
      </c>
      <c r="B638" s="8" t="s">
        <v>788</v>
      </c>
      <c r="C638" s="7" t="s">
        <v>40</v>
      </c>
      <c r="D638" s="7" t="s">
        <v>808</v>
      </c>
      <c r="E638" s="7" t="s">
        <v>16</v>
      </c>
      <c r="F638" s="7" t="s">
        <v>16</v>
      </c>
    </row>
    <row r="639" ht="22.5" customHeight="1">
      <c r="A639" s="7" t="s">
        <v>53</v>
      </c>
      <c r="B639" s="8" t="s">
        <v>788</v>
      </c>
      <c r="C639" s="7" t="s">
        <v>43</v>
      </c>
      <c r="D639" s="7" t="s">
        <v>809</v>
      </c>
      <c r="E639" s="7" t="s">
        <v>16</v>
      </c>
      <c r="F639" s="7" t="s">
        <v>16</v>
      </c>
    </row>
    <row r="640" ht="22.5" customHeight="1">
      <c r="A640" s="7" t="s">
        <v>106</v>
      </c>
      <c r="B640" s="8" t="s">
        <v>810</v>
      </c>
      <c r="C640" s="7" t="s">
        <v>14</v>
      </c>
      <c r="D640" s="7" t="s">
        <v>811</v>
      </c>
      <c r="E640" s="7" t="s">
        <v>16</v>
      </c>
      <c r="F640" s="7" t="s">
        <v>18</v>
      </c>
    </row>
    <row r="641" ht="22.5" customHeight="1">
      <c r="A641" s="7" t="s">
        <v>106</v>
      </c>
      <c r="B641" s="8" t="s">
        <v>810</v>
      </c>
      <c r="C641" s="7" t="s">
        <v>30</v>
      </c>
      <c r="D641" s="7" t="s">
        <v>812</v>
      </c>
      <c r="E641" s="7" t="s">
        <v>16</v>
      </c>
      <c r="F641" s="7" t="s">
        <v>16</v>
      </c>
    </row>
    <row r="642" ht="22.5" customHeight="1">
      <c r="A642" s="7" t="s">
        <v>106</v>
      </c>
      <c r="B642" s="8" t="s">
        <v>810</v>
      </c>
      <c r="C642" s="7" t="s">
        <v>36</v>
      </c>
      <c r="D642" s="7" t="s">
        <v>813</v>
      </c>
      <c r="E642" s="7" t="s">
        <v>16</v>
      </c>
      <c r="F642" s="7" t="s">
        <v>16</v>
      </c>
    </row>
    <row r="643" ht="22.5" customHeight="1">
      <c r="A643" s="7" t="s">
        <v>106</v>
      </c>
      <c r="B643" s="8" t="s">
        <v>810</v>
      </c>
      <c r="C643" s="7" t="s">
        <v>38</v>
      </c>
      <c r="D643" s="7" t="s">
        <v>814</v>
      </c>
      <c r="E643" s="7" t="s">
        <v>16</v>
      </c>
      <c r="F643" s="7" t="s">
        <v>16</v>
      </c>
    </row>
    <row r="644" ht="22.5" customHeight="1">
      <c r="A644" s="7" t="s">
        <v>106</v>
      </c>
      <c r="B644" s="8" t="s">
        <v>810</v>
      </c>
      <c r="C644" s="7" t="s">
        <v>40</v>
      </c>
      <c r="D644" s="7" t="s">
        <v>815</v>
      </c>
      <c r="E644" s="7" t="s">
        <v>16</v>
      </c>
      <c r="F644" s="7" t="s">
        <v>16</v>
      </c>
    </row>
    <row r="645" ht="22.5" customHeight="1">
      <c r="A645" s="7" t="s">
        <v>106</v>
      </c>
      <c r="B645" s="8" t="s">
        <v>810</v>
      </c>
      <c r="C645" s="7" t="s">
        <v>43</v>
      </c>
      <c r="D645" s="7" t="s">
        <v>816</v>
      </c>
      <c r="E645" s="7" t="s">
        <v>16</v>
      </c>
      <c r="F645" s="7" t="s">
        <v>16</v>
      </c>
    </row>
    <row r="646" ht="22.5" customHeight="1">
      <c r="A646" s="7" t="s">
        <v>12</v>
      </c>
      <c r="B646" s="8" t="s">
        <v>817</v>
      </c>
      <c r="C646" s="7" t="s">
        <v>14</v>
      </c>
      <c r="D646" s="7" t="s">
        <v>818</v>
      </c>
      <c r="E646" s="7" t="s">
        <v>151</v>
      </c>
      <c r="F646" s="7" t="s">
        <v>18</v>
      </c>
    </row>
    <row r="647" ht="22.5" customHeight="1">
      <c r="A647" s="7" t="s">
        <v>12</v>
      </c>
      <c r="B647" s="8" t="s">
        <v>817</v>
      </c>
      <c r="C647" s="7" t="s">
        <v>14</v>
      </c>
      <c r="D647" s="7" t="s">
        <v>819</v>
      </c>
      <c r="E647" s="7" t="s">
        <v>151</v>
      </c>
      <c r="F647" s="7" t="s">
        <v>20</v>
      </c>
    </row>
    <row r="648" ht="22.5" customHeight="1">
      <c r="A648" s="7" t="s">
        <v>12</v>
      </c>
      <c r="B648" s="8" t="s">
        <v>817</v>
      </c>
      <c r="C648" s="7" t="s">
        <v>14</v>
      </c>
      <c r="D648" s="7" t="s">
        <v>820</v>
      </c>
      <c r="E648" s="7" t="s">
        <v>151</v>
      </c>
      <c r="F648" s="7" t="s">
        <v>22</v>
      </c>
    </row>
    <row r="649" ht="22.5" customHeight="1">
      <c r="A649" s="7" t="s">
        <v>12</v>
      </c>
      <c r="B649" s="8" t="s">
        <v>817</v>
      </c>
      <c r="C649" s="7" t="s">
        <v>14</v>
      </c>
      <c r="D649" s="7" t="s">
        <v>821</v>
      </c>
      <c r="E649" s="7" t="s">
        <v>151</v>
      </c>
      <c r="F649" s="7" t="s">
        <v>24</v>
      </c>
    </row>
    <row r="650" ht="22.5" customHeight="1">
      <c r="A650" s="7" t="s">
        <v>12</v>
      </c>
      <c r="B650" s="8" t="s">
        <v>817</v>
      </c>
      <c r="C650" s="7" t="s">
        <v>14</v>
      </c>
      <c r="D650" s="7" t="s">
        <v>822</v>
      </c>
      <c r="E650" s="7" t="s">
        <v>26</v>
      </c>
      <c r="F650" s="7" t="s">
        <v>16</v>
      </c>
    </row>
    <row r="651" ht="22.5" customHeight="1">
      <c r="A651" s="7" t="s">
        <v>12</v>
      </c>
      <c r="B651" s="8" t="s">
        <v>817</v>
      </c>
      <c r="C651" s="7" t="s">
        <v>14</v>
      </c>
      <c r="D651" s="7" t="s">
        <v>823</v>
      </c>
      <c r="E651" s="7" t="s">
        <v>26</v>
      </c>
      <c r="F651" s="7" t="s">
        <v>18</v>
      </c>
    </row>
    <row r="652" ht="22.5" customHeight="1">
      <c r="A652" s="7" t="s">
        <v>12</v>
      </c>
      <c r="B652" s="8" t="s">
        <v>817</v>
      </c>
      <c r="C652" s="7" t="s">
        <v>14</v>
      </c>
      <c r="D652" s="7" t="s">
        <v>824</v>
      </c>
      <c r="E652" s="7" t="s">
        <v>26</v>
      </c>
      <c r="F652" s="7" t="s">
        <v>20</v>
      </c>
    </row>
    <row r="653" ht="22.5" customHeight="1">
      <c r="A653" s="7" t="s">
        <v>12</v>
      </c>
      <c r="B653" s="8" t="s">
        <v>817</v>
      </c>
      <c r="C653" s="7" t="s">
        <v>14</v>
      </c>
      <c r="D653" s="7" t="s">
        <v>825</v>
      </c>
      <c r="E653" s="7" t="s">
        <v>26</v>
      </c>
      <c r="F653" s="7" t="s">
        <v>20</v>
      </c>
    </row>
    <row r="654" ht="22.5" customHeight="1">
      <c r="A654" s="7" t="s">
        <v>12</v>
      </c>
      <c r="B654" s="8" t="s">
        <v>817</v>
      </c>
      <c r="C654" s="7" t="s">
        <v>14</v>
      </c>
      <c r="D654" s="7" t="s">
        <v>826</v>
      </c>
      <c r="E654" s="7" t="s">
        <v>26</v>
      </c>
      <c r="F654" s="7" t="s">
        <v>22</v>
      </c>
    </row>
    <row r="655" ht="22.5" customHeight="1">
      <c r="A655" s="7" t="s">
        <v>12</v>
      </c>
      <c r="B655" s="8" t="s">
        <v>817</v>
      </c>
      <c r="C655" s="7" t="s">
        <v>14</v>
      </c>
      <c r="D655" s="7" t="s">
        <v>827</v>
      </c>
      <c r="E655" s="7" t="s">
        <v>26</v>
      </c>
      <c r="F655" s="7" t="s">
        <v>24</v>
      </c>
    </row>
    <row r="656" ht="22.5" customHeight="1">
      <c r="A656" s="7" t="s">
        <v>12</v>
      </c>
      <c r="B656" s="8" t="s">
        <v>817</v>
      </c>
      <c r="C656" s="7" t="s">
        <v>30</v>
      </c>
      <c r="D656" s="7" t="s">
        <v>828</v>
      </c>
      <c r="E656" s="7" t="s">
        <v>151</v>
      </c>
      <c r="F656" s="7" t="s">
        <v>16</v>
      </c>
    </row>
    <row r="657" ht="22.5" customHeight="1">
      <c r="A657" s="7" t="s">
        <v>12</v>
      </c>
      <c r="B657" s="8" t="s">
        <v>817</v>
      </c>
      <c r="C657" s="7" t="s">
        <v>30</v>
      </c>
      <c r="D657" s="7" t="s">
        <v>829</v>
      </c>
      <c r="E657" s="7" t="s">
        <v>26</v>
      </c>
      <c r="F657" s="7" t="s">
        <v>20</v>
      </c>
    </row>
    <row r="658" ht="22.5" customHeight="1">
      <c r="A658" s="7" t="s">
        <v>12</v>
      </c>
      <c r="B658" s="8" t="s">
        <v>817</v>
      </c>
      <c r="C658" s="7" t="s">
        <v>30</v>
      </c>
      <c r="D658" s="7" t="s">
        <v>830</v>
      </c>
      <c r="E658" s="7" t="s">
        <v>26</v>
      </c>
      <c r="F658" s="7" t="s">
        <v>22</v>
      </c>
    </row>
    <row r="659" ht="22.5" customHeight="1">
      <c r="A659" s="7" t="s">
        <v>12</v>
      </c>
      <c r="B659" s="8" t="s">
        <v>817</v>
      </c>
      <c r="C659" s="7" t="s">
        <v>30</v>
      </c>
      <c r="D659" s="7" t="s">
        <v>831</v>
      </c>
      <c r="E659" s="7" t="s">
        <v>26</v>
      </c>
      <c r="F659" s="7" t="s">
        <v>24</v>
      </c>
    </row>
    <row r="660" ht="22.5" customHeight="1">
      <c r="A660" s="7" t="s">
        <v>12</v>
      </c>
      <c r="B660" s="8" t="s">
        <v>817</v>
      </c>
      <c r="C660" s="7" t="s">
        <v>36</v>
      </c>
      <c r="D660" s="7" t="s">
        <v>832</v>
      </c>
      <c r="E660" s="7" t="s">
        <v>151</v>
      </c>
      <c r="F660" s="7" t="s">
        <v>16</v>
      </c>
    </row>
    <row r="661" ht="22.5" customHeight="1">
      <c r="A661" s="7" t="s">
        <v>12</v>
      </c>
      <c r="B661" s="8" t="s">
        <v>817</v>
      </c>
      <c r="C661" s="7" t="s">
        <v>38</v>
      </c>
      <c r="D661" s="7" t="s">
        <v>833</v>
      </c>
      <c r="E661" s="7" t="s">
        <v>151</v>
      </c>
      <c r="F661" s="7" t="s">
        <v>16</v>
      </c>
    </row>
    <row r="662" ht="22.5" customHeight="1">
      <c r="A662" s="7" t="s">
        <v>12</v>
      </c>
      <c r="B662" s="8" t="s">
        <v>817</v>
      </c>
      <c r="C662" s="7" t="s">
        <v>40</v>
      </c>
      <c r="D662" s="7" t="s">
        <v>834</v>
      </c>
      <c r="E662" s="7" t="s">
        <v>151</v>
      </c>
      <c r="F662" s="7" t="s">
        <v>16</v>
      </c>
    </row>
    <row r="663" ht="22.5" customHeight="1">
      <c r="A663" s="7" t="s">
        <v>12</v>
      </c>
      <c r="B663" s="8" t="s">
        <v>817</v>
      </c>
      <c r="C663" s="7" t="s">
        <v>43</v>
      </c>
      <c r="D663" s="7" t="s">
        <v>835</v>
      </c>
      <c r="E663" s="7" t="s">
        <v>151</v>
      </c>
      <c r="F663" s="7" t="s">
        <v>16</v>
      </c>
    </row>
    <row r="664" ht="22.5" customHeight="1">
      <c r="A664" s="7" t="s">
        <v>12</v>
      </c>
      <c r="B664" s="8" t="s">
        <v>836</v>
      </c>
      <c r="C664" s="7" t="s">
        <v>14</v>
      </c>
      <c r="D664" s="7" t="s">
        <v>837</v>
      </c>
      <c r="E664" s="7" t="s">
        <v>26</v>
      </c>
      <c r="F664" s="7" t="s">
        <v>48</v>
      </c>
    </row>
    <row r="665" ht="22.5" customHeight="1">
      <c r="A665" s="7" t="s">
        <v>139</v>
      </c>
      <c r="B665" s="8" t="s">
        <v>838</v>
      </c>
      <c r="C665" s="7" t="s">
        <v>14</v>
      </c>
      <c r="D665" s="7" t="s">
        <v>839</v>
      </c>
      <c r="E665" s="7" t="s">
        <v>16</v>
      </c>
      <c r="F665" s="7" t="s">
        <v>16</v>
      </c>
    </row>
    <row r="666" ht="22.5" customHeight="1">
      <c r="A666" s="7" t="s">
        <v>139</v>
      </c>
      <c r="B666" s="8" t="s">
        <v>838</v>
      </c>
      <c r="C666" s="7" t="s">
        <v>14</v>
      </c>
      <c r="D666" s="7" t="s">
        <v>840</v>
      </c>
      <c r="E666" s="7" t="s">
        <v>16</v>
      </c>
      <c r="F666" s="7" t="s">
        <v>16</v>
      </c>
    </row>
    <row r="667" ht="22.5" customHeight="1">
      <c r="A667" s="7" t="s">
        <v>139</v>
      </c>
      <c r="B667" s="8" t="s">
        <v>838</v>
      </c>
      <c r="C667" s="7" t="s">
        <v>14</v>
      </c>
      <c r="D667" s="7" t="s">
        <v>841</v>
      </c>
      <c r="E667" s="7" t="s">
        <v>16</v>
      </c>
      <c r="F667" s="7" t="s">
        <v>18</v>
      </c>
    </row>
    <row r="668" ht="22.5" customHeight="1">
      <c r="A668" s="7" t="s">
        <v>139</v>
      </c>
      <c r="B668" s="8" t="s">
        <v>838</v>
      </c>
      <c r="C668" s="7" t="s">
        <v>14</v>
      </c>
      <c r="D668" s="7" t="s">
        <v>842</v>
      </c>
      <c r="E668" s="7" t="s">
        <v>16</v>
      </c>
      <c r="F668" s="7" t="s">
        <v>20</v>
      </c>
    </row>
    <row r="669" ht="22.5" customHeight="1">
      <c r="A669" s="7" t="s">
        <v>139</v>
      </c>
      <c r="B669" s="8" t="s">
        <v>838</v>
      </c>
      <c r="C669" s="7" t="s">
        <v>14</v>
      </c>
      <c r="D669" s="7" t="s">
        <v>843</v>
      </c>
      <c r="E669" s="7" t="s">
        <v>16</v>
      </c>
      <c r="F669" s="7" t="s">
        <v>22</v>
      </c>
    </row>
    <row r="670" ht="22.5" customHeight="1">
      <c r="A670" s="7" t="s">
        <v>139</v>
      </c>
      <c r="B670" s="8" t="s">
        <v>838</v>
      </c>
      <c r="C670" s="7" t="s">
        <v>14</v>
      </c>
      <c r="D670" s="7" t="s">
        <v>844</v>
      </c>
      <c r="E670" s="7" t="s">
        <v>26</v>
      </c>
      <c r="F670" s="7" t="s">
        <v>16</v>
      </c>
    </row>
    <row r="671" ht="22.5" customHeight="1">
      <c r="A671" s="7" t="s">
        <v>139</v>
      </c>
      <c r="B671" s="8" t="s">
        <v>838</v>
      </c>
      <c r="C671" s="7" t="s">
        <v>14</v>
      </c>
      <c r="D671" s="7" t="s">
        <v>845</v>
      </c>
      <c r="E671" s="7" t="s">
        <v>26</v>
      </c>
      <c r="F671" s="7" t="s">
        <v>16</v>
      </c>
    </row>
    <row r="672" ht="22.5" customHeight="1">
      <c r="A672" s="7" t="s">
        <v>139</v>
      </c>
      <c r="B672" s="8" t="s">
        <v>838</v>
      </c>
      <c r="C672" s="7" t="s">
        <v>14</v>
      </c>
      <c r="D672" s="7" t="s">
        <v>846</v>
      </c>
      <c r="E672" s="7" t="s">
        <v>26</v>
      </c>
      <c r="F672" s="7" t="s">
        <v>22</v>
      </c>
    </row>
    <row r="673" ht="22.5" customHeight="1">
      <c r="A673" s="7" t="s">
        <v>139</v>
      </c>
      <c r="B673" s="8" t="s">
        <v>838</v>
      </c>
      <c r="C673" s="7" t="s">
        <v>14</v>
      </c>
      <c r="D673" s="7" t="s">
        <v>847</v>
      </c>
      <c r="E673" s="7" t="s">
        <v>26</v>
      </c>
      <c r="F673" s="7" t="s">
        <v>24</v>
      </c>
    </row>
    <row r="674" ht="22.5" customHeight="1">
      <c r="A674" s="7" t="s">
        <v>139</v>
      </c>
      <c r="B674" s="8" t="s">
        <v>838</v>
      </c>
      <c r="C674" s="7" t="s">
        <v>14</v>
      </c>
      <c r="D674" s="7" t="s">
        <v>848</v>
      </c>
      <c r="E674" s="7" t="s">
        <v>26</v>
      </c>
      <c r="F674" s="7" t="s">
        <v>24</v>
      </c>
    </row>
    <row r="675" ht="22.5" customHeight="1">
      <c r="A675" s="7" t="s">
        <v>139</v>
      </c>
      <c r="B675" s="8" t="s">
        <v>838</v>
      </c>
      <c r="C675" s="7" t="s">
        <v>30</v>
      </c>
      <c r="D675" s="7" t="s">
        <v>849</v>
      </c>
      <c r="E675" s="7" t="s">
        <v>16</v>
      </c>
      <c r="F675" s="7" t="s">
        <v>16</v>
      </c>
    </row>
    <row r="676" ht="22.5" customHeight="1">
      <c r="A676" s="7" t="s">
        <v>139</v>
      </c>
      <c r="B676" s="8" t="s">
        <v>838</v>
      </c>
      <c r="C676" s="7" t="s">
        <v>30</v>
      </c>
      <c r="D676" s="7" t="s">
        <v>850</v>
      </c>
      <c r="E676" s="7" t="s">
        <v>16</v>
      </c>
      <c r="F676" s="7" t="s">
        <v>70</v>
      </c>
    </row>
    <row r="677" ht="22.5" customHeight="1">
      <c r="A677" s="7" t="s">
        <v>139</v>
      </c>
      <c r="B677" s="8" t="s">
        <v>838</v>
      </c>
      <c r="C677" s="7" t="s">
        <v>30</v>
      </c>
      <c r="D677" s="7" t="s">
        <v>851</v>
      </c>
      <c r="E677" s="7" t="s">
        <v>26</v>
      </c>
      <c r="F677" s="7" t="s">
        <v>16</v>
      </c>
    </row>
    <row r="678" ht="22.5" customHeight="1">
      <c r="A678" s="7" t="s">
        <v>139</v>
      </c>
      <c r="B678" s="8" t="s">
        <v>838</v>
      </c>
      <c r="C678" s="7" t="s">
        <v>30</v>
      </c>
      <c r="D678" s="7" t="s">
        <v>852</v>
      </c>
      <c r="E678" s="7" t="s">
        <v>26</v>
      </c>
      <c r="F678" s="7" t="s">
        <v>16</v>
      </c>
    </row>
    <row r="679" ht="22.5" customHeight="1">
      <c r="A679" s="7" t="s">
        <v>139</v>
      </c>
      <c r="B679" s="8" t="s">
        <v>838</v>
      </c>
      <c r="C679" s="7" t="s">
        <v>30</v>
      </c>
      <c r="D679" s="7" t="s">
        <v>853</v>
      </c>
      <c r="E679" s="7" t="s">
        <v>26</v>
      </c>
      <c r="F679" s="7" t="s">
        <v>16</v>
      </c>
    </row>
    <row r="680" ht="22.5" customHeight="1">
      <c r="A680" s="7" t="s">
        <v>139</v>
      </c>
      <c r="B680" s="8" t="s">
        <v>838</v>
      </c>
      <c r="C680" s="7" t="s">
        <v>30</v>
      </c>
      <c r="D680" s="7" t="s">
        <v>854</v>
      </c>
      <c r="E680" s="7" t="s">
        <v>26</v>
      </c>
      <c r="F680" s="7" t="s">
        <v>16</v>
      </c>
    </row>
    <row r="681" ht="22.5" customHeight="1">
      <c r="A681" s="7" t="s">
        <v>139</v>
      </c>
      <c r="B681" s="8" t="s">
        <v>838</v>
      </c>
      <c r="C681" s="7" t="s">
        <v>30</v>
      </c>
      <c r="D681" s="7" t="s">
        <v>855</v>
      </c>
      <c r="E681" s="7" t="s">
        <v>26</v>
      </c>
      <c r="F681" s="7" t="s">
        <v>16</v>
      </c>
    </row>
    <row r="682" ht="22.5" customHeight="1">
      <c r="A682" s="7" t="s">
        <v>139</v>
      </c>
      <c r="B682" s="8" t="s">
        <v>838</v>
      </c>
      <c r="C682" s="7" t="s">
        <v>30</v>
      </c>
      <c r="D682" s="7" t="s">
        <v>856</v>
      </c>
      <c r="E682" s="7" t="s">
        <v>26</v>
      </c>
      <c r="F682" s="7" t="s">
        <v>20</v>
      </c>
    </row>
    <row r="683" ht="22.5" customHeight="1">
      <c r="A683" s="7" t="s">
        <v>139</v>
      </c>
      <c r="B683" s="8" t="s">
        <v>838</v>
      </c>
      <c r="C683" s="7" t="s">
        <v>36</v>
      </c>
      <c r="D683" s="7" t="s">
        <v>857</v>
      </c>
      <c r="E683" s="7" t="s">
        <v>26</v>
      </c>
      <c r="F683" s="7" t="s">
        <v>16</v>
      </c>
    </row>
    <row r="684" ht="22.5" customHeight="1">
      <c r="A684" s="7" t="s">
        <v>139</v>
      </c>
      <c r="B684" s="8" t="s">
        <v>838</v>
      </c>
      <c r="C684" s="7" t="s">
        <v>36</v>
      </c>
      <c r="D684" s="7" t="s">
        <v>858</v>
      </c>
      <c r="E684" s="7" t="s">
        <v>26</v>
      </c>
      <c r="F684" s="7" t="s">
        <v>20</v>
      </c>
    </row>
    <row r="685" ht="22.5" customHeight="1">
      <c r="A685" s="7" t="s">
        <v>139</v>
      </c>
      <c r="B685" s="8" t="s">
        <v>838</v>
      </c>
      <c r="C685" s="7" t="s">
        <v>38</v>
      </c>
      <c r="D685" s="7" t="s">
        <v>859</v>
      </c>
      <c r="E685" s="7" t="s">
        <v>26</v>
      </c>
      <c r="F685" s="7" t="s">
        <v>16</v>
      </c>
    </row>
    <row r="686" ht="22.5" customHeight="1">
      <c r="A686" s="7" t="s">
        <v>139</v>
      </c>
      <c r="B686" s="8" t="s">
        <v>838</v>
      </c>
      <c r="C686" s="7" t="s">
        <v>38</v>
      </c>
      <c r="D686" s="7" t="s">
        <v>860</v>
      </c>
      <c r="E686" s="7" t="s">
        <v>26</v>
      </c>
      <c r="F686" s="7" t="s">
        <v>20</v>
      </c>
    </row>
    <row r="687" ht="22.5" customHeight="1">
      <c r="A687" s="7" t="s">
        <v>139</v>
      </c>
      <c r="B687" s="8" t="s">
        <v>838</v>
      </c>
      <c r="C687" s="7" t="s">
        <v>40</v>
      </c>
      <c r="D687" s="7" t="s">
        <v>861</v>
      </c>
      <c r="E687" s="7" t="s">
        <v>26</v>
      </c>
      <c r="F687" s="7" t="s">
        <v>16</v>
      </c>
    </row>
    <row r="688" ht="22.5" customHeight="1">
      <c r="A688" s="7" t="s">
        <v>139</v>
      </c>
      <c r="B688" s="8" t="s">
        <v>838</v>
      </c>
      <c r="C688" s="7" t="s">
        <v>40</v>
      </c>
      <c r="D688" s="7" t="s">
        <v>862</v>
      </c>
      <c r="E688" s="7" t="s">
        <v>26</v>
      </c>
      <c r="F688" s="7" t="s">
        <v>20</v>
      </c>
    </row>
    <row r="689" ht="22.5" customHeight="1">
      <c r="A689" s="7" t="s">
        <v>139</v>
      </c>
      <c r="B689" s="8" t="s">
        <v>838</v>
      </c>
      <c r="C689" s="7" t="s">
        <v>43</v>
      </c>
      <c r="D689" s="7" t="s">
        <v>863</v>
      </c>
      <c r="E689" s="7" t="s">
        <v>16</v>
      </c>
      <c r="F689" s="7" t="s">
        <v>16</v>
      </c>
    </row>
    <row r="690" ht="22.5" customHeight="1">
      <c r="A690" s="7" t="s">
        <v>139</v>
      </c>
      <c r="B690" s="8" t="s">
        <v>838</v>
      </c>
      <c r="C690" s="7" t="s">
        <v>43</v>
      </c>
      <c r="D690" s="7" t="s">
        <v>864</v>
      </c>
      <c r="E690" s="7" t="s">
        <v>16</v>
      </c>
      <c r="F690" s="7" t="s">
        <v>20</v>
      </c>
    </row>
    <row r="691" ht="22.5" customHeight="1">
      <c r="A691" s="7" t="s">
        <v>139</v>
      </c>
      <c r="B691" s="8" t="s">
        <v>838</v>
      </c>
      <c r="C691" s="7" t="s">
        <v>43</v>
      </c>
      <c r="D691" s="7" t="s">
        <v>865</v>
      </c>
      <c r="E691" s="7" t="s">
        <v>105</v>
      </c>
      <c r="F691" s="7" t="s">
        <v>70</v>
      </c>
    </row>
    <row r="692" ht="22.5" customHeight="1">
      <c r="A692" s="7" t="s">
        <v>139</v>
      </c>
      <c r="B692" s="8" t="s">
        <v>838</v>
      </c>
      <c r="C692" s="7" t="s">
        <v>103</v>
      </c>
      <c r="D692" s="7" t="s">
        <v>866</v>
      </c>
      <c r="E692" s="7" t="s">
        <v>105</v>
      </c>
      <c r="F692" s="7" t="s">
        <v>70</v>
      </c>
    </row>
    <row r="693" ht="22.5" customHeight="1">
      <c r="A693" s="7" t="s">
        <v>152</v>
      </c>
      <c r="B693" s="8" t="s">
        <v>867</v>
      </c>
      <c r="C693" s="7" t="s">
        <v>14</v>
      </c>
      <c r="D693" s="7" t="s">
        <v>868</v>
      </c>
      <c r="E693" s="7" t="s">
        <v>16</v>
      </c>
      <c r="F693" s="7" t="s">
        <v>18</v>
      </c>
    </row>
    <row r="694" ht="22.5" customHeight="1">
      <c r="A694" s="7" t="s">
        <v>152</v>
      </c>
      <c r="B694" s="8" t="s">
        <v>867</v>
      </c>
      <c r="C694" s="7" t="s">
        <v>14</v>
      </c>
      <c r="D694" s="7" t="s">
        <v>869</v>
      </c>
      <c r="E694" s="7" t="s">
        <v>16</v>
      </c>
      <c r="F694" s="7" t="s">
        <v>18</v>
      </c>
    </row>
    <row r="695" ht="22.5" customHeight="1">
      <c r="A695" s="7" t="s">
        <v>152</v>
      </c>
      <c r="B695" s="8" t="s">
        <v>867</v>
      </c>
      <c r="C695" s="7" t="s">
        <v>14</v>
      </c>
      <c r="D695" s="7" t="s">
        <v>870</v>
      </c>
      <c r="E695" s="7" t="s">
        <v>16</v>
      </c>
      <c r="F695" s="7" t="s">
        <v>20</v>
      </c>
    </row>
    <row r="696" ht="22.5" customHeight="1">
      <c r="A696" s="7" t="s">
        <v>152</v>
      </c>
      <c r="B696" s="8" t="s">
        <v>867</v>
      </c>
      <c r="C696" s="7" t="s">
        <v>30</v>
      </c>
      <c r="D696" s="7" t="s">
        <v>871</v>
      </c>
      <c r="E696" s="7" t="s">
        <v>16</v>
      </c>
      <c r="F696" s="7" t="s">
        <v>16</v>
      </c>
    </row>
    <row r="697" ht="22.5" customHeight="1">
      <c r="A697" s="7" t="s">
        <v>152</v>
      </c>
      <c r="B697" s="8" t="s">
        <v>867</v>
      </c>
      <c r="C697" s="7" t="s">
        <v>30</v>
      </c>
      <c r="D697" s="7" t="s">
        <v>872</v>
      </c>
      <c r="E697" s="7" t="s">
        <v>16</v>
      </c>
      <c r="F697" s="7" t="s">
        <v>16</v>
      </c>
    </row>
    <row r="698" ht="22.5" customHeight="1">
      <c r="A698" s="7" t="s">
        <v>152</v>
      </c>
      <c r="B698" s="8" t="s">
        <v>867</v>
      </c>
      <c r="C698" s="7" t="s">
        <v>30</v>
      </c>
      <c r="D698" s="7" t="s">
        <v>871</v>
      </c>
      <c r="E698" s="7" t="s">
        <v>155</v>
      </c>
      <c r="F698" s="7" t="s">
        <v>16</v>
      </c>
    </row>
    <row r="699" ht="22.5" customHeight="1">
      <c r="A699" s="7" t="s">
        <v>152</v>
      </c>
      <c r="B699" s="8" t="s">
        <v>867</v>
      </c>
      <c r="C699" s="7" t="s">
        <v>30</v>
      </c>
      <c r="D699" s="7" t="s">
        <v>868</v>
      </c>
      <c r="E699" s="7" t="s">
        <v>155</v>
      </c>
      <c r="F699" s="7" t="s">
        <v>18</v>
      </c>
    </row>
    <row r="700" ht="22.5" customHeight="1">
      <c r="A700" s="7" t="s">
        <v>152</v>
      </c>
      <c r="B700" s="8" t="s">
        <v>867</v>
      </c>
      <c r="C700" s="7" t="s">
        <v>36</v>
      </c>
      <c r="D700" s="7" t="s">
        <v>873</v>
      </c>
      <c r="E700" s="7" t="s">
        <v>16</v>
      </c>
      <c r="F700" s="7" t="s">
        <v>16</v>
      </c>
    </row>
    <row r="701" ht="22.5" customHeight="1">
      <c r="A701" s="7" t="s">
        <v>152</v>
      </c>
      <c r="B701" s="8" t="s">
        <v>867</v>
      </c>
      <c r="C701" s="7" t="s">
        <v>36</v>
      </c>
      <c r="D701" s="7" t="s">
        <v>874</v>
      </c>
      <c r="E701" s="7" t="s">
        <v>16</v>
      </c>
      <c r="F701" s="7" t="s">
        <v>16</v>
      </c>
    </row>
    <row r="702" ht="22.5" customHeight="1">
      <c r="A702" s="7" t="s">
        <v>152</v>
      </c>
      <c r="B702" s="8" t="s">
        <v>867</v>
      </c>
      <c r="C702" s="7" t="s">
        <v>36</v>
      </c>
      <c r="D702" s="7" t="s">
        <v>873</v>
      </c>
      <c r="E702" s="7" t="s">
        <v>155</v>
      </c>
      <c r="F702" s="7" t="s">
        <v>16</v>
      </c>
    </row>
    <row r="703" ht="22.5" customHeight="1">
      <c r="A703" s="7" t="s">
        <v>152</v>
      </c>
      <c r="B703" s="8" t="s">
        <v>867</v>
      </c>
      <c r="C703" s="7" t="s">
        <v>38</v>
      </c>
      <c r="D703" s="7" t="s">
        <v>875</v>
      </c>
      <c r="E703" s="7" t="s">
        <v>16</v>
      </c>
      <c r="F703" s="7" t="s">
        <v>16</v>
      </c>
    </row>
    <row r="704" ht="22.5" customHeight="1">
      <c r="A704" s="7" t="s">
        <v>152</v>
      </c>
      <c r="B704" s="8" t="s">
        <v>867</v>
      </c>
      <c r="C704" s="7" t="s">
        <v>38</v>
      </c>
      <c r="D704" s="7" t="s">
        <v>876</v>
      </c>
      <c r="E704" s="7" t="s">
        <v>16</v>
      </c>
      <c r="F704" s="7" t="s">
        <v>16</v>
      </c>
    </row>
    <row r="705" ht="22.5" customHeight="1">
      <c r="A705" s="7" t="s">
        <v>152</v>
      </c>
      <c r="B705" s="8" t="s">
        <v>867</v>
      </c>
      <c r="C705" s="7" t="s">
        <v>38</v>
      </c>
      <c r="D705" s="7" t="s">
        <v>875</v>
      </c>
      <c r="E705" s="7" t="s">
        <v>155</v>
      </c>
      <c r="F705" s="7" t="s">
        <v>16</v>
      </c>
    </row>
    <row r="706" ht="22.5" customHeight="1">
      <c r="A706" s="7" t="s">
        <v>152</v>
      </c>
      <c r="B706" s="8" t="s">
        <v>867</v>
      </c>
      <c r="C706" s="7" t="s">
        <v>38</v>
      </c>
      <c r="D706" s="7" t="s">
        <v>877</v>
      </c>
      <c r="E706" s="7" t="s">
        <v>105</v>
      </c>
      <c r="F706" s="7" t="s">
        <v>16</v>
      </c>
    </row>
    <row r="707" ht="22.5" customHeight="1">
      <c r="A707" s="7" t="s">
        <v>152</v>
      </c>
      <c r="B707" s="8" t="s">
        <v>867</v>
      </c>
      <c r="C707" s="7" t="s">
        <v>40</v>
      </c>
      <c r="D707" s="7" t="s">
        <v>878</v>
      </c>
      <c r="E707" s="7" t="s">
        <v>16</v>
      </c>
      <c r="F707" s="7" t="s">
        <v>16</v>
      </c>
    </row>
    <row r="708" ht="22.5" customHeight="1">
      <c r="A708" s="7" t="s">
        <v>152</v>
      </c>
      <c r="B708" s="8" t="s">
        <v>867</v>
      </c>
      <c r="C708" s="7" t="s">
        <v>40</v>
      </c>
      <c r="D708" s="7" t="s">
        <v>879</v>
      </c>
      <c r="E708" s="7" t="s">
        <v>16</v>
      </c>
      <c r="F708" s="7" t="s">
        <v>16</v>
      </c>
    </row>
    <row r="709" ht="22.5" customHeight="1">
      <c r="A709" s="7" t="s">
        <v>152</v>
      </c>
      <c r="B709" s="8" t="s">
        <v>867</v>
      </c>
      <c r="C709" s="7" t="s">
        <v>40</v>
      </c>
      <c r="D709" s="7" t="s">
        <v>878</v>
      </c>
      <c r="E709" s="7" t="s">
        <v>155</v>
      </c>
      <c r="F709" s="7" t="s">
        <v>16</v>
      </c>
    </row>
    <row r="710" ht="22.5" customHeight="1">
      <c r="A710" s="7" t="s">
        <v>152</v>
      </c>
      <c r="B710" s="8" t="s">
        <v>867</v>
      </c>
      <c r="C710" s="7" t="s">
        <v>43</v>
      </c>
      <c r="D710" s="7" t="s">
        <v>880</v>
      </c>
      <c r="E710" s="7" t="s">
        <v>16</v>
      </c>
      <c r="F710" s="7" t="s">
        <v>16</v>
      </c>
    </row>
    <row r="711" ht="22.5" customHeight="1">
      <c r="A711" s="7" t="s">
        <v>152</v>
      </c>
      <c r="B711" s="8" t="s">
        <v>867</v>
      </c>
      <c r="C711" s="7" t="s">
        <v>43</v>
      </c>
      <c r="D711" s="7" t="s">
        <v>881</v>
      </c>
      <c r="E711" s="7" t="s">
        <v>16</v>
      </c>
      <c r="F711" s="7" t="s">
        <v>16</v>
      </c>
    </row>
    <row r="712" ht="22.5" customHeight="1">
      <c r="A712" s="7" t="s">
        <v>152</v>
      </c>
      <c r="B712" s="8" t="s">
        <v>867</v>
      </c>
      <c r="C712" s="7" t="s">
        <v>43</v>
      </c>
      <c r="D712" s="7" t="s">
        <v>880</v>
      </c>
      <c r="E712" s="7" t="s">
        <v>155</v>
      </c>
      <c r="F712" s="7" t="s">
        <v>16</v>
      </c>
    </row>
    <row r="713" ht="22.5" customHeight="1">
      <c r="A713" s="7" t="s">
        <v>778</v>
      </c>
      <c r="B713" s="8" t="s">
        <v>882</v>
      </c>
      <c r="C713" s="7" t="s">
        <v>14</v>
      </c>
      <c r="D713" s="7" t="s">
        <v>883</v>
      </c>
      <c r="E713" s="7" t="s">
        <v>16</v>
      </c>
      <c r="F713" s="7" t="s">
        <v>18</v>
      </c>
    </row>
    <row r="714" ht="22.5" customHeight="1">
      <c r="A714" s="7" t="s">
        <v>67</v>
      </c>
      <c r="B714" s="8" t="s">
        <v>884</v>
      </c>
      <c r="C714" s="7" t="s">
        <v>30</v>
      </c>
      <c r="D714" s="7" t="s">
        <v>885</v>
      </c>
      <c r="E714" s="7" t="s">
        <v>16</v>
      </c>
      <c r="F714" s="7" t="s">
        <v>48</v>
      </c>
    </row>
    <row r="715" ht="22.5" customHeight="1">
      <c r="A715" s="7" t="s">
        <v>67</v>
      </c>
      <c r="B715" s="8" t="s">
        <v>884</v>
      </c>
      <c r="C715" s="7" t="s">
        <v>30</v>
      </c>
      <c r="D715" s="7" t="s">
        <v>886</v>
      </c>
      <c r="E715" s="7" t="s">
        <v>16</v>
      </c>
      <c r="F715" s="7" t="s">
        <v>48</v>
      </c>
    </row>
    <row r="716" ht="22.5" customHeight="1">
      <c r="A716" s="7" t="s">
        <v>67</v>
      </c>
      <c r="B716" s="8" t="s">
        <v>884</v>
      </c>
      <c r="C716" s="7" t="s">
        <v>30</v>
      </c>
      <c r="D716" s="7" t="s">
        <v>887</v>
      </c>
      <c r="E716" s="7" t="s">
        <v>16</v>
      </c>
      <c r="F716" s="7" t="s">
        <v>48</v>
      </c>
    </row>
    <row r="717" ht="22.5" customHeight="1">
      <c r="A717" s="7" t="s">
        <v>67</v>
      </c>
      <c r="B717" s="8" t="s">
        <v>884</v>
      </c>
      <c r="C717" s="7" t="s">
        <v>36</v>
      </c>
      <c r="D717" s="7" t="s">
        <v>888</v>
      </c>
      <c r="E717" s="7" t="s">
        <v>26</v>
      </c>
      <c r="F717" s="7" t="s">
        <v>48</v>
      </c>
    </row>
    <row r="718" ht="22.5" customHeight="1">
      <c r="A718" s="7" t="s">
        <v>889</v>
      </c>
      <c r="B718" s="8" t="s">
        <v>890</v>
      </c>
      <c r="C718" s="7" t="s">
        <v>30</v>
      </c>
      <c r="D718" s="7" t="s">
        <v>891</v>
      </c>
      <c r="E718" s="7" t="s">
        <v>16</v>
      </c>
      <c r="F718" s="7" t="s">
        <v>16</v>
      </c>
    </row>
    <row r="719" ht="22.5" customHeight="1">
      <c r="A719" s="7" t="s">
        <v>889</v>
      </c>
      <c r="B719" s="8" t="s">
        <v>890</v>
      </c>
      <c r="C719" s="7" t="s">
        <v>30</v>
      </c>
      <c r="D719" s="7" t="s">
        <v>892</v>
      </c>
      <c r="E719" s="7" t="s">
        <v>16</v>
      </c>
      <c r="F719" s="7" t="s">
        <v>16</v>
      </c>
    </row>
    <row r="720" ht="22.5" customHeight="1">
      <c r="A720" s="7" t="s">
        <v>889</v>
      </c>
      <c r="B720" s="8" t="s">
        <v>890</v>
      </c>
      <c r="C720" s="7" t="s">
        <v>30</v>
      </c>
      <c r="D720" s="7" t="s">
        <v>893</v>
      </c>
      <c r="E720" s="7" t="s">
        <v>16</v>
      </c>
      <c r="F720" s="7" t="s">
        <v>18</v>
      </c>
    </row>
    <row r="721" ht="22.5" customHeight="1">
      <c r="A721" s="7" t="s">
        <v>889</v>
      </c>
      <c r="B721" s="8" t="s">
        <v>890</v>
      </c>
      <c r="C721" s="7" t="s">
        <v>36</v>
      </c>
      <c r="D721" s="7" t="s">
        <v>894</v>
      </c>
      <c r="E721" s="7" t="s">
        <v>16</v>
      </c>
      <c r="F721" s="7" t="s">
        <v>16</v>
      </c>
    </row>
    <row r="722" ht="22.5" customHeight="1">
      <c r="A722" s="7" t="s">
        <v>889</v>
      </c>
      <c r="B722" s="8" t="s">
        <v>890</v>
      </c>
      <c r="C722" s="7" t="s">
        <v>38</v>
      </c>
      <c r="D722" s="7" t="s">
        <v>895</v>
      </c>
      <c r="E722" s="7" t="s">
        <v>16</v>
      </c>
      <c r="F722" s="7" t="s">
        <v>16</v>
      </c>
    </row>
    <row r="723" ht="22.5" customHeight="1">
      <c r="A723" s="7" t="s">
        <v>889</v>
      </c>
      <c r="B723" s="8" t="s">
        <v>890</v>
      </c>
      <c r="C723" s="7" t="s">
        <v>40</v>
      </c>
      <c r="D723" s="7" t="s">
        <v>896</v>
      </c>
      <c r="E723" s="7" t="s">
        <v>16</v>
      </c>
      <c r="F723" s="7" t="s">
        <v>16</v>
      </c>
    </row>
    <row r="724" ht="22.5" customHeight="1">
      <c r="A724" s="7" t="s">
        <v>889</v>
      </c>
      <c r="B724" s="8" t="s">
        <v>890</v>
      </c>
      <c r="C724" s="7" t="s">
        <v>43</v>
      </c>
      <c r="D724" s="7" t="s">
        <v>897</v>
      </c>
      <c r="E724" s="7" t="s">
        <v>16</v>
      </c>
      <c r="F724" s="7" t="s">
        <v>16</v>
      </c>
    </row>
    <row r="725" ht="22.5" customHeight="1">
      <c r="A725" s="7" t="s">
        <v>200</v>
      </c>
      <c r="B725" s="8" t="s">
        <v>898</v>
      </c>
      <c r="C725" s="7" t="s">
        <v>30</v>
      </c>
      <c r="D725" s="7" t="s">
        <v>899</v>
      </c>
      <c r="E725" s="7" t="s">
        <v>151</v>
      </c>
      <c r="F725" s="7" t="s">
        <v>16</v>
      </c>
    </row>
    <row r="726" ht="22.5" customHeight="1">
      <c r="A726" s="7" t="s">
        <v>200</v>
      </c>
      <c r="B726" s="8" t="s">
        <v>898</v>
      </c>
      <c r="C726" s="7" t="s">
        <v>30</v>
      </c>
      <c r="D726" s="7" t="s">
        <v>900</v>
      </c>
      <c r="E726" s="7" t="s">
        <v>151</v>
      </c>
      <c r="F726" s="7" t="s">
        <v>18</v>
      </c>
    </row>
    <row r="727" ht="22.5" customHeight="1">
      <c r="A727" s="7" t="s">
        <v>200</v>
      </c>
      <c r="B727" s="8" t="s">
        <v>898</v>
      </c>
      <c r="C727" s="7" t="s">
        <v>30</v>
      </c>
      <c r="D727" s="7" t="s">
        <v>901</v>
      </c>
      <c r="E727" s="7" t="s">
        <v>151</v>
      </c>
      <c r="F727" s="7" t="s">
        <v>20</v>
      </c>
    </row>
    <row r="728" ht="22.5" customHeight="1">
      <c r="A728" s="7" t="s">
        <v>200</v>
      </c>
      <c r="B728" s="8" t="s">
        <v>898</v>
      </c>
      <c r="C728" s="7" t="s">
        <v>30</v>
      </c>
      <c r="D728" s="7" t="s">
        <v>902</v>
      </c>
      <c r="E728" s="7" t="s">
        <v>151</v>
      </c>
      <c r="F728" s="7" t="s">
        <v>22</v>
      </c>
    </row>
    <row r="729" ht="22.5" customHeight="1">
      <c r="A729" s="7" t="s">
        <v>200</v>
      </c>
      <c r="B729" s="8" t="s">
        <v>898</v>
      </c>
      <c r="C729" s="7" t="s">
        <v>30</v>
      </c>
      <c r="D729" s="7" t="s">
        <v>903</v>
      </c>
      <c r="E729" s="7" t="s">
        <v>151</v>
      </c>
      <c r="F729" s="7" t="s">
        <v>24</v>
      </c>
    </row>
    <row r="730" ht="22.5" customHeight="1">
      <c r="A730" s="7" t="s">
        <v>200</v>
      </c>
      <c r="B730" s="8" t="s">
        <v>898</v>
      </c>
      <c r="C730" s="7" t="s">
        <v>30</v>
      </c>
      <c r="D730" s="7" t="s">
        <v>904</v>
      </c>
      <c r="E730" s="7" t="s">
        <v>26</v>
      </c>
      <c r="F730" s="7" t="s">
        <v>16</v>
      </c>
    </row>
    <row r="731" ht="22.5" customHeight="1">
      <c r="A731" s="7" t="s">
        <v>200</v>
      </c>
      <c r="B731" s="8" t="s">
        <v>898</v>
      </c>
      <c r="C731" s="7" t="s">
        <v>30</v>
      </c>
      <c r="D731" s="7" t="s">
        <v>905</v>
      </c>
      <c r="E731" s="7" t="s">
        <v>26</v>
      </c>
      <c r="F731" s="7" t="s">
        <v>16</v>
      </c>
    </row>
    <row r="732" ht="22.5" customHeight="1">
      <c r="A732" s="7" t="s">
        <v>200</v>
      </c>
      <c r="B732" s="8" t="s">
        <v>898</v>
      </c>
      <c r="C732" s="7" t="s">
        <v>30</v>
      </c>
      <c r="D732" s="7" t="s">
        <v>906</v>
      </c>
      <c r="E732" s="7" t="s">
        <v>26</v>
      </c>
      <c r="F732" s="7" t="s">
        <v>16</v>
      </c>
    </row>
    <row r="733" ht="22.5" customHeight="1">
      <c r="A733" s="7" t="s">
        <v>200</v>
      </c>
      <c r="B733" s="8" t="s">
        <v>898</v>
      </c>
      <c r="C733" s="7" t="s">
        <v>30</v>
      </c>
      <c r="D733" s="7" t="s">
        <v>907</v>
      </c>
      <c r="E733" s="7" t="s">
        <v>26</v>
      </c>
      <c r="F733" s="7" t="s">
        <v>20</v>
      </c>
    </row>
    <row r="734" ht="22.5" customHeight="1">
      <c r="A734" s="7" t="s">
        <v>200</v>
      </c>
      <c r="B734" s="8" t="s">
        <v>898</v>
      </c>
      <c r="C734" s="7" t="s">
        <v>36</v>
      </c>
      <c r="D734" s="7" t="s">
        <v>908</v>
      </c>
      <c r="E734" s="7" t="s">
        <v>151</v>
      </c>
      <c r="F734" s="7" t="s">
        <v>16</v>
      </c>
    </row>
    <row r="735" ht="22.5" customHeight="1">
      <c r="A735" s="7" t="s">
        <v>200</v>
      </c>
      <c r="B735" s="8" t="s">
        <v>898</v>
      </c>
      <c r="C735" s="7" t="s">
        <v>38</v>
      </c>
      <c r="D735" s="7" t="s">
        <v>909</v>
      </c>
      <c r="E735" s="7" t="s">
        <v>151</v>
      </c>
      <c r="F735" s="7" t="s">
        <v>16</v>
      </c>
    </row>
    <row r="736" ht="22.5" customHeight="1">
      <c r="A736" s="7" t="s">
        <v>200</v>
      </c>
      <c r="B736" s="8" t="s">
        <v>898</v>
      </c>
      <c r="C736" s="7" t="s">
        <v>40</v>
      </c>
      <c r="D736" s="7" t="s">
        <v>910</v>
      </c>
      <c r="E736" s="7" t="s">
        <v>151</v>
      </c>
      <c r="F736" s="7" t="s">
        <v>16</v>
      </c>
    </row>
    <row r="737" ht="22.5" customHeight="1">
      <c r="A737" s="7" t="s">
        <v>200</v>
      </c>
      <c r="B737" s="8" t="s">
        <v>898</v>
      </c>
      <c r="C737" s="7" t="s">
        <v>43</v>
      </c>
      <c r="D737" s="7" t="s">
        <v>911</v>
      </c>
      <c r="E737" s="7" t="s">
        <v>151</v>
      </c>
      <c r="F737" s="7" t="s">
        <v>16</v>
      </c>
    </row>
    <row r="738" ht="22.5" customHeight="1">
      <c r="A738" s="7" t="s">
        <v>200</v>
      </c>
      <c r="B738" s="8" t="s">
        <v>912</v>
      </c>
      <c r="C738" s="7" t="s">
        <v>30</v>
      </c>
      <c r="D738" s="7" t="s">
        <v>913</v>
      </c>
      <c r="E738" s="7" t="s">
        <v>26</v>
      </c>
      <c r="F738" s="7" t="s">
        <v>48</v>
      </c>
    </row>
    <row r="739" ht="22.5" customHeight="1">
      <c r="A739" s="7" t="s">
        <v>93</v>
      </c>
      <c r="B739" s="8" t="s">
        <v>914</v>
      </c>
      <c r="C739" s="7" t="s">
        <v>30</v>
      </c>
      <c r="D739" s="7" t="s">
        <v>915</v>
      </c>
      <c r="E739" s="7" t="s">
        <v>16</v>
      </c>
      <c r="F739" s="7" t="s">
        <v>16</v>
      </c>
    </row>
    <row r="740" ht="22.5" customHeight="1">
      <c r="A740" s="7" t="s">
        <v>93</v>
      </c>
      <c r="B740" s="8" t="s">
        <v>914</v>
      </c>
      <c r="C740" s="7" t="s">
        <v>30</v>
      </c>
      <c r="D740" s="7" t="s">
        <v>916</v>
      </c>
      <c r="E740" s="7" t="s">
        <v>16</v>
      </c>
      <c r="F740" s="7" t="s">
        <v>16</v>
      </c>
    </row>
    <row r="741" ht="22.5" customHeight="1">
      <c r="A741" s="7" t="s">
        <v>93</v>
      </c>
      <c r="B741" s="8" t="s">
        <v>914</v>
      </c>
      <c r="C741" s="7" t="s">
        <v>30</v>
      </c>
      <c r="D741" s="7" t="s">
        <v>917</v>
      </c>
      <c r="E741" s="7" t="s">
        <v>16</v>
      </c>
      <c r="F741" s="7" t="s">
        <v>18</v>
      </c>
    </row>
    <row r="742" ht="22.5" customHeight="1">
      <c r="A742" s="7" t="s">
        <v>93</v>
      </c>
      <c r="B742" s="8" t="s">
        <v>914</v>
      </c>
      <c r="C742" s="7" t="s">
        <v>30</v>
      </c>
      <c r="D742" s="7" t="s">
        <v>918</v>
      </c>
      <c r="E742" s="7" t="s">
        <v>16</v>
      </c>
      <c r="F742" s="7" t="s">
        <v>20</v>
      </c>
    </row>
    <row r="743" ht="22.5" customHeight="1">
      <c r="A743" s="7" t="s">
        <v>93</v>
      </c>
      <c r="B743" s="8" t="s">
        <v>914</v>
      </c>
      <c r="C743" s="7" t="s">
        <v>30</v>
      </c>
      <c r="D743" s="7" t="s">
        <v>919</v>
      </c>
      <c r="E743" s="7" t="s">
        <v>16</v>
      </c>
      <c r="F743" s="7" t="s">
        <v>22</v>
      </c>
    </row>
    <row r="744" ht="22.5" customHeight="1">
      <c r="A744" s="7" t="s">
        <v>93</v>
      </c>
      <c r="B744" s="8" t="s">
        <v>914</v>
      </c>
      <c r="C744" s="7" t="s">
        <v>30</v>
      </c>
      <c r="D744" s="7" t="s">
        <v>920</v>
      </c>
      <c r="E744" s="7" t="s">
        <v>16</v>
      </c>
      <c r="F744" s="7" t="s">
        <v>24</v>
      </c>
    </row>
    <row r="745" ht="22.5" customHeight="1">
      <c r="A745" s="7" t="s">
        <v>93</v>
      </c>
      <c r="B745" s="8" t="s">
        <v>914</v>
      </c>
      <c r="C745" s="7" t="s">
        <v>36</v>
      </c>
      <c r="D745" s="7" t="s">
        <v>921</v>
      </c>
      <c r="E745" s="7" t="s">
        <v>16</v>
      </c>
      <c r="F745" s="7" t="s">
        <v>16</v>
      </c>
    </row>
    <row r="746" ht="22.5" customHeight="1">
      <c r="A746" s="7" t="s">
        <v>93</v>
      </c>
      <c r="B746" s="8" t="s">
        <v>914</v>
      </c>
      <c r="C746" s="7" t="s">
        <v>38</v>
      </c>
      <c r="D746" s="7" t="s">
        <v>922</v>
      </c>
      <c r="E746" s="7" t="s">
        <v>16</v>
      </c>
      <c r="F746" s="7" t="s">
        <v>16</v>
      </c>
    </row>
    <row r="747" ht="22.5" customHeight="1">
      <c r="A747" s="7" t="s">
        <v>93</v>
      </c>
      <c r="B747" s="8" t="s">
        <v>914</v>
      </c>
      <c r="C747" s="7" t="s">
        <v>40</v>
      </c>
      <c r="D747" s="7" t="s">
        <v>923</v>
      </c>
      <c r="E747" s="7" t="s">
        <v>16</v>
      </c>
      <c r="F747" s="7" t="s">
        <v>16</v>
      </c>
    </row>
    <row r="748" ht="22.5" customHeight="1">
      <c r="A748" s="7" t="s">
        <v>93</v>
      </c>
      <c r="B748" s="8" t="s">
        <v>914</v>
      </c>
      <c r="C748" s="7" t="s">
        <v>40</v>
      </c>
      <c r="D748" s="7" t="s">
        <v>924</v>
      </c>
      <c r="E748" s="7" t="s">
        <v>26</v>
      </c>
      <c r="F748" s="7" t="s">
        <v>16</v>
      </c>
    </row>
    <row r="749" ht="22.5" customHeight="1">
      <c r="A749" s="7" t="s">
        <v>93</v>
      </c>
      <c r="B749" s="8" t="s">
        <v>914</v>
      </c>
      <c r="C749" s="7" t="s">
        <v>43</v>
      </c>
      <c r="D749" s="7" t="s">
        <v>925</v>
      </c>
      <c r="E749" s="7" t="s">
        <v>16</v>
      </c>
      <c r="F749" s="7" t="s">
        <v>16</v>
      </c>
    </row>
    <row r="750" ht="22.5" customHeight="1">
      <c r="A750" s="7" t="s">
        <v>67</v>
      </c>
      <c r="B750" s="8" t="s">
        <v>926</v>
      </c>
      <c r="C750" s="7" t="s">
        <v>30</v>
      </c>
      <c r="D750" s="7" t="s">
        <v>927</v>
      </c>
      <c r="E750" s="7" t="s">
        <v>16</v>
      </c>
      <c r="F750" s="7" t="s">
        <v>48</v>
      </c>
    </row>
    <row r="751" ht="22.5" customHeight="1">
      <c r="A751" s="7" t="s">
        <v>67</v>
      </c>
      <c r="B751" s="8" t="s">
        <v>926</v>
      </c>
      <c r="C751" s="7" t="s">
        <v>30</v>
      </c>
      <c r="D751" s="7" t="s">
        <v>928</v>
      </c>
      <c r="E751" s="7" t="s">
        <v>16</v>
      </c>
      <c r="F751" s="7" t="s">
        <v>48</v>
      </c>
    </row>
    <row r="752" ht="22.5" customHeight="1">
      <c r="A752" s="7" t="s">
        <v>67</v>
      </c>
      <c r="B752" s="8" t="s">
        <v>926</v>
      </c>
      <c r="C752" s="7" t="s">
        <v>30</v>
      </c>
      <c r="D752" s="7" t="s">
        <v>929</v>
      </c>
      <c r="E752" s="7" t="s">
        <v>26</v>
      </c>
      <c r="F752" s="7" t="s">
        <v>48</v>
      </c>
    </row>
    <row r="753" ht="22.5" customHeight="1">
      <c r="A753" s="7" t="s">
        <v>67</v>
      </c>
      <c r="B753" s="8" t="s">
        <v>926</v>
      </c>
      <c r="C753" s="7" t="s">
        <v>30</v>
      </c>
      <c r="D753" s="7" t="s">
        <v>930</v>
      </c>
      <c r="E753" s="7" t="s">
        <v>76</v>
      </c>
      <c r="F753" s="7" t="s">
        <v>931</v>
      </c>
    </row>
    <row r="754" ht="22.5" customHeight="1">
      <c r="A754" s="7" t="s">
        <v>279</v>
      </c>
      <c r="B754" s="8" t="s">
        <v>932</v>
      </c>
      <c r="C754" s="7" t="s">
        <v>14</v>
      </c>
      <c r="D754" s="7" t="s">
        <v>933</v>
      </c>
      <c r="E754" s="7" t="s">
        <v>26</v>
      </c>
      <c r="F754" s="7" t="s">
        <v>48</v>
      </c>
    </row>
    <row r="755" ht="22.5" customHeight="1">
      <c r="A755" s="7" t="s">
        <v>279</v>
      </c>
      <c r="B755" s="8" t="s">
        <v>932</v>
      </c>
      <c r="C755" s="7" t="s">
        <v>43</v>
      </c>
      <c r="D755" s="7" t="s">
        <v>934</v>
      </c>
      <c r="E755" s="7" t="s">
        <v>26</v>
      </c>
      <c r="F755" s="7" t="s">
        <v>48</v>
      </c>
    </row>
    <row r="756" ht="22.5" customHeight="1">
      <c r="A756" s="7" t="s">
        <v>67</v>
      </c>
      <c r="B756" s="8" t="s">
        <v>935</v>
      </c>
      <c r="C756" s="7" t="s">
        <v>30</v>
      </c>
      <c r="D756" s="7" t="s">
        <v>936</v>
      </c>
      <c r="E756" s="7" t="s">
        <v>76</v>
      </c>
      <c r="F756" s="16" t="s">
        <v>937</v>
      </c>
    </row>
    <row r="757" ht="22.5" customHeight="1">
      <c r="A757" s="7" t="s">
        <v>67</v>
      </c>
      <c r="B757" s="8" t="s">
        <v>938</v>
      </c>
      <c r="C757" s="7" t="s">
        <v>30</v>
      </c>
      <c r="D757" s="7" t="s">
        <v>939</v>
      </c>
      <c r="E757" s="7" t="s">
        <v>16</v>
      </c>
      <c r="F757" s="7" t="s">
        <v>16</v>
      </c>
    </row>
    <row r="758" ht="22.5" customHeight="1">
      <c r="A758" s="7" t="s">
        <v>67</v>
      </c>
      <c r="B758" s="8" t="s">
        <v>938</v>
      </c>
      <c r="C758" s="7" t="s">
        <v>30</v>
      </c>
      <c r="D758" s="7" t="s">
        <v>940</v>
      </c>
      <c r="E758" s="7" t="s">
        <v>16</v>
      </c>
      <c r="F758" s="7" t="s">
        <v>18</v>
      </c>
    </row>
    <row r="759" ht="22.5" customHeight="1">
      <c r="A759" s="7" t="s">
        <v>67</v>
      </c>
      <c r="B759" s="8" t="s">
        <v>938</v>
      </c>
      <c r="C759" s="7" t="s">
        <v>30</v>
      </c>
      <c r="D759" s="7" t="s">
        <v>941</v>
      </c>
      <c r="E759" s="7" t="s">
        <v>16</v>
      </c>
      <c r="F759" s="7" t="s">
        <v>20</v>
      </c>
    </row>
    <row r="760" ht="22.5" customHeight="1">
      <c r="A760" s="7" t="s">
        <v>67</v>
      </c>
      <c r="B760" s="8" t="s">
        <v>938</v>
      </c>
      <c r="C760" s="7" t="s">
        <v>30</v>
      </c>
      <c r="D760" s="7" t="s">
        <v>942</v>
      </c>
      <c r="E760" s="7" t="s">
        <v>16</v>
      </c>
      <c r="F760" s="7" t="s">
        <v>22</v>
      </c>
    </row>
    <row r="761" ht="22.5" customHeight="1">
      <c r="A761" s="7" t="s">
        <v>67</v>
      </c>
      <c r="B761" s="8" t="s">
        <v>938</v>
      </c>
      <c r="C761" s="7" t="s">
        <v>30</v>
      </c>
      <c r="D761" s="7" t="s">
        <v>943</v>
      </c>
      <c r="E761" s="7" t="s">
        <v>16</v>
      </c>
      <c r="F761" s="7" t="s">
        <v>24</v>
      </c>
    </row>
    <row r="762" ht="22.5" customHeight="1">
      <c r="A762" s="7" t="s">
        <v>67</v>
      </c>
      <c r="B762" s="8" t="s">
        <v>938</v>
      </c>
      <c r="C762" s="7" t="s">
        <v>30</v>
      </c>
      <c r="D762" s="7" t="s">
        <v>944</v>
      </c>
      <c r="E762" s="7" t="s">
        <v>26</v>
      </c>
      <c r="F762" s="7" t="s">
        <v>18</v>
      </c>
    </row>
    <row r="763" ht="22.5" customHeight="1">
      <c r="A763" s="7" t="s">
        <v>67</v>
      </c>
      <c r="B763" s="8" t="s">
        <v>938</v>
      </c>
      <c r="C763" s="7" t="s">
        <v>30</v>
      </c>
      <c r="D763" s="7" t="s">
        <v>945</v>
      </c>
      <c r="E763" s="7" t="s">
        <v>26</v>
      </c>
      <c r="F763" s="7" t="s">
        <v>18</v>
      </c>
    </row>
    <row r="764" ht="22.5" customHeight="1">
      <c r="A764" s="7" t="s">
        <v>67</v>
      </c>
      <c r="B764" s="8" t="s">
        <v>938</v>
      </c>
      <c r="C764" s="7" t="s">
        <v>30</v>
      </c>
      <c r="D764" s="7" t="s">
        <v>946</v>
      </c>
      <c r="E764" s="7" t="s">
        <v>26</v>
      </c>
      <c r="F764" s="7" t="s">
        <v>20</v>
      </c>
    </row>
    <row r="765" ht="22.5" customHeight="1">
      <c r="A765" s="7" t="s">
        <v>67</v>
      </c>
      <c r="B765" s="8" t="s">
        <v>938</v>
      </c>
      <c r="C765" s="7" t="s">
        <v>30</v>
      </c>
      <c r="D765" s="7" t="s">
        <v>947</v>
      </c>
      <c r="E765" s="7" t="s">
        <v>26</v>
      </c>
      <c r="F765" s="7" t="s">
        <v>20</v>
      </c>
    </row>
    <row r="766" ht="22.5" customHeight="1">
      <c r="A766" s="7" t="s">
        <v>67</v>
      </c>
      <c r="B766" s="8" t="s">
        <v>938</v>
      </c>
      <c r="C766" s="7" t="s">
        <v>30</v>
      </c>
      <c r="D766" s="7" t="s">
        <v>948</v>
      </c>
      <c r="E766" s="7" t="s">
        <v>26</v>
      </c>
      <c r="F766" s="7" t="s">
        <v>22</v>
      </c>
    </row>
    <row r="767" ht="22.5" customHeight="1">
      <c r="A767" s="7" t="s">
        <v>67</v>
      </c>
      <c r="B767" s="8" t="s">
        <v>938</v>
      </c>
      <c r="C767" s="7" t="s">
        <v>30</v>
      </c>
      <c r="D767" s="7" t="s">
        <v>949</v>
      </c>
      <c r="E767" s="7" t="s">
        <v>26</v>
      </c>
      <c r="F767" s="7" t="s">
        <v>22</v>
      </c>
    </row>
    <row r="768" ht="22.5" customHeight="1">
      <c r="A768" s="7" t="s">
        <v>67</v>
      </c>
      <c r="B768" s="8" t="s">
        <v>938</v>
      </c>
      <c r="C768" s="7" t="s">
        <v>30</v>
      </c>
      <c r="D768" s="7" t="s">
        <v>950</v>
      </c>
      <c r="E768" s="7" t="s">
        <v>26</v>
      </c>
      <c r="F768" s="7" t="s">
        <v>24</v>
      </c>
    </row>
    <row r="769" ht="22.5" customHeight="1">
      <c r="A769" s="7" t="s">
        <v>67</v>
      </c>
      <c r="B769" s="8" t="s">
        <v>938</v>
      </c>
      <c r="C769" s="7" t="s">
        <v>30</v>
      </c>
      <c r="D769" s="7" t="s">
        <v>951</v>
      </c>
      <c r="E769" s="7" t="s">
        <v>26</v>
      </c>
      <c r="F769" s="7" t="s">
        <v>24</v>
      </c>
    </row>
    <row r="770" ht="22.5" customHeight="1">
      <c r="A770" s="7" t="s">
        <v>67</v>
      </c>
      <c r="B770" s="8" t="s">
        <v>938</v>
      </c>
      <c r="C770" s="7" t="s">
        <v>36</v>
      </c>
      <c r="D770" s="7" t="s">
        <v>952</v>
      </c>
      <c r="E770" s="7" t="s">
        <v>16</v>
      </c>
      <c r="F770" s="7" t="s">
        <v>16</v>
      </c>
    </row>
    <row r="771" ht="22.5" customHeight="1">
      <c r="A771" s="7" t="s">
        <v>67</v>
      </c>
      <c r="B771" s="8" t="s">
        <v>938</v>
      </c>
      <c r="C771" s="7" t="s">
        <v>38</v>
      </c>
      <c r="D771" s="7" t="s">
        <v>953</v>
      </c>
      <c r="E771" s="7" t="s">
        <v>16</v>
      </c>
      <c r="F771" s="7" t="s">
        <v>16</v>
      </c>
    </row>
    <row r="772" ht="22.5" customHeight="1">
      <c r="A772" s="7" t="s">
        <v>67</v>
      </c>
      <c r="B772" s="8" t="s">
        <v>938</v>
      </c>
      <c r="C772" s="7" t="s">
        <v>40</v>
      </c>
      <c r="D772" s="7" t="s">
        <v>954</v>
      </c>
      <c r="E772" s="7" t="s">
        <v>16</v>
      </c>
      <c r="F772" s="7" t="s">
        <v>16</v>
      </c>
    </row>
    <row r="773" ht="22.5" customHeight="1">
      <c r="A773" s="7" t="s">
        <v>67</v>
      </c>
      <c r="B773" s="8" t="s">
        <v>938</v>
      </c>
      <c r="C773" s="7" t="s">
        <v>43</v>
      </c>
      <c r="D773" s="7" t="s">
        <v>955</v>
      </c>
      <c r="E773" s="7" t="s">
        <v>16</v>
      </c>
      <c r="F773" s="7" t="s">
        <v>16</v>
      </c>
    </row>
    <row r="774" ht="22.5" customHeight="1">
      <c r="A774" s="7" t="s">
        <v>53</v>
      </c>
      <c r="B774" s="8" t="s">
        <v>956</v>
      </c>
      <c r="C774" s="7" t="s">
        <v>30</v>
      </c>
      <c r="D774" s="7" t="s">
        <v>957</v>
      </c>
      <c r="E774" s="7" t="s">
        <v>16</v>
      </c>
      <c r="F774" s="7" t="s">
        <v>48</v>
      </c>
    </row>
    <row r="775" ht="22.5" customHeight="1">
      <c r="A775" s="7" t="s">
        <v>53</v>
      </c>
      <c r="B775" s="8" t="s">
        <v>956</v>
      </c>
      <c r="C775" s="7" t="s">
        <v>30</v>
      </c>
      <c r="D775" s="7" t="s">
        <v>958</v>
      </c>
      <c r="E775" s="7" t="s">
        <v>16</v>
      </c>
      <c r="F775" s="7" t="s">
        <v>48</v>
      </c>
    </row>
    <row r="776" ht="22.5" customHeight="1">
      <c r="A776" s="7" t="s">
        <v>53</v>
      </c>
      <c r="B776" s="8" t="s">
        <v>956</v>
      </c>
      <c r="C776" s="7" t="s">
        <v>30</v>
      </c>
      <c r="D776" s="7" t="s">
        <v>959</v>
      </c>
      <c r="E776" s="7" t="s">
        <v>16</v>
      </c>
      <c r="F776" s="7" t="s">
        <v>48</v>
      </c>
    </row>
    <row r="777" ht="22.5" customHeight="1">
      <c r="A777" s="7" t="s">
        <v>53</v>
      </c>
      <c r="B777" s="8" t="s">
        <v>956</v>
      </c>
      <c r="C777" s="7" t="s">
        <v>43</v>
      </c>
      <c r="D777" s="7" t="s">
        <v>960</v>
      </c>
      <c r="E777" s="7" t="s">
        <v>26</v>
      </c>
      <c r="F777" s="7" t="s">
        <v>48</v>
      </c>
    </row>
    <row r="778" ht="22.5" customHeight="1">
      <c r="A778" s="7" t="s">
        <v>67</v>
      </c>
      <c r="B778" s="8" t="s">
        <v>961</v>
      </c>
      <c r="C778" s="7" t="s">
        <v>14</v>
      </c>
      <c r="D778" s="7" t="s">
        <v>962</v>
      </c>
      <c r="E778" s="7" t="s">
        <v>16</v>
      </c>
      <c r="F778" s="7" t="s">
        <v>16</v>
      </c>
    </row>
    <row r="779" ht="22.5" customHeight="1">
      <c r="A779" s="7" t="s">
        <v>67</v>
      </c>
      <c r="B779" s="8" t="s">
        <v>961</v>
      </c>
      <c r="C779" s="7" t="s">
        <v>30</v>
      </c>
      <c r="D779" s="7" t="s">
        <v>963</v>
      </c>
      <c r="E779" s="7" t="s">
        <v>16</v>
      </c>
      <c r="F779" s="7" t="s">
        <v>16</v>
      </c>
    </row>
    <row r="780" ht="22.5" customHeight="1">
      <c r="A780" s="7" t="s">
        <v>67</v>
      </c>
      <c r="B780" s="8" t="s">
        <v>961</v>
      </c>
      <c r="C780" s="7" t="s">
        <v>30</v>
      </c>
      <c r="D780" s="7" t="s">
        <v>964</v>
      </c>
      <c r="E780" s="7" t="s">
        <v>16</v>
      </c>
      <c r="F780" s="7" t="s">
        <v>16</v>
      </c>
    </row>
    <row r="781" ht="22.5" customHeight="1">
      <c r="A781" s="7" t="s">
        <v>67</v>
      </c>
      <c r="B781" s="8" t="s">
        <v>961</v>
      </c>
      <c r="C781" s="7" t="s">
        <v>30</v>
      </c>
      <c r="D781" s="7" t="s">
        <v>965</v>
      </c>
      <c r="E781" s="7" t="s">
        <v>16</v>
      </c>
      <c r="F781" s="7" t="s">
        <v>16</v>
      </c>
    </row>
    <row r="782" ht="22.5" customHeight="1">
      <c r="A782" s="7" t="s">
        <v>67</v>
      </c>
      <c r="B782" s="8" t="s">
        <v>961</v>
      </c>
      <c r="C782" s="7" t="s">
        <v>30</v>
      </c>
      <c r="D782" s="7" t="s">
        <v>966</v>
      </c>
      <c r="E782" s="7" t="s">
        <v>16</v>
      </c>
      <c r="F782" s="7" t="s">
        <v>18</v>
      </c>
    </row>
    <row r="783" ht="22.5" customHeight="1">
      <c r="A783" s="7" t="s">
        <v>67</v>
      </c>
      <c r="B783" s="8" t="s">
        <v>961</v>
      </c>
      <c r="C783" s="7" t="s">
        <v>30</v>
      </c>
      <c r="D783" s="7" t="s">
        <v>967</v>
      </c>
      <c r="E783" s="7" t="s">
        <v>16</v>
      </c>
      <c r="F783" s="7" t="s">
        <v>20</v>
      </c>
    </row>
    <row r="784" ht="22.5" customHeight="1">
      <c r="A784" s="7" t="s">
        <v>67</v>
      </c>
      <c r="B784" s="8" t="s">
        <v>961</v>
      </c>
      <c r="C784" s="7" t="s">
        <v>30</v>
      </c>
      <c r="D784" s="7" t="s">
        <v>968</v>
      </c>
      <c r="E784" s="7" t="s">
        <v>16</v>
      </c>
      <c r="F784" s="7" t="s">
        <v>22</v>
      </c>
    </row>
    <row r="785" ht="22.5" customHeight="1">
      <c r="A785" s="7" t="s">
        <v>67</v>
      </c>
      <c r="B785" s="8" t="s">
        <v>961</v>
      </c>
      <c r="C785" s="7" t="s">
        <v>30</v>
      </c>
      <c r="D785" s="7" t="s">
        <v>969</v>
      </c>
      <c r="E785" s="7" t="s">
        <v>16</v>
      </c>
      <c r="F785" s="7" t="s">
        <v>24</v>
      </c>
    </row>
    <row r="786" ht="22.5" customHeight="1">
      <c r="A786" s="7" t="s">
        <v>67</v>
      </c>
      <c r="B786" s="8" t="s">
        <v>961</v>
      </c>
      <c r="C786" s="7" t="s">
        <v>30</v>
      </c>
      <c r="D786" s="7" t="s">
        <v>970</v>
      </c>
      <c r="E786" s="7" t="s">
        <v>16</v>
      </c>
      <c r="F786" s="7" t="s">
        <v>70</v>
      </c>
    </row>
    <row r="787" ht="22.5" customHeight="1">
      <c r="A787" s="7" t="s">
        <v>67</v>
      </c>
      <c r="B787" s="8" t="s">
        <v>961</v>
      </c>
      <c r="C787" s="7" t="s">
        <v>30</v>
      </c>
      <c r="D787" s="7" t="s">
        <v>971</v>
      </c>
      <c r="E787" s="7" t="s">
        <v>26</v>
      </c>
      <c r="F787" s="7" t="s">
        <v>16</v>
      </c>
    </row>
    <row r="788" ht="22.5" customHeight="1">
      <c r="A788" s="7" t="s">
        <v>67</v>
      </c>
      <c r="B788" s="8" t="s">
        <v>961</v>
      </c>
      <c r="C788" s="7" t="s">
        <v>30</v>
      </c>
      <c r="D788" s="7" t="s">
        <v>972</v>
      </c>
      <c r="E788" s="7" t="s">
        <v>26</v>
      </c>
      <c r="F788" s="7" t="s">
        <v>16</v>
      </c>
    </row>
    <row r="789" ht="22.5" customHeight="1">
      <c r="A789" s="7" t="s">
        <v>67</v>
      </c>
      <c r="B789" s="8" t="s">
        <v>961</v>
      </c>
      <c r="C789" s="7" t="s">
        <v>30</v>
      </c>
      <c r="D789" s="7" t="s">
        <v>973</v>
      </c>
      <c r="E789" s="7" t="s">
        <v>26</v>
      </c>
      <c r="F789" s="7" t="s">
        <v>16</v>
      </c>
    </row>
    <row r="790" ht="22.5" customHeight="1">
      <c r="A790" s="7" t="s">
        <v>67</v>
      </c>
      <c r="B790" s="8" t="s">
        <v>961</v>
      </c>
      <c r="C790" s="7" t="s">
        <v>30</v>
      </c>
      <c r="D790" s="7" t="s">
        <v>974</v>
      </c>
      <c r="E790" s="7" t="s">
        <v>26</v>
      </c>
      <c r="F790" s="7" t="s">
        <v>16</v>
      </c>
    </row>
    <row r="791" ht="22.5" customHeight="1">
      <c r="A791" s="7" t="s">
        <v>67</v>
      </c>
      <c r="B791" s="8" t="s">
        <v>961</v>
      </c>
      <c r="C791" s="7" t="s">
        <v>30</v>
      </c>
      <c r="D791" s="7" t="s">
        <v>975</v>
      </c>
      <c r="E791" s="7" t="s">
        <v>26</v>
      </c>
      <c r="F791" s="7" t="s">
        <v>16</v>
      </c>
    </row>
    <row r="792" ht="22.5" customHeight="1">
      <c r="A792" s="7" t="s">
        <v>67</v>
      </c>
      <c r="B792" s="8" t="s">
        <v>961</v>
      </c>
      <c r="C792" s="7" t="s">
        <v>30</v>
      </c>
      <c r="D792" s="7" t="s">
        <v>976</v>
      </c>
      <c r="E792" s="7" t="s">
        <v>26</v>
      </c>
      <c r="F792" s="7" t="s">
        <v>16</v>
      </c>
    </row>
    <row r="793" ht="22.5" customHeight="1">
      <c r="A793" s="7" t="s">
        <v>67</v>
      </c>
      <c r="B793" s="8" t="s">
        <v>961</v>
      </c>
      <c r="C793" s="7" t="s">
        <v>30</v>
      </c>
      <c r="D793" s="7" t="s">
        <v>977</v>
      </c>
      <c r="E793" s="7" t="s">
        <v>26</v>
      </c>
      <c r="F793" s="7" t="s">
        <v>16</v>
      </c>
    </row>
    <row r="794" ht="22.5" customHeight="1">
      <c r="A794" s="7" t="s">
        <v>67</v>
      </c>
      <c r="B794" s="8" t="s">
        <v>961</v>
      </c>
      <c r="C794" s="7" t="s">
        <v>30</v>
      </c>
      <c r="D794" s="7" t="s">
        <v>978</v>
      </c>
      <c r="E794" s="7" t="s">
        <v>26</v>
      </c>
      <c r="F794" s="7" t="s">
        <v>16</v>
      </c>
    </row>
    <row r="795" ht="22.5" customHeight="1">
      <c r="A795" s="7" t="s">
        <v>67</v>
      </c>
      <c r="B795" s="8" t="s">
        <v>961</v>
      </c>
      <c r="C795" s="7" t="s">
        <v>30</v>
      </c>
      <c r="D795" s="7" t="s">
        <v>979</v>
      </c>
      <c r="E795" s="7" t="s">
        <v>26</v>
      </c>
      <c r="F795" s="7" t="s">
        <v>16</v>
      </c>
    </row>
    <row r="796" ht="22.5" customHeight="1">
      <c r="A796" s="7" t="s">
        <v>67</v>
      </c>
      <c r="B796" s="8" t="s">
        <v>961</v>
      </c>
      <c r="C796" s="7" t="s">
        <v>30</v>
      </c>
      <c r="D796" s="7" t="s">
        <v>980</v>
      </c>
      <c r="E796" s="7" t="s">
        <v>26</v>
      </c>
      <c r="F796" s="7" t="s">
        <v>18</v>
      </c>
    </row>
    <row r="797" ht="22.5" customHeight="1">
      <c r="A797" s="7" t="s">
        <v>67</v>
      </c>
      <c r="B797" s="8" t="s">
        <v>961</v>
      </c>
      <c r="C797" s="7" t="s">
        <v>30</v>
      </c>
      <c r="D797" s="7" t="s">
        <v>981</v>
      </c>
      <c r="E797" s="7" t="s">
        <v>26</v>
      </c>
      <c r="F797" s="7" t="s">
        <v>18</v>
      </c>
    </row>
    <row r="798" ht="22.5" customHeight="1">
      <c r="A798" s="7" t="s">
        <v>67</v>
      </c>
      <c r="B798" s="8" t="s">
        <v>961</v>
      </c>
      <c r="C798" s="7" t="s">
        <v>30</v>
      </c>
      <c r="D798" s="7" t="s">
        <v>982</v>
      </c>
      <c r="E798" s="7" t="s">
        <v>26</v>
      </c>
      <c r="F798" s="7" t="s">
        <v>20</v>
      </c>
    </row>
    <row r="799" ht="22.5" customHeight="1">
      <c r="A799" s="7" t="s">
        <v>67</v>
      </c>
      <c r="B799" s="8" t="s">
        <v>961</v>
      </c>
      <c r="C799" s="7" t="s">
        <v>30</v>
      </c>
      <c r="D799" s="7" t="s">
        <v>983</v>
      </c>
      <c r="E799" s="7" t="s">
        <v>26</v>
      </c>
      <c r="F799" s="7" t="s">
        <v>20</v>
      </c>
    </row>
    <row r="800" ht="22.5" customHeight="1">
      <c r="A800" s="7" t="s">
        <v>67</v>
      </c>
      <c r="B800" s="8" t="s">
        <v>961</v>
      </c>
      <c r="C800" s="7" t="s">
        <v>30</v>
      </c>
      <c r="D800" s="7" t="s">
        <v>984</v>
      </c>
      <c r="E800" s="7" t="s">
        <v>26</v>
      </c>
      <c r="F800" s="7" t="s">
        <v>22</v>
      </c>
    </row>
    <row r="801" ht="22.5" customHeight="1">
      <c r="A801" s="7" t="s">
        <v>67</v>
      </c>
      <c r="B801" s="8" t="s">
        <v>961</v>
      </c>
      <c r="C801" s="7" t="s">
        <v>30</v>
      </c>
      <c r="D801" s="7" t="s">
        <v>985</v>
      </c>
      <c r="E801" s="7" t="s">
        <v>26</v>
      </c>
      <c r="F801" s="7" t="s">
        <v>22</v>
      </c>
    </row>
    <row r="802" ht="22.5" customHeight="1">
      <c r="A802" s="7" t="s">
        <v>67</v>
      </c>
      <c r="B802" s="8" t="s">
        <v>961</v>
      </c>
      <c r="C802" s="7" t="s">
        <v>30</v>
      </c>
      <c r="D802" s="7" t="s">
        <v>986</v>
      </c>
      <c r="E802" s="7" t="s">
        <v>26</v>
      </c>
      <c r="F802" s="7" t="s">
        <v>24</v>
      </c>
    </row>
    <row r="803" ht="22.5" customHeight="1">
      <c r="A803" s="7" t="s">
        <v>67</v>
      </c>
      <c r="B803" s="8" t="s">
        <v>961</v>
      </c>
      <c r="C803" s="7" t="s">
        <v>30</v>
      </c>
      <c r="D803" s="7" t="s">
        <v>987</v>
      </c>
      <c r="E803" s="7" t="s">
        <v>26</v>
      </c>
      <c r="F803" s="7" t="s">
        <v>24</v>
      </c>
    </row>
    <row r="804" ht="22.5" customHeight="1">
      <c r="A804" s="7" t="s">
        <v>67</v>
      </c>
      <c r="B804" s="8" t="s">
        <v>961</v>
      </c>
      <c r="C804" s="7" t="s">
        <v>30</v>
      </c>
      <c r="D804" s="7" t="s">
        <v>988</v>
      </c>
      <c r="E804" s="7" t="s">
        <v>26</v>
      </c>
      <c r="F804" s="7" t="s">
        <v>24</v>
      </c>
    </row>
    <row r="805" ht="22.5" customHeight="1">
      <c r="A805" s="7" t="s">
        <v>67</v>
      </c>
      <c r="B805" s="8" t="s">
        <v>961</v>
      </c>
      <c r="C805" s="7" t="s">
        <v>36</v>
      </c>
      <c r="D805" s="7" t="s">
        <v>989</v>
      </c>
      <c r="E805" s="7" t="s">
        <v>16</v>
      </c>
      <c r="F805" s="7" t="s">
        <v>16</v>
      </c>
    </row>
    <row r="806" ht="22.5" customHeight="1">
      <c r="A806" s="7" t="s">
        <v>67</v>
      </c>
      <c r="B806" s="8" t="s">
        <v>961</v>
      </c>
      <c r="C806" s="7" t="s">
        <v>38</v>
      </c>
      <c r="D806" s="7" t="s">
        <v>990</v>
      </c>
      <c r="E806" s="7" t="s">
        <v>16</v>
      </c>
      <c r="F806" s="7" t="s">
        <v>16</v>
      </c>
    </row>
    <row r="807" ht="22.5" customHeight="1">
      <c r="A807" s="7" t="s">
        <v>67</v>
      </c>
      <c r="B807" s="8" t="s">
        <v>961</v>
      </c>
      <c r="C807" s="7" t="s">
        <v>38</v>
      </c>
      <c r="D807" s="7" t="s">
        <v>991</v>
      </c>
      <c r="E807" s="7" t="s">
        <v>26</v>
      </c>
      <c r="F807" s="7" t="s">
        <v>16</v>
      </c>
    </row>
    <row r="808" ht="22.5" customHeight="1">
      <c r="A808" s="7" t="s">
        <v>67</v>
      </c>
      <c r="B808" s="8" t="s">
        <v>961</v>
      </c>
      <c r="C808" s="7" t="s">
        <v>40</v>
      </c>
      <c r="D808" s="7" t="s">
        <v>992</v>
      </c>
      <c r="E808" s="7" t="s">
        <v>16</v>
      </c>
      <c r="F808" s="7" t="s">
        <v>16</v>
      </c>
    </row>
    <row r="809" ht="22.5" customHeight="1">
      <c r="A809" s="7" t="s">
        <v>67</v>
      </c>
      <c r="B809" s="8" t="s">
        <v>961</v>
      </c>
      <c r="C809" s="7" t="s">
        <v>43</v>
      </c>
      <c r="D809" s="7" t="s">
        <v>993</v>
      </c>
      <c r="E809" s="7" t="s">
        <v>16</v>
      </c>
      <c r="F809" s="7" t="s">
        <v>16</v>
      </c>
    </row>
    <row r="810" ht="22.5" customHeight="1">
      <c r="A810" s="7" t="s">
        <v>994</v>
      </c>
      <c r="B810" s="8" t="s">
        <v>995</v>
      </c>
      <c r="C810" s="7" t="s">
        <v>14</v>
      </c>
      <c r="D810" s="7" t="s">
        <v>996</v>
      </c>
      <c r="E810" s="7" t="s">
        <v>16</v>
      </c>
      <c r="F810" s="7" t="s">
        <v>18</v>
      </c>
    </row>
    <row r="811" ht="22.5" customHeight="1">
      <c r="A811" s="7" t="s">
        <v>994</v>
      </c>
      <c r="B811" s="8" t="s">
        <v>995</v>
      </c>
      <c r="C811" s="7" t="s">
        <v>14</v>
      </c>
      <c r="D811" s="7" t="s">
        <v>997</v>
      </c>
      <c r="E811" s="7" t="s">
        <v>16</v>
      </c>
      <c r="F811" s="7" t="s">
        <v>20</v>
      </c>
    </row>
    <row r="812" ht="22.5" customHeight="1">
      <c r="A812" s="7" t="s">
        <v>994</v>
      </c>
      <c r="B812" s="8" t="s">
        <v>995</v>
      </c>
      <c r="C812" s="7" t="s">
        <v>14</v>
      </c>
      <c r="D812" s="7" t="s">
        <v>998</v>
      </c>
      <c r="E812" s="7" t="s">
        <v>16</v>
      </c>
      <c r="F812" s="7" t="s">
        <v>22</v>
      </c>
    </row>
    <row r="813" ht="22.5" customHeight="1">
      <c r="A813" s="7" t="s">
        <v>994</v>
      </c>
      <c r="B813" s="8" t="s">
        <v>995</v>
      </c>
      <c r="C813" s="7" t="s">
        <v>14</v>
      </c>
      <c r="D813" s="7" t="s">
        <v>999</v>
      </c>
      <c r="E813" s="7" t="s">
        <v>16</v>
      </c>
      <c r="F813" s="7" t="s">
        <v>24</v>
      </c>
    </row>
    <row r="814" ht="22.5" customHeight="1">
      <c r="A814" s="7" t="s">
        <v>994</v>
      </c>
      <c r="B814" s="8" t="s">
        <v>995</v>
      </c>
      <c r="C814" s="7" t="s">
        <v>14</v>
      </c>
      <c r="D814" s="7" t="s">
        <v>1000</v>
      </c>
      <c r="E814" s="7" t="s">
        <v>26</v>
      </c>
      <c r="F814" s="7" t="s">
        <v>70</v>
      </c>
    </row>
    <row r="815" ht="22.5" customHeight="1">
      <c r="A815" s="7" t="s">
        <v>994</v>
      </c>
      <c r="B815" s="8" t="s">
        <v>995</v>
      </c>
      <c r="C815" s="7" t="s">
        <v>14</v>
      </c>
      <c r="D815" s="7" t="s">
        <v>1001</v>
      </c>
      <c r="E815" s="7" t="s">
        <v>26</v>
      </c>
      <c r="F815" s="7" t="s">
        <v>70</v>
      </c>
    </row>
    <row r="816" ht="22.5" customHeight="1">
      <c r="A816" s="7" t="s">
        <v>994</v>
      </c>
      <c r="B816" s="8" t="s">
        <v>995</v>
      </c>
      <c r="C816" s="7" t="s">
        <v>30</v>
      </c>
      <c r="D816" s="7" t="s">
        <v>1002</v>
      </c>
      <c r="E816" s="7" t="s">
        <v>16</v>
      </c>
      <c r="F816" s="7" t="s">
        <v>16</v>
      </c>
    </row>
    <row r="817" ht="22.5" customHeight="1">
      <c r="A817" s="7" t="s">
        <v>994</v>
      </c>
      <c r="B817" s="8" t="s">
        <v>995</v>
      </c>
      <c r="C817" s="7" t="s">
        <v>36</v>
      </c>
      <c r="D817" s="7" t="s">
        <v>1003</v>
      </c>
      <c r="E817" s="7" t="s">
        <v>16</v>
      </c>
      <c r="F817" s="7" t="s">
        <v>16</v>
      </c>
    </row>
    <row r="818" ht="22.5" customHeight="1">
      <c r="A818" s="7" t="s">
        <v>994</v>
      </c>
      <c r="B818" s="8" t="s">
        <v>995</v>
      </c>
      <c r="C818" s="7" t="s">
        <v>38</v>
      </c>
      <c r="D818" s="7" t="s">
        <v>1004</v>
      </c>
      <c r="E818" s="7" t="s">
        <v>16</v>
      </c>
      <c r="F818" s="7" t="s">
        <v>16</v>
      </c>
    </row>
    <row r="819" ht="22.5" customHeight="1">
      <c r="A819" s="7" t="s">
        <v>994</v>
      </c>
      <c r="B819" s="8" t="s">
        <v>995</v>
      </c>
      <c r="C819" s="7" t="s">
        <v>40</v>
      </c>
      <c r="D819" s="7" t="s">
        <v>1005</v>
      </c>
      <c r="E819" s="7" t="s">
        <v>16</v>
      </c>
      <c r="F819" s="7" t="s">
        <v>16</v>
      </c>
    </row>
    <row r="820" ht="22.5" customHeight="1">
      <c r="A820" s="7" t="s">
        <v>994</v>
      </c>
      <c r="B820" s="8" t="s">
        <v>995</v>
      </c>
      <c r="C820" s="7" t="s">
        <v>43</v>
      </c>
      <c r="D820" s="7" t="s">
        <v>1006</v>
      </c>
      <c r="E820" s="7" t="s">
        <v>16</v>
      </c>
      <c r="F820" s="7" t="s">
        <v>16</v>
      </c>
    </row>
    <row r="821" ht="22.5" customHeight="1">
      <c r="A821" s="7" t="s">
        <v>994</v>
      </c>
      <c r="B821" s="8" t="s">
        <v>1007</v>
      </c>
      <c r="C821" s="7" t="s">
        <v>30</v>
      </c>
      <c r="D821" s="7" t="s">
        <v>1008</v>
      </c>
      <c r="E821" s="7" t="s">
        <v>16</v>
      </c>
      <c r="F821" s="7" t="s">
        <v>16</v>
      </c>
    </row>
    <row r="822" ht="22.5" customHeight="1">
      <c r="A822" s="7" t="s">
        <v>994</v>
      </c>
      <c r="B822" s="8" t="s">
        <v>1009</v>
      </c>
      <c r="C822" s="7" t="s">
        <v>14</v>
      </c>
      <c r="D822" s="7" t="s">
        <v>1010</v>
      </c>
      <c r="E822" s="7" t="s">
        <v>105</v>
      </c>
      <c r="F822" s="7" t="s">
        <v>48</v>
      </c>
    </row>
    <row r="823" ht="22.5" customHeight="1">
      <c r="A823" s="7" t="s">
        <v>994</v>
      </c>
      <c r="B823" s="8" t="s">
        <v>1009</v>
      </c>
      <c r="C823" s="7" t="s">
        <v>43</v>
      </c>
      <c r="D823" s="7" t="s">
        <v>1011</v>
      </c>
      <c r="E823" s="7" t="s">
        <v>26</v>
      </c>
      <c r="F823" s="7" t="s">
        <v>16</v>
      </c>
    </row>
    <row r="824" ht="22.5" customHeight="1">
      <c r="A824" s="7" t="s">
        <v>53</v>
      </c>
      <c r="B824" s="8" t="s">
        <v>1012</v>
      </c>
      <c r="C824" s="7" t="s">
        <v>30</v>
      </c>
      <c r="D824" s="7" t="s">
        <v>1013</v>
      </c>
      <c r="E824" s="7" t="s">
        <v>16</v>
      </c>
      <c r="F824" s="7" t="s">
        <v>16</v>
      </c>
    </row>
    <row r="825" ht="22.5" customHeight="1">
      <c r="A825" s="7" t="s">
        <v>53</v>
      </c>
      <c r="B825" s="8" t="s">
        <v>1012</v>
      </c>
      <c r="C825" s="7" t="s">
        <v>30</v>
      </c>
      <c r="D825" s="7" t="s">
        <v>1014</v>
      </c>
      <c r="E825" s="7" t="s">
        <v>16</v>
      </c>
      <c r="F825" s="7" t="s">
        <v>18</v>
      </c>
    </row>
    <row r="826" ht="22.5" customHeight="1">
      <c r="A826" s="7" t="s">
        <v>53</v>
      </c>
      <c r="B826" s="8" t="s">
        <v>1012</v>
      </c>
      <c r="C826" s="7" t="s">
        <v>30</v>
      </c>
      <c r="D826" s="7" t="s">
        <v>1015</v>
      </c>
      <c r="E826" s="7" t="s">
        <v>16</v>
      </c>
      <c r="F826" s="7" t="s">
        <v>20</v>
      </c>
    </row>
    <row r="827" ht="22.5" customHeight="1">
      <c r="A827" s="7" t="s">
        <v>53</v>
      </c>
      <c r="B827" s="8" t="s">
        <v>1012</v>
      </c>
      <c r="C827" s="7" t="s">
        <v>30</v>
      </c>
      <c r="D827" s="7" t="s">
        <v>1016</v>
      </c>
      <c r="E827" s="7" t="s">
        <v>16</v>
      </c>
      <c r="F827" s="7" t="s">
        <v>22</v>
      </c>
    </row>
    <row r="828" ht="22.5" customHeight="1">
      <c r="A828" s="7" t="s">
        <v>53</v>
      </c>
      <c r="B828" s="8" t="s">
        <v>1012</v>
      </c>
      <c r="C828" s="7" t="s">
        <v>30</v>
      </c>
      <c r="D828" s="7" t="s">
        <v>1017</v>
      </c>
      <c r="E828" s="7" t="s">
        <v>16</v>
      </c>
      <c r="F828" s="7" t="s">
        <v>24</v>
      </c>
    </row>
    <row r="829" ht="22.5" customHeight="1">
      <c r="A829" s="7" t="s">
        <v>53</v>
      </c>
      <c r="B829" s="8" t="s">
        <v>1012</v>
      </c>
      <c r="C829" s="7" t="s">
        <v>30</v>
      </c>
      <c r="D829" s="7" t="s">
        <v>1018</v>
      </c>
      <c r="E829" s="7" t="s">
        <v>26</v>
      </c>
      <c r="F829" s="7" t="s">
        <v>16</v>
      </c>
    </row>
    <row r="830" ht="22.5" customHeight="1">
      <c r="A830" s="7" t="s">
        <v>53</v>
      </c>
      <c r="B830" s="8" t="s">
        <v>1012</v>
      </c>
      <c r="C830" s="7" t="s">
        <v>30</v>
      </c>
      <c r="D830" s="7" t="s">
        <v>1019</v>
      </c>
      <c r="E830" s="7" t="s">
        <v>26</v>
      </c>
      <c r="F830" s="7" t="s">
        <v>16</v>
      </c>
    </row>
    <row r="831" ht="22.5" customHeight="1">
      <c r="A831" s="7" t="s">
        <v>53</v>
      </c>
      <c r="B831" s="8" t="s">
        <v>1012</v>
      </c>
      <c r="C831" s="7" t="s">
        <v>30</v>
      </c>
      <c r="D831" s="7" t="s">
        <v>1020</v>
      </c>
      <c r="E831" s="7" t="s">
        <v>26</v>
      </c>
      <c r="F831" s="7" t="s">
        <v>16</v>
      </c>
    </row>
    <row r="832" ht="22.5" customHeight="1">
      <c r="A832" s="7" t="s">
        <v>53</v>
      </c>
      <c r="B832" s="8" t="s">
        <v>1012</v>
      </c>
      <c r="C832" s="7" t="s">
        <v>30</v>
      </c>
      <c r="D832" s="7" t="s">
        <v>1021</v>
      </c>
      <c r="E832" s="7" t="s">
        <v>26</v>
      </c>
      <c r="F832" s="7" t="s">
        <v>16</v>
      </c>
    </row>
    <row r="833" ht="22.5" customHeight="1">
      <c r="A833" s="7" t="s">
        <v>53</v>
      </c>
      <c r="B833" s="8" t="s">
        <v>1012</v>
      </c>
      <c r="C833" s="7" t="s">
        <v>30</v>
      </c>
      <c r="D833" s="7" t="s">
        <v>1022</v>
      </c>
      <c r="E833" s="7" t="s">
        <v>26</v>
      </c>
      <c r="F833" s="7" t="s">
        <v>16</v>
      </c>
    </row>
    <row r="834" ht="22.5" customHeight="1">
      <c r="A834" s="7" t="s">
        <v>53</v>
      </c>
      <c r="B834" s="8" t="s">
        <v>1012</v>
      </c>
      <c r="C834" s="7" t="s">
        <v>30</v>
      </c>
      <c r="D834" s="7" t="s">
        <v>1023</v>
      </c>
      <c r="E834" s="7" t="s">
        <v>26</v>
      </c>
      <c r="F834" s="7" t="s">
        <v>16</v>
      </c>
    </row>
    <row r="835" ht="22.5" customHeight="1">
      <c r="A835" s="7" t="s">
        <v>53</v>
      </c>
      <c r="B835" s="8" t="s">
        <v>1012</v>
      </c>
      <c r="C835" s="7" t="s">
        <v>30</v>
      </c>
      <c r="D835" s="7" t="s">
        <v>1024</v>
      </c>
      <c r="E835" s="7" t="s">
        <v>26</v>
      </c>
      <c r="F835" s="7" t="s">
        <v>16</v>
      </c>
    </row>
    <row r="836" ht="22.5" customHeight="1">
      <c r="A836" s="7" t="s">
        <v>53</v>
      </c>
      <c r="B836" s="8" t="s">
        <v>1012</v>
      </c>
      <c r="C836" s="7" t="s">
        <v>30</v>
      </c>
      <c r="D836" s="7" t="s">
        <v>1025</v>
      </c>
      <c r="E836" s="7" t="s">
        <v>26</v>
      </c>
      <c r="F836" s="7" t="s">
        <v>16</v>
      </c>
    </row>
    <row r="837" ht="22.5" customHeight="1">
      <c r="A837" s="7" t="s">
        <v>53</v>
      </c>
      <c r="B837" s="8" t="s">
        <v>1012</v>
      </c>
      <c r="C837" s="7" t="s">
        <v>30</v>
      </c>
      <c r="D837" s="7" t="s">
        <v>1026</v>
      </c>
      <c r="E837" s="7" t="s">
        <v>26</v>
      </c>
      <c r="F837" s="7" t="s">
        <v>16</v>
      </c>
    </row>
    <row r="838" ht="22.5" customHeight="1">
      <c r="A838" s="7" t="s">
        <v>53</v>
      </c>
      <c r="B838" s="8" t="s">
        <v>1012</v>
      </c>
      <c r="C838" s="7" t="s">
        <v>30</v>
      </c>
      <c r="D838" s="7" t="s">
        <v>1027</v>
      </c>
      <c r="E838" s="7" t="s">
        <v>26</v>
      </c>
      <c r="F838" s="7" t="s">
        <v>18</v>
      </c>
    </row>
    <row r="839" ht="22.5" customHeight="1">
      <c r="A839" s="7" t="s">
        <v>53</v>
      </c>
      <c r="B839" s="8" t="s">
        <v>1012</v>
      </c>
      <c r="C839" s="7" t="s">
        <v>30</v>
      </c>
      <c r="D839" s="7" t="s">
        <v>1028</v>
      </c>
      <c r="E839" s="7" t="s">
        <v>26</v>
      </c>
      <c r="F839" s="7" t="s">
        <v>18</v>
      </c>
    </row>
    <row r="840" ht="22.5" customHeight="1">
      <c r="A840" s="7" t="s">
        <v>53</v>
      </c>
      <c r="B840" s="8" t="s">
        <v>1012</v>
      </c>
      <c r="C840" s="7" t="s">
        <v>30</v>
      </c>
      <c r="D840" s="7" t="s">
        <v>1029</v>
      </c>
      <c r="E840" s="7" t="s">
        <v>26</v>
      </c>
      <c r="F840" s="7" t="s">
        <v>20</v>
      </c>
    </row>
    <row r="841" ht="22.5" customHeight="1">
      <c r="A841" s="7" t="s">
        <v>53</v>
      </c>
      <c r="B841" s="8" t="s">
        <v>1012</v>
      </c>
      <c r="C841" s="7" t="s">
        <v>30</v>
      </c>
      <c r="D841" s="7" t="s">
        <v>1030</v>
      </c>
      <c r="E841" s="7" t="s">
        <v>26</v>
      </c>
      <c r="F841" s="7" t="s">
        <v>20</v>
      </c>
    </row>
    <row r="842" ht="22.5" customHeight="1">
      <c r="A842" s="7" t="s">
        <v>53</v>
      </c>
      <c r="B842" s="8" t="s">
        <v>1012</v>
      </c>
      <c r="C842" s="7" t="s">
        <v>30</v>
      </c>
      <c r="D842" s="7" t="s">
        <v>1031</v>
      </c>
      <c r="E842" s="7" t="s">
        <v>26</v>
      </c>
      <c r="F842" s="7" t="s">
        <v>20</v>
      </c>
    </row>
    <row r="843" ht="22.5" customHeight="1">
      <c r="A843" s="7" t="s">
        <v>53</v>
      </c>
      <c r="B843" s="8" t="s">
        <v>1012</v>
      </c>
      <c r="C843" s="7" t="s">
        <v>30</v>
      </c>
      <c r="D843" s="7" t="s">
        <v>1032</v>
      </c>
      <c r="E843" s="7" t="s">
        <v>26</v>
      </c>
      <c r="F843" s="7" t="s">
        <v>22</v>
      </c>
    </row>
    <row r="844" ht="22.5" customHeight="1">
      <c r="A844" s="7" t="s">
        <v>53</v>
      </c>
      <c r="B844" s="8" t="s">
        <v>1012</v>
      </c>
      <c r="C844" s="7" t="s">
        <v>30</v>
      </c>
      <c r="D844" s="7" t="s">
        <v>1033</v>
      </c>
      <c r="E844" s="7" t="s">
        <v>26</v>
      </c>
      <c r="F844" s="7" t="s">
        <v>22</v>
      </c>
    </row>
    <row r="845" ht="22.5" customHeight="1">
      <c r="A845" s="7" t="s">
        <v>53</v>
      </c>
      <c r="B845" s="8" t="s">
        <v>1012</v>
      </c>
      <c r="C845" s="7" t="s">
        <v>30</v>
      </c>
      <c r="D845" s="7" t="s">
        <v>1034</v>
      </c>
      <c r="E845" s="7" t="s">
        <v>26</v>
      </c>
      <c r="F845" s="7" t="s">
        <v>24</v>
      </c>
    </row>
    <row r="846" ht="22.5" customHeight="1">
      <c r="A846" s="7" t="s">
        <v>53</v>
      </c>
      <c r="B846" s="8" t="s">
        <v>1012</v>
      </c>
      <c r="C846" s="7" t="s">
        <v>30</v>
      </c>
      <c r="D846" s="7" t="s">
        <v>1035</v>
      </c>
      <c r="E846" s="7" t="s">
        <v>26</v>
      </c>
      <c r="F846" s="7" t="s">
        <v>24</v>
      </c>
    </row>
    <row r="847" ht="22.5" customHeight="1">
      <c r="A847" s="7" t="s">
        <v>53</v>
      </c>
      <c r="B847" s="8" t="s">
        <v>1012</v>
      </c>
      <c r="C847" s="7" t="s">
        <v>36</v>
      </c>
      <c r="D847" s="7" t="s">
        <v>1036</v>
      </c>
      <c r="E847" s="7" t="s">
        <v>16</v>
      </c>
      <c r="F847" s="7" t="s">
        <v>16</v>
      </c>
    </row>
    <row r="848" ht="22.5" customHeight="1">
      <c r="A848" s="7" t="s">
        <v>53</v>
      </c>
      <c r="B848" s="8" t="s">
        <v>1012</v>
      </c>
      <c r="C848" s="7" t="s">
        <v>38</v>
      </c>
      <c r="D848" s="7" t="s">
        <v>1037</v>
      </c>
      <c r="E848" s="7" t="s">
        <v>16</v>
      </c>
      <c r="F848" s="7" t="s">
        <v>16</v>
      </c>
    </row>
    <row r="849" ht="22.5" customHeight="1">
      <c r="A849" s="7" t="s">
        <v>53</v>
      </c>
      <c r="B849" s="8" t="s">
        <v>1012</v>
      </c>
      <c r="C849" s="7" t="s">
        <v>40</v>
      </c>
      <c r="D849" s="7" t="s">
        <v>1038</v>
      </c>
      <c r="E849" s="7" t="s">
        <v>16</v>
      </c>
      <c r="F849" s="7" t="s">
        <v>16</v>
      </c>
    </row>
    <row r="850" ht="22.5" customHeight="1">
      <c r="A850" s="7" t="s">
        <v>53</v>
      </c>
      <c r="B850" s="8" t="s">
        <v>1012</v>
      </c>
      <c r="C850" s="7" t="s">
        <v>43</v>
      </c>
      <c r="D850" s="7" t="s">
        <v>1039</v>
      </c>
      <c r="E850" s="7" t="s">
        <v>16</v>
      </c>
      <c r="F850" s="7" t="s">
        <v>16</v>
      </c>
    </row>
    <row r="851" ht="22.5" customHeight="1">
      <c r="A851" s="7" t="s">
        <v>50</v>
      </c>
      <c r="B851" s="8" t="s">
        <v>1040</v>
      </c>
      <c r="C851" s="7" t="s">
        <v>30</v>
      </c>
      <c r="D851" s="7" t="s">
        <v>1041</v>
      </c>
      <c r="E851" s="7" t="s">
        <v>16</v>
      </c>
      <c r="F851" s="7" t="s">
        <v>16</v>
      </c>
    </row>
    <row r="852" ht="22.5" customHeight="1">
      <c r="A852" s="7" t="s">
        <v>50</v>
      </c>
      <c r="B852" s="8" t="s">
        <v>1040</v>
      </c>
      <c r="C852" s="7" t="s">
        <v>30</v>
      </c>
      <c r="D852" s="7" t="s">
        <v>1042</v>
      </c>
      <c r="E852" s="7" t="s">
        <v>16</v>
      </c>
      <c r="F852" s="7" t="s">
        <v>16</v>
      </c>
    </row>
    <row r="853" ht="22.5" customHeight="1">
      <c r="A853" s="7" t="s">
        <v>50</v>
      </c>
      <c r="B853" s="8" t="s">
        <v>1040</v>
      </c>
      <c r="C853" s="7" t="s">
        <v>30</v>
      </c>
      <c r="D853" s="7" t="s">
        <v>1043</v>
      </c>
      <c r="E853" s="7" t="s">
        <v>16</v>
      </c>
      <c r="F853" s="7" t="s">
        <v>18</v>
      </c>
    </row>
    <row r="854" ht="22.5" customHeight="1">
      <c r="A854" s="7" t="s">
        <v>50</v>
      </c>
      <c r="B854" s="8" t="s">
        <v>1040</v>
      </c>
      <c r="C854" s="7" t="s">
        <v>30</v>
      </c>
      <c r="D854" s="7" t="s">
        <v>1044</v>
      </c>
      <c r="E854" s="7" t="s">
        <v>16</v>
      </c>
      <c r="F854" s="7" t="s">
        <v>20</v>
      </c>
    </row>
    <row r="855" ht="22.5" customHeight="1">
      <c r="A855" s="7" t="s">
        <v>50</v>
      </c>
      <c r="B855" s="8" t="s">
        <v>1040</v>
      </c>
      <c r="C855" s="7" t="s">
        <v>30</v>
      </c>
      <c r="D855" s="7" t="s">
        <v>1045</v>
      </c>
      <c r="E855" s="7" t="s">
        <v>16</v>
      </c>
      <c r="F855" s="7" t="s">
        <v>22</v>
      </c>
    </row>
    <row r="856" ht="22.5" customHeight="1">
      <c r="A856" s="7" t="s">
        <v>50</v>
      </c>
      <c r="B856" s="8" t="s">
        <v>1040</v>
      </c>
      <c r="C856" s="7" t="s">
        <v>30</v>
      </c>
      <c r="D856" s="7" t="s">
        <v>1046</v>
      </c>
      <c r="E856" s="7" t="s">
        <v>16</v>
      </c>
      <c r="F856" s="7" t="s">
        <v>24</v>
      </c>
    </row>
    <row r="857" ht="22.5" customHeight="1">
      <c r="A857" s="7" t="s">
        <v>50</v>
      </c>
      <c r="B857" s="8" t="s">
        <v>1040</v>
      </c>
      <c r="C857" s="7" t="s">
        <v>30</v>
      </c>
      <c r="D857" s="7" t="s">
        <v>1047</v>
      </c>
      <c r="E857" s="7" t="s">
        <v>16</v>
      </c>
      <c r="F857" s="7" t="s">
        <v>70</v>
      </c>
    </row>
    <row r="858" ht="22.5" customHeight="1">
      <c r="A858" s="7" t="s">
        <v>50</v>
      </c>
      <c r="B858" s="8" t="s">
        <v>1040</v>
      </c>
      <c r="C858" s="7" t="s">
        <v>30</v>
      </c>
      <c r="D858" s="7" t="s">
        <v>1048</v>
      </c>
      <c r="E858" s="7" t="s">
        <v>26</v>
      </c>
      <c r="F858" s="7" t="s">
        <v>16</v>
      </c>
    </row>
    <row r="859" ht="22.5" customHeight="1">
      <c r="A859" s="7" t="s">
        <v>50</v>
      </c>
      <c r="B859" s="8" t="s">
        <v>1040</v>
      </c>
      <c r="C859" s="7" t="s">
        <v>30</v>
      </c>
      <c r="D859" s="7" t="s">
        <v>1049</v>
      </c>
      <c r="E859" s="7" t="s">
        <v>26</v>
      </c>
      <c r="F859" s="7" t="s">
        <v>16</v>
      </c>
    </row>
    <row r="860" ht="22.5" customHeight="1">
      <c r="A860" s="7" t="s">
        <v>50</v>
      </c>
      <c r="B860" s="8" t="s">
        <v>1040</v>
      </c>
      <c r="C860" s="7" t="s">
        <v>30</v>
      </c>
      <c r="D860" s="7" t="s">
        <v>1050</v>
      </c>
      <c r="E860" s="7" t="s">
        <v>26</v>
      </c>
      <c r="F860" s="7" t="s">
        <v>16</v>
      </c>
    </row>
    <row r="861" ht="22.5" customHeight="1">
      <c r="A861" s="7" t="s">
        <v>50</v>
      </c>
      <c r="B861" s="8" t="s">
        <v>1040</v>
      </c>
      <c r="C861" s="7" t="s">
        <v>30</v>
      </c>
      <c r="D861" s="7" t="s">
        <v>1051</v>
      </c>
      <c r="E861" s="7" t="s">
        <v>26</v>
      </c>
      <c r="F861" s="7" t="s">
        <v>16</v>
      </c>
    </row>
    <row r="862" ht="22.5" customHeight="1">
      <c r="A862" s="7" t="s">
        <v>50</v>
      </c>
      <c r="B862" s="8" t="s">
        <v>1040</v>
      </c>
      <c r="C862" s="7" t="s">
        <v>30</v>
      </c>
      <c r="D862" s="7" t="s">
        <v>1052</v>
      </c>
      <c r="E862" s="7" t="s">
        <v>26</v>
      </c>
      <c r="F862" s="7" t="s">
        <v>16</v>
      </c>
    </row>
    <row r="863" ht="22.5" customHeight="1">
      <c r="A863" s="7" t="s">
        <v>50</v>
      </c>
      <c r="B863" s="8" t="s">
        <v>1040</v>
      </c>
      <c r="C863" s="7" t="s">
        <v>30</v>
      </c>
      <c r="D863" s="7" t="s">
        <v>1053</v>
      </c>
      <c r="E863" s="7" t="s">
        <v>26</v>
      </c>
      <c r="F863" s="7" t="s">
        <v>16</v>
      </c>
    </row>
    <row r="864" ht="22.5" customHeight="1">
      <c r="A864" s="7" t="s">
        <v>50</v>
      </c>
      <c r="B864" s="8" t="s">
        <v>1040</v>
      </c>
      <c r="C864" s="7" t="s">
        <v>36</v>
      </c>
      <c r="D864" s="7" t="s">
        <v>1054</v>
      </c>
      <c r="E864" s="7" t="s">
        <v>16</v>
      </c>
      <c r="F864" s="7" t="s">
        <v>16</v>
      </c>
    </row>
    <row r="865" ht="22.5" customHeight="1">
      <c r="A865" s="7" t="s">
        <v>50</v>
      </c>
      <c r="B865" s="8" t="s">
        <v>1040</v>
      </c>
      <c r="C865" s="7" t="s">
        <v>38</v>
      </c>
      <c r="D865" s="7" t="s">
        <v>1055</v>
      </c>
      <c r="E865" s="7" t="s">
        <v>16</v>
      </c>
      <c r="F865" s="7" t="s">
        <v>16</v>
      </c>
    </row>
    <row r="866" ht="22.5" customHeight="1">
      <c r="A866" s="7" t="s">
        <v>50</v>
      </c>
      <c r="B866" s="8" t="s">
        <v>1040</v>
      </c>
      <c r="C866" s="7" t="s">
        <v>38</v>
      </c>
      <c r="D866" s="7" t="s">
        <v>1056</v>
      </c>
      <c r="E866" s="7" t="s">
        <v>26</v>
      </c>
      <c r="F866" s="7" t="s">
        <v>16</v>
      </c>
    </row>
    <row r="867" ht="22.5" customHeight="1">
      <c r="A867" s="7" t="s">
        <v>50</v>
      </c>
      <c r="B867" s="8" t="s">
        <v>1040</v>
      </c>
      <c r="C867" s="7" t="s">
        <v>40</v>
      </c>
      <c r="D867" s="7" t="s">
        <v>1057</v>
      </c>
      <c r="E867" s="7" t="s">
        <v>16</v>
      </c>
      <c r="F867" s="7" t="s">
        <v>16</v>
      </c>
    </row>
    <row r="868" ht="22.5" customHeight="1">
      <c r="A868" s="7" t="s">
        <v>50</v>
      </c>
      <c r="B868" s="8" t="s">
        <v>1040</v>
      </c>
      <c r="C868" s="7" t="s">
        <v>40</v>
      </c>
      <c r="D868" s="7" t="s">
        <v>1058</v>
      </c>
      <c r="E868" s="7" t="s">
        <v>105</v>
      </c>
      <c r="F868" s="7" t="s">
        <v>16</v>
      </c>
    </row>
    <row r="869" ht="22.5" customHeight="1">
      <c r="A869" s="7" t="s">
        <v>50</v>
      </c>
      <c r="B869" s="8" t="s">
        <v>1040</v>
      </c>
      <c r="C869" s="7" t="s">
        <v>43</v>
      </c>
      <c r="D869" s="7" t="s">
        <v>1059</v>
      </c>
      <c r="E869" s="7" t="s">
        <v>16</v>
      </c>
      <c r="F869" s="7" t="s">
        <v>16</v>
      </c>
    </row>
    <row r="870" ht="22.5" customHeight="1">
      <c r="A870" s="7" t="s">
        <v>461</v>
      </c>
      <c r="B870" s="8" t="s">
        <v>1060</v>
      </c>
      <c r="C870" s="7" t="s">
        <v>14</v>
      </c>
      <c r="D870" s="7" t="s">
        <v>1061</v>
      </c>
      <c r="E870" s="7" t="s">
        <v>16</v>
      </c>
      <c r="F870" s="7" t="s">
        <v>18</v>
      </c>
    </row>
    <row r="871" ht="22.5" customHeight="1">
      <c r="A871" s="7" t="s">
        <v>461</v>
      </c>
      <c r="B871" s="8" t="s">
        <v>1060</v>
      </c>
      <c r="C871" s="7" t="s">
        <v>14</v>
      </c>
      <c r="D871" s="7" t="s">
        <v>1062</v>
      </c>
      <c r="E871" s="7" t="s">
        <v>16</v>
      </c>
      <c r="F871" s="7" t="s">
        <v>20</v>
      </c>
    </row>
    <row r="872" ht="22.5" customHeight="1">
      <c r="A872" s="7" t="s">
        <v>461</v>
      </c>
      <c r="B872" s="8" t="s">
        <v>1060</v>
      </c>
      <c r="C872" s="7" t="s">
        <v>14</v>
      </c>
      <c r="D872" s="7" t="s">
        <v>1063</v>
      </c>
      <c r="E872" s="7" t="s">
        <v>16</v>
      </c>
      <c r="F872" s="7" t="s">
        <v>22</v>
      </c>
    </row>
    <row r="873" ht="22.5" customHeight="1">
      <c r="A873" s="7" t="s">
        <v>461</v>
      </c>
      <c r="B873" s="8" t="s">
        <v>1060</v>
      </c>
      <c r="C873" s="7" t="s">
        <v>14</v>
      </c>
      <c r="D873" s="7" t="s">
        <v>1064</v>
      </c>
      <c r="E873" s="7" t="s">
        <v>16</v>
      </c>
      <c r="F873" s="7" t="s">
        <v>24</v>
      </c>
    </row>
    <row r="874" ht="22.5" customHeight="1">
      <c r="A874" s="7" t="s">
        <v>461</v>
      </c>
      <c r="B874" s="8" t="s">
        <v>1060</v>
      </c>
      <c r="C874" s="7" t="s">
        <v>30</v>
      </c>
      <c r="D874" s="7" t="s">
        <v>1065</v>
      </c>
      <c r="E874" s="7" t="s">
        <v>16</v>
      </c>
      <c r="F874" s="7" t="s">
        <v>16</v>
      </c>
    </row>
    <row r="875" ht="22.5" customHeight="1">
      <c r="A875" s="7" t="s">
        <v>461</v>
      </c>
      <c r="B875" s="8" t="s">
        <v>1060</v>
      </c>
      <c r="C875" s="7" t="s">
        <v>30</v>
      </c>
      <c r="D875" s="7" t="s">
        <v>1066</v>
      </c>
      <c r="E875" s="7" t="s">
        <v>16</v>
      </c>
      <c r="F875" s="7" t="s">
        <v>70</v>
      </c>
    </row>
    <row r="876" ht="22.5" customHeight="1">
      <c r="A876" s="7" t="s">
        <v>461</v>
      </c>
      <c r="B876" s="8" t="s">
        <v>1060</v>
      </c>
      <c r="C876" s="7" t="s">
        <v>36</v>
      </c>
      <c r="D876" s="7" t="s">
        <v>1067</v>
      </c>
      <c r="E876" s="7" t="s">
        <v>16</v>
      </c>
      <c r="F876" s="7" t="s">
        <v>16</v>
      </c>
    </row>
    <row r="877" ht="22.5" customHeight="1">
      <c r="A877" s="7" t="s">
        <v>461</v>
      </c>
      <c r="B877" s="8" t="s">
        <v>1060</v>
      </c>
      <c r="C877" s="7" t="s">
        <v>38</v>
      </c>
      <c r="D877" s="7" t="s">
        <v>1068</v>
      </c>
      <c r="E877" s="7" t="s">
        <v>16</v>
      </c>
      <c r="F877" s="7" t="s">
        <v>16</v>
      </c>
    </row>
    <row r="878" ht="22.5" customHeight="1">
      <c r="A878" s="7" t="s">
        <v>461</v>
      </c>
      <c r="B878" s="8" t="s">
        <v>1060</v>
      </c>
      <c r="C878" s="7" t="s">
        <v>40</v>
      </c>
      <c r="D878" s="7" t="s">
        <v>1069</v>
      </c>
      <c r="E878" s="7" t="s">
        <v>16</v>
      </c>
      <c r="F878" s="7" t="s">
        <v>16</v>
      </c>
    </row>
    <row r="879" ht="22.5" customHeight="1">
      <c r="A879" s="7" t="s">
        <v>461</v>
      </c>
      <c r="B879" s="8" t="s">
        <v>1060</v>
      </c>
      <c r="C879" s="7" t="s">
        <v>43</v>
      </c>
      <c r="D879" s="7" t="s">
        <v>1070</v>
      </c>
      <c r="E879" s="7" t="s">
        <v>16</v>
      </c>
      <c r="F879" s="7" t="s">
        <v>16</v>
      </c>
    </row>
    <row r="880" ht="22.5" customHeight="1">
      <c r="A880" s="7" t="s">
        <v>178</v>
      </c>
      <c r="B880" s="8" t="s">
        <v>1071</v>
      </c>
      <c r="C880" s="7" t="s">
        <v>30</v>
      </c>
      <c r="D880" s="7" t="s">
        <v>1072</v>
      </c>
      <c r="E880" s="7" t="s">
        <v>16</v>
      </c>
      <c r="F880" s="7" t="s">
        <v>16</v>
      </c>
    </row>
    <row r="881" ht="22.5" customHeight="1">
      <c r="A881" s="7" t="s">
        <v>178</v>
      </c>
      <c r="B881" s="8" t="s">
        <v>1071</v>
      </c>
      <c r="C881" s="7" t="s">
        <v>30</v>
      </c>
      <c r="D881" s="7" t="s">
        <v>1073</v>
      </c>
      <c r="E881" s="7" t="s">
        <v>16</v>
      </c>
      <c r="F881" s="7" t="s">
        <v>18</v>
      </c>
    </row>
    <row r="882" ht="22.5" customHeight="1">
      <c r="A882" s="7" t="s">
        <v>178</v>
      </c>
      <c r="B882" s="8" t="s">
        <v>1071</v>
      </c>
      <c r="C882" s="7" t="s">
        <v>30</v>
      </c>
      <c r="D882" s="7" t="s">
        <v>1074</v>
      </c>
      <c r="E882" s="7" t="s">
        <v>16</v>
      </c>
      <c r="F882" s="7" t="s">
        <v>20</v>
      </c>
    </row>
    <row r="883" ht="22.5" customHeight="1">
      <c r="A883" s="7" t="s">
        <v>178</v>
      </c>
      <c r="B883" s="8" t="s">
        <v>1071</v>
      </c>
      <c r="C883" s="7" t="s">
        <v>30</v>
      </c>
      <c r="D883" s="7" t="s">
        <v>1075</v>
      </c>
      <c r="E883" s="7" t="s">
        <v>16</v>
      </c>
      <c r="F883" s="7" t="s">
        <v>22</v>
      </c>
    </row>
    <row r="884" ht="22.5" customHeight="1">
      <c r="A884" s="7" t="s">
        <v>178</v>
      </c>
      <c r="B884" s="8" t="s">
        <v>1071</v>
      </c>
      <c r="C884" s="7" t="s">
        <v>30</v>
      </c>
      <c r="D884" s="7" t="s">
        <v>1076</v>
      </c>
      <c r="E884" s="7" t="s">
        <v>16</v>
      </c>
      <c r="F884" s="7" t="s">
        <v>24</v>
      </c>
    </row>
    <row r="885" ht="22.5" customHeight="1">
      <c r="A885" s="7" t="s">
        <v>178</v>
      </c>
      <c r="B885" s="8" t="s">
        <v>1071</v>
      </c>
      <c r="C885" s="7" t="s">
        <v>30</v>
      </c>
      <c r="D885" s="7" t="s">
        <v>1077</v>
      </c>
      <c r="E885" s="7" t="s">
        <v>16</v>
      </c>
      <c r="F885" s="7" t="s">
        <v>70</v>
      </c>
    </row>
    <row r="886" ht="22.5" customHeight="1">
      <c r="A886" s="7" t="s">
        <v>178</v>
      </c>
      <c r="B886" s="8" t="s">
        <v>1071</v>
      </c>
      <c r="C886" s="7" t="s">
        <v>30</v>
      </c>
      <c r="D886" s="7" t="s">
        <v>1078</v>
      </c>
      <c r="E886" s="7" t="s">
        <v>26</v>
      </c>
      <c r="F886" s="7" t="s">
        <v>16</v>
      </c>
    </row>
    <row r="887" ht="22.5" customHeight="1">
      <c r="A887" s="7" t="s">
        <v>178</v>
      </c>
      <c r="B887" s="8" t="s">
        <v>1071</v>
      </c>
      <c r="C887" s="7" t="s">
        <v>30</v>
      </c>
      <c r="D887" s="7" t="s">
        <v>1079</v>
      </c>
      <c r="E887" s="7" t="s">
        <v>26</v>
      </c>
      <c r="F887" s="7" t="s">
        <v>16</v>
      </c>
    </row>
    <row r="888" ht="22.5" customHeight="1">
      <c r="A888" s="7" t="s">
        <v>178</v>
      </c>
      <c r="B888" s="8" t="s">
        <v>1071</v>
      </c>
      <c r="C888" s="7" t="s">
        <v>30</v>
      </c>
      <c r="D888" s="7" t="s">
        <v>1080</v>
      </c>
      <c r="E888" s="7" t="s">
        <v>26</v>
      </c>
      <c r="F888" s="7" t="s">
        <v>16</v>
      </c>
    </row>
    <row r="889" ht="22.5" customHeight="1">
      <c r="A889" s="7" t="s">
        <v>178</v>
      </c>
      <c r="B889" s="8" t="s">
        <v>1071</v>
      </c>
      <c r="C889" s="7" t="s">
        <v>30</v>
      </c>
      <c r="D889" s="7" t="s">
        <v>1081</v>
      </c>
      <c r="E889" s="7" t="s">
        <v>26</v>
      </c>
      <c r="F889" s="7" t="s">
        <v>16</v>
      </c>
    </row>
    <row r="890" ht="22.5" customHeight="1">
      <c r="A890" s="7" t="s">
        <v>178</v>
      </c>
      <c r="B890" s="8" t="s">
        <v>1071</v>
      </c>
      <c r="C890" s="7" t="s">
        <v>30</v>
      </c>
      <c r="D890" s="7" t="s">
        <v>1082</v>
      </c>
      <c r="E890" s="7" t="s">
        <v>26</v>
      </c>
      <c r="F890" s="7" t="s">
        <v>16</v>
      </c>
    </row>
    <row r="891" ht="22.5" customHeight="1">
      <c r="A891" s="7" t="s">
        <v>178</v>
      </c>
      <c r="B891" s="8" t="s">
        <v>1071</v>
      </c>
      <c r="C891" s="7" t="s">
        <v>30</v>
      </c>
      <c r="D891" s="7" t="s">
        <v>1083</v>
      </c>
      <c r="E891" s="7" t="s">
        <v>26</v>
      </c>
      <c r="F891" s="7" t="s">
        <v>18</v>
      </c>
    </row>
    <row r="892" ht="22.5" customHeight="1">
      <c r="A892" s="7" t="s">
        <v>178</v>
      </c>
      <c r="B892" s="8" t="s">
        <v>1071</v>
      </c>
      <c r="C892" s="7" t="s">
        <v>30</v>
      </c>
      <c r="D892" s="7" t="s">
        <v>1084</v>
      </c>
      <c r="E892" s="7" t="s">
        <v>26</v>
      </c>
      <c r="F892" s="7" t="s">
        <v>20</v>
      </c>
    </row>
    <row r="893" ht="22.5" customHeight="1">
      <c r="A893" s="7" t="s">
        <v>178</v>
      </c>
      <c r="B893" s="8" t="s">
        <v>1071</v>
      </c>
      <c r="C893" s="7" t="s">
        <v>30</v>
      </c>
      <c r="D893" s="7" t="s">
        <v>1085</v>
      </c>
      <c r="E893" s="7" t="s">
        <v>26</v>
      </c>
      <c r="F893" s="7" t="s">
        <v>22</v>
      </c>
    </row>
    <row r="894" ht="22.5" customHeight="1">
      <c r="A894" s="7" t="s">
        <v>178</v>
      </c>
      <c r="B894" s="8" t="s">
        <v>1071</v>
      </c>
      <c r="C894" s="7" t="s">
        <v>30</v>
      </c>
      <c r="D894" s="7" t="s">
        <v>1086</v>
      </c>
      <c r="E894" s="7" t="s">
        <v>26</v>
      </c>
      <c r="F894" s="7" t="s">
        <v>24</v>
      </c>
    </row>
    <row r="895" ht="22.5" customHeight="1">
      <c r="A895" s="7" t="s">
        <v>178</v>
      </c>
      <c r="B895" s="8" t="s">
        <v>1071</v>
      </c>
      <c r="C895" s="7" t="s">
        <v>36</v>
      </c>
      <c r="D895" s="7" t="s">
        <v>1087</v>
      </c>
      <c r="E895" s="7" t="s">
        <v>16</v>
      </c>
      <c r="F895" s="7" t="s">
        <v>16</v>
      </c>
    </row>
    <row r="896" ht="22.5" customHeight="1">
      <c r="A896" s="7" t="s">
        <v>178</v>
      </c>
      <c r="B896" s="8" t="s">
        <v>1071</v>
      </c>
      <c r="C896" s="7" t="s">
        <v>38</v>
      </c>
      <c r="D896" s="7" t="s">
        <v>1088</v>
      </c>
      <c r="E896" s="7" t="s">
        <v>16</v>
      </c>
      <c r="F896" s="7" t="s">
        <v>16</v>
      </c>
    </row>
    <row r="897" ht="22.5" customHeight="1">
      <c r="A897" s="7" t="s">
        <v>178</v>
      </c>
      <c r="B897" s="8" t="s">
        <v>1071</v>
      </c>
      <c r="C897" s="7" t="s">
        <v>38</v>
      </c>
      <c r="D897" s="7" t="s">
        <v>1089</v>
      </c>
      <c r="E897" s="7" t="s">
        <v>26</v>
      </c>
      <c r="F897" s="7" t="s">
        <v>16</v>
      </c>
    </row>
    <row r="898" ht="22.5" customHeight="1">
      <c r="A898" s="7" t="s">
        <v>178</v>
      </c>
      <c r="B898" s="8" t="s">
        <v>1071</v>
      </c>
      <c r="C898" s="7" t="s">
        <v>40</v>
      </c>
      <c r="D898" s="7" t="s">
        <v>1090</v>
      </c>
      <c r="E898" s="7" t="s">
        <v>16</v>
      </c>
      <c r="F898" s="7" t="s">
        <v>16</v>
      </c>
    </row>
    <row r="899" ht="22.5" customHeight="1">
      <c r="A899" s="7" t="s">
        <v>178</v>
      </c>
      <c r="B899" s="8" t="s">
        <v>1071</v>
      </c>
      <c r="C899" s="7" t="s">
        <v>43</v>
      </c>
      <c r="D899" s="7" t="s">
        <v>1091</v>
      </c>
      <c r="E899" s="7" t="s">
        <v>16</v>
      </c>
      <c r="F899" s="7" t="s">
        <v>16</v>
      </c>
    </row>
    <row r="900" ht="22.5" customHeight="1">
      <c r="A900" s="7" t="s">
        <v>200</v>
      </c>
      <c r="B900" s="8" t="s">
        <v>1092</v>
      </c>
      <c r="C900" s="7" t="s">
        <v>14</v>
      </c>
      <c r="D900" s="7" t="s">
        <v>1093</v>
      </c>
      <c r="E900" s="7" t="s">
        <v>16</v>
      </c>
      <c r="F900" s="7" t="s">
        <v>16</v>
      </c>
    </row>
    <row r="901" ht="22.5" customHeight="1">
      <c r="A901" s="7" t="s">
        <v>200</v>
      </c>
      <c r="B901" s="8" t="s">
        <v>1092</v>
      </c>
      <c r="C901" s="7" t="s">
        <v>14</v>
      </c>
      <c r="D901" s="7" t="s">
        <v>1094</v>
      </c>
      <c r="E901" s="7" t="s">
        <v>16</v>
      </c>
      <c r="F901" s="7" t="s">
        <v>18</v>
      </c>
    </row>
    <row r="902" ht="22.5" customHeight="1">
      <c r="A902" s="7" t="s">
        <v>200</v>
      </c>
      <c r="B902" s="8" t="s">
        <v>1092</v>
      </c>
      <c r="C902" s="7" t="s">
        <v>14</v>
      </c>
      <c r="D902" s="7" t="s">
        <v>1095</v>
      </c>
      <c r="E902" s="7" t="s">
        <v>16</v>
      </c>
      <c r="F902" s="7" t="s">
        <v>20</v>
      </c>
    </row>
    <row r="903" ht="22.5" customHeight="1">
      <c r="A903" s="7" t="s">
        <v>200</v>
      </c>
      <c r="B903" s="8" t="s">
        <v>1092</v>
      </c>
      <c r="C903" s="7" t="s">
        <v>14</v>
      </c>
      <c r="D903" s="7" t="s">
        <v>1096</v>
      </c>
      <c r="E903" s="7" t="s">
        <v>16</v>
      </c>
      <c r="F903" s="7" t="s">
        <v>22</v>
      </c>
    </row>
    <row r="904" ht="22.5" customHeight="1">
      <c r="A904" s="7" t="s">
        <v>200</v>
      </c>
      <c r="B904" s="8" t="s">
        <v>1092</v>
      </c>
      <c r="C904" s="7" t="s">
        <v>14</v>
      </c>
      <c r="D904" s="7" t="s">
        <v>1097</v>
      </c>
      <c r="E904" s="7" t="s">
        <v>16</v>
      </c>
      <c r="F904" s="7" t="s">
        <v>24</v>
      </c>
    </row>
    <row r="905" ht="22.5" customHeight="1">
      <c r="A905" s="7" t="s">
        <v>200</v>
      </c>
      <c r="B905" s="8" t="s">
        <v>1092</v>
      </c>
      <c r="C905" s="7" t="s">
        <v>14</v>
      </c>
      <c r="D905" s="7" t="s">
        <v>1098</v>
      </c>
      <c r="E905" s="7" t="s">
        <v>26</v>
      </c>
      <c r="F905" s="7" t="s">
        <v>16</v>
      </c>
    </row>
    <row r="906" ht="22.5" customHeight="1">
      <c r="A906" s="7" t="s">
        <v>200</v>
      </c>
      <c r="B906" s="8" t="s">
        <v>1092</v>
      </c>
      <c r="C906" s="7" t="s">
        <v>14</v>
      </c>
      <c r="D906" s="7" t="s">
        <v>1099</v>
      </c>
      <c r="E906" s="7" t="s">
        <v>26</v>
      </c>
      <c r="F906" s="7" t="s">
        <v>70</v>
      </c>
    </row>
    <row r="907" ht="22.5" customHeight="1">
      <c r="A907" s="7" t="s">
        <v>200</v>
      </c>
      <c r="B907" s="8" t="s">
        <v>1092</v>
      </c>
      <c r="C907" s="7" t="s">
        <v>14</v>
      </c>
      <c r="D907" s="7" t="s">
        <v>1100</v>
      </c>
      <c r="E907" s="7" t="s">
        <v>105</v>
      </c>
      <c r="F907" s="7" t="s">
        <v>70</v>
      </c>
    </row>
    <row r="908" ht="22.5" customHeight="1">
      <c r="A908" s="7" t="s">
        <v>200</v>
      </c>
      <c r="B908" s="8" t="s">
        <v>1092</v>
      </c>
      <c r="C908" s="7" t="s">
        <v>30</v>
      </c>
      <c r="D908" s="7" t="s">
        <v>1101</v>
      </c>
      <c r="E908" s="7" t="s">
        <v>16</v>
      </c>
      <c r="F908" s="7" t="s">
        <v>16</v>
      </c>
    </row>
    <row r="909" ht="22.5" customHeight="1">
      <c r="A909" s="7" t="s">
        <v>200</v>
      </c>
      <c r="B909" s="8" t="s">
        <v>1092</v>
      </c>
      <c r="C909" s="7" t="s">
        <v>30</v>
      </c>
      <c r="D909" s="7" t="s">
        <v>1102</v>
      </c>
      <c r="E909" s="7" t="s">
        <v>16</v>
      </c>
      <c r="F909" s="7" t="s">
        <v>70</v>
      </c>
    </row>
    <row r="910" ht="22.5" customHeight="1">
      <c r="A910" s="7" t="s">
        <v>200</v>
      </c>
      <c r="B910" s="8" t="s">
        <v>1092</v>
      </c>
      <c r="C910" s="7" t="s">
        <v>30</v>
      </c>
      <c r="D910" s="7" t="s">
        <v>1103</v>
      </c>
      <c r="E910" s="7" t="s">
        <v>26</v>
      </c>
      <c r="F910" s="7" t="s">
        <v>16</v>
      </c>
    </row>
    <row r="911" ht="22.5" customHeight="1">
      <c r="A911" s="7" t="s">
        <v>200</v>
      </c>
      <c r="B911" s="8" t="s">
        <v>1092</v>
      </c>
      <c r="C911" s="7" t="s">
        <v>30</v>
      </c>
      <c r="D911" s="7" t="s">
        <v>1104</v>
      </c>
      <c r="E911" s="7" t="s">
        <v>26</v>
      </c>
      <c r="F911" s="7" t="s">
        <v>16</v>
      </c>
    </row>
    <row r="912" ht="22.5" customHeight="1">
      <c r="A912" s="7" t="s">
        <v>200</v>
      </c>
      <c r="B912" s="8" t="s">
        <v>1092</v>
      </c>
      <c r="C912" s="7" t="s">
        <v>30</v>
      </c>
      <c r="D912" s="7" t="s">
        <v>1105</v>
      </c>
      <c r="E912" s="7" t="s">
        <v>26</v>
      </c>
      <c r="F912" s="7" t="s">
        <v>16</v>
      </c>
    </row>
    <row r="913" ht="22.5" customHeight="1">
      <c r="A913" s="7" t="s">
        <v>200</v>
      </c>
      <c r="B913" s="8" t="s">
        <v>1092</v>
      </c>
      <c r="C913" s="7" t="s">
        <v>30</v>
      </c>
      <c r="D913" s="7" t="s">
        <v>1106</v>
      </c>
      <c r="E913" s="7" t="s">
        <v>26</v>
      </c>
      <c r="F913" s="7" t="s">
        <v>16</v>
      </c>
    </row>
    <row r="914" ht="22.5" customHeight="1">
      <c r="A914" s="7" t="s">
        <v>200</v>
      </c>
      <c r="B914" s="8" t="s">
        <v>1092</v>
      </c>
      <c r="C914" s="7" t="s">
        <v>36</v>
      </c>
      <c r="D914" s="7" t="s">
        <v>1107</v>
      </c>
      <c r="E914" s="7" t="s">
        <v>16</v>
      </c>
      <c r="F914" s="7" t="s">
        <v>16</v>
      </c>
    </row>
    <row r="915" ht="22.5" customHeight="1">
      <c r="A915" s="7" t="s">
        <v>200</v>
      </c>
      <c r="B915" s="8" t="s">
        <v>1092</v>
      </c>
      <c r="C915" s="7" t="s">
        <v>38</v>
      </c>
      <c r="D915" s="7" t="s">
        <v>1108</v>
      </c>
      <c r="E915" s="7" t="s">
        <v>16</v>
      </c>
      <c r="F915" s="7" t="s">
        <v>16</v>
      </c>
    </row>
    <row r="916" ht="22.5" customHeight="1">
      <c r="A916" s="7" t="s">
        <v>200</v>
      </c>
      <c r="B916" s="8" t="s">
        <v>1092</v>
      </c>
      <c r="C916" s="7" t="s">
        <v>38</v>
      </c>
      <c r="D916" s="7" t="s">
        <v>1109</v>
      </c>
      <c r="E916" s="7" t="s">
        <v>26</v>
      </c>
      <c r="F916" s="7" t="s">
        <v>16</v>
      </c>
    </row>
    <row r="917" ht="22.5" customHeight="1">
      <c r="A917" s="7" t="s">
        <v>200</v>
      </c>
      <c r="B917" s="8" t="s">
        <v>1092</v>
      </c>
      <c r="C917" s="7" t="s">
        <v>40</v>
      </c>
      <c r="D917" s="7" t="s">
        <v>1110</v>
      </c>
      <c r="E917" s="7" t="s">
        <v>16</v>
      </c>
      <c r="F917" s="7" t="s">
        <v>16</v>
      </c>
    </row>
    <row r="918" ht="22.5" customHeight="1">
      <c r="A918" s="7" t="s">
        <v>200</v>
      </c>
      <c r="B918" s="8" t="s">
        <v>1092</v>
      </c>
      <c r="C918" s="7" t="s">
        <v>43</v>
      </c>
      <c r="D918" s="7" t="s">
        <v>1111</v>
      </c>
      <c r="E918" s="7" t="s">
        <v>16</v>
      </c>
      <c r="F918" s="7" t="s">
        <v>16</v>
      </c>
    </row>
    <row r="919" ht="22.5" customHeight="1">
      <c r="A919" s="7" t="s">
        <v>461</v>
      </c>
      <c r="B919" s="8" t="s">
        <v>1112</v>
      </c>
      <c r="C919" s="7" t="s">
        <v>30</v>
      </c>
      <c r="D919" s="7" t="s">
        <v>1113</v>
      </c>
      <c r="E919" s="7" t="s">
        <v>151</v>
      </c>
      <c r="F919" s="7" t="s">
        <v>16</v>
      </c>
    </row>
    <row r="920" ht="22.5" customHeight="1">
      <c r="A920" s="7" t="s">
        <v>461</v>
      </c>
      <c r="B920" s="8" t="s">
        <v>1112</v>
      </c>
      <c r="C920" s="7" t="s">
        <v>30</v>
      </c>
      <c r="D920" s="7" t="s">
        <v>1114</v>
      </c>
      <c r="E920" s="7" t="s">
        <v>151</v>
      </c>
      <c r="F920" s="7" t="s">
        <v>18</v>
      </c>
    </row>
    <row r="921" ht="22.5" customHeight="1">
      <c r="A921" s="7" t="s">
        <v>461</v>
      </c>
      <c r="B921" s="8" t="s">
        <v>1112</v>
      </c>
      <c r="C921" s="7" t="s">
        <v>30</v>
      </c>
      <c r="D921" s="7" t="s">
        <v>1115</v>
      </c>
      <c r="E921" s="7" t="s">
        <v>151</v>
      </c>
      <c r="F921" s="7" t="s">
        <v>20</v>
      </c>
    </row>
    <row r="922" ht="22.5" customHeight="1">
      <c r="A922" s="7" t="s">
        <v>461</v>
      </c>
      <c r="B922" s="8" t="s">
        <v>1112</v>
      </c>
      <c r="C922" s="7" t="s">
        <v>30</v>
      </c>
      <c r="D922" s="7" t="s">
        <v>1116</v>
      </c>
      <c r="E922" s="7" t="s">
        <v>151</v>
      </c>
      <c r="F922" s="7" t="s">
        <v>22</v>
      </c>
    </row>
    <row r="923" ht="22.5" customHeight="1">
      <c r="A923" s="7" t="s">
        <v>461</v>
      </c>
      <c r="B923" s="8" t="s">
        <v>1112</v>
      </c>
      <c r="C923" s="7" t="s">
        <v>30</v>
      </c>
      <c r="D923" s="7" t="s">
        <v>1117</v>
      </c>
      <c r="E923" s="7" t="s">
        <v>151</v>
      </c>
      <c r="F923" s="7" t="s">
        <v>24</v>
      </c>
    </row>
    <row r="924" ht="22.5" customHeight="1">
      <c r="A924" s="7" t="s">
        <v>461</v>
      </c>
      <c r="B924" s="8" t="s">
        <v>1112</v>
      </c>
      <c r="C924" s="7" t="s">
        <v>30</v>
      </c>
      <c r="D924" s="7" t="s">
        <v>1118</v>
      </c>
      <c r="E924" s="7" t="s">
        <v>26</v>
      </c>
      <c r="F924" s="7" t="s">
        <v>16</v>
      </c>
    </row>
    <row r="925" ht="22.5" customHeight="1">
      <c r="A925" s="7" t="s">
        <v>461</v>
      </c>
      <c r="B925" s="8" t="s">
        <v>1112</v>
      </c>
      <c r="C925" s="7" t="s">
        <v>36</v>
      </c>
      <c r="D925" s="7" t="s">
        <v>1119</v>
      </c>
      <c r="E925" s="7" t="s">
        <v>151</v>
      </c>
      <c r="F925" s="7" t="s">
        <v>16</v>
      </c>
    </row>
    <row r="926" ht="22.5" customHeight="1">
      <c r="A926" s="7" t="s">
        <v>461</v>
      </c>
      <c r="B926" s="8" t="s">
        <v>1112</v>
      </c>
      <c r="C926" s="7" t="s">
        <v>38</v>
      </c>
      <c r="D926" s="7" t="s">
        <v>1120</v>
      </c>
      <c r="E926" s="7" t="s">
        <v>151</v>
      </c>
      <c r="F926" s="7" t="s">
        <v>16</v>
      </c>
    </row>
    <row r="927" ht="22.5" customHeight="1">
      <c r="A927" s="7" t="s">
        <v>461</v>
      </c>
      <c r="B927" s="8" t="s">
        <v>1112</v>
      </c>
      <c r="C927" s="7" t="s">
        <v>40</v>
      </c>
      <c r="D927" s="7" t="s">
        <v>1121</v>
      </c>
      <c r="E927" s="7" t="s">
        <v>151</v>
      </c>
      <c r="F927" s="7" t="s">
        <v>16</v>
      </c>
    </row>
    <row r="928" ht="22.5" customHeight="1">
      <c r="A928" s="7" t="s">
        <v>461</v>
      </c>
      <c r="B928" s="8" t="s">
        <v>1112</v>
      </c>
      <c r="C928" s="7" t="s">
        <v>40</v>
      </c>
      <c r="D928" s="7" t="s">
        <v>1122</v>
      </c>
      <c r="E928" s="7" t="s">
        <v>26</v>
      </c>
      <c r="F928" s="7" t="s">
        <v>16</v>
      </c>
    </row>
    <row r="929" ht="22.5" customHeight="1">
      <c r="A929" s="7" t="s">
        <v>461</v>
      </c>
      <c r="B929" s="8" t="s">
        <v>1112</v>
      </c>
      <c r="C929" s="7" t="s">
        <v>43</v>
      </c>
      <c r="D929" s="7" t="s">
        <v>1123</v>
      </c>
      <c r="E929" s="7" t="s">
        <v>151</v>
      </c>
      <c r="F929" s="7" t="s">
        <v>16</v>
      </c>
    </row>
    <row r="930" ht="22.5" customHeight="1">
      <c r="A930" s="7" t="s">
        <v>461</v>
      </c>
      <c r="B930" s="8" t="s">
        <v>1124</v>
      </c>
      <c r="C930" s="7" t="s">
        <v>14</v>
      </c>
      <c r="D930" s="7" t="s">
        <v>1125</v>
      </c>
      <c r="E930" s="7" t="s">
        <v>105</v>
      </c>
      <c r="F930" s="7" t="s">
        <v>48</v>
      </c>
    </row>
    <row r="931" ht="22.5" customHeight="1">
      <c r="A931" s="7" t="s">
        <v>461</v>
      </c>
      <c r="B931" s="8" t="s">
        <v>1124</v>
      </c>
      <c r="C931" s="7" t="s">
        <v>43</v>
      </c>
      <c r="D931" s="7" t="s">
        <v>1126</v>
      </c>
      <c r="E931" s="7" t="s">
        <v>26</v>
      </c>
      <c r="F931" s="7" t="s">
        <v>16</v>
      </c>
    </row>
    <row r="932" ht="22.5" customHeight="1">
      <c r="A932" s="7" t="s">
        <v>461</v>
      </c>
      <c r="B932" s="8" t="s">
        <v>1127</v>
      </c>
      <c r="C932" s="7" t="s">
        <v>43</v>
      </c>
      <c r="D932" s="7" t="s">
        <v>1128</v>
      </c>
      <c r="E932" s="7" t="s">
        <v>26</v>
      </c>
      <c r="F932" s="7" t="s">
        <v>48</v>
      </c>
    </row>
    <row r="933" ht="22.5" customHeight="1">
      <c r="A933" s="7" t="s">
        <v>889</v>
      </c>
      <c r="B933" s="8" t="s">
        <v>1129</v>
      </c>
      <c r="C933" s="7" t="s">
        <v>30</v>
      </c>
      <c r="D933" s="7" t="s">
        <v>1130</v>
      </c>
      <c r="E933" s="7" t="s">
        <v>16</v>
      </c>
      <c r="F933" s="7" t="s">
        <v>16</v>
      </c>
    </row>
    <row r="934" ht="22.5" customHeight="1">
      <c r="A934" s="7" t="s">
        <v>889</v>
      </c>
      <c r="B934" s="8" t="s">
        <v>1129</v>
      </c>
      <c r="C934" s="7" t="s">
        <v>30</v>
      </c>
      <c r="D934" s="7" t="s">
        <v>1131</v>
      </c>
      <c r="E934" s="7" t="s">
        <v>16</v>
      </c>
      <c r="F934" s="7" t="s">
        <v>16</v>
      </c>
    </row>
    <row r="935" ht="22.5" customHeight="1">
      <c r="A935" s="7" t="s">
        <v>889</v>
      </c>
      <c r="B935" s="8" t="s">
        <v>1129</v>
      </c>
      <c r="C935" s="7" t="s">
        <v>30</v>
      </c>
      <c r="D935" s="7" t="s">
        <v>1132</v>
      </c>
      <c r="E935" s="7" t="s">
        <v>16</v>
      </c>
      <c r="F935" s="7" t="s">
        <v>16</v>
      </c>
    </row>
    <row r="936" ht="22.5" customHeight="1">
      <c r="A936" s="7" t="s">
        <v>889</v>
      </c>
      <c r="B936" s="8" t="s">
        <v>1129</v>
      </c>
      <c r="C936" s="7" t="s">
        <v>30</v>
      </c>
      <c r="D936" s="7" t="s">
        <v>1133</v>
      </c>
      <c r="E936" s="7" t="s">
        <v>16</v>
      </c>
      <c r="F936" s="7" t="s">
        <v>16</v>
      </c>
    </row>
    <row r="937" ht="22.5" customHeight="1">
      <c r="A937" s="7" t="s">
        <v>889</v>
      </c>
      <c r="B937" s="8" t="s">
        <v>1129</v>
      </c>
      <c r="C937" s="7" t="s">
        <v>30</v>
      </c>
      <c r="D937" s="7" t="s">
        <v>1134</v>
      </c>
      <c r="E937" s="7" t="s">
        <v>16</v>
      </c>
      <c r="F937" s="7" t="s">
        <v>18</v>
      </c>
    </row>
    <row r="938" ht="22.5" customHeight="1">
      <c r="A938" s="7" t="s">
        <v>889</v>
      </c>
      <c r="B938" s="8" t="s">
        <v>1129</v>
      </c>
      <c r="C938" s="7" t="s">
        <v>30</v>
      </c>
      <c r="D938" s="7" t="s">
        <v>1135</v>
      </c>
      <c r="E938" s="7" t="s">
        <v>16</v>
      </c>
      <c r="F938" s="7" t="s">
        <v>70</v>
      </c>
    </row>
    <row r="939" ht="22.5" customHeight="1">
      <c r="A939" s="7" t="s">
        <v>889</v>
      </c>
      <c r="B939" s="8" t="s">
        <v>1129</v>
      </c>
      <c r="C939" s="7" t="s">
        <v>30</v>
      </c>
      <c r="D939" s="7" t="s">
        <v>1136</v>
      </c>
      <c r="E939" s="7" t="s">
        <v>16</v>
      </c>
      <c r="F939" s="7" t="s">
        <v>70</v>
      </c>
    </row>
    <row r="940" ht="22.5" customHeight="1">
      <c r="A940" s="7" t="s">
        <v>889</v>
      </c>
      <c r="B940" s="8" t="s">
        <v>1129</v>
      </c>
      <c r="C940" s="7" t="s">
        <v>30</v>
      </c>
      <c r="D940" s="7" t="s">
        <v>1137</v>
      </c>
      <c r="E940" s="7" t="s">
        <v>26</v>
      </c>
      <c r="F940" s="7" t="s">
        <v>16</v>
      </c>
    </row>
    <row r="941" ht="22.5" customHeight="1">
      <c r="A941" s="7" t="s">
        <v>889</v>
      </c>
      <c r="B941" s="8" t="s">
        <v>1129</v>
      </c>
      <c r="C941" s="7" t="s">
        <v>30</v>
      </c>
      <c r="D941" s="7" t="s">
        <v>1138</v>
      </c>
      <c r="E941" s="7" t="s">
        <v>26</v>
      </c>
      <c r="F941" s="7" t="s">
        <v>16</v>
      </c>
    </row>
    <row r="942" ht="22.5" customHeight="1">
      <c r="A942" s="7" t="s">
        <v>889</v>
      </c>
      <c r="B942" s="8" t="s">
        <v>1129</v>
      </c>
      <c r="C942" s="7" t="s">
        <v>30</v>
      </c>
      <c r="D942" s="7" t="s">
        <v>1139</v>
      </c>
      <c r="E942" s="7" t="s">
        <v>26</v>
      </c>
      <c r="F942" s="7" t="s">
        <v>16</v>
      </c>
    </row>
    <row r="943" ht="22.5" customHeight="1">
      <c r="A943" s="7" t="s">
        <v>889</v>
      </c>
      <c r="B943" s="8" t="s">
        <v>1129</v>
      </c>
      <c r="C943" s="7" t="s">
        <v>30</v>
      </c>
      <c r="D943" s="7" t="s">
        <v>1140</v>
      </c>
      <c r="E943" s="7" t="s">
        <v>26</v>
      </c>
      <c r="F943" s="7" t="s">
        <v>16</v>
      </c>
    </row>
    <row r="944" ht="22.5" customHeight="1">
      <c r="A944" s="7" t="s">
        <v>889</v>
      </c>
      <c r="B944" s="8" t="s">
        <v>1129</v>
      </c>
      <c r="C944" s="7" t="s">
        <v>30</v>
      </c>
      <c r="D944" s="7" t="s">
        <v>1141</v>
      </c>
      <c r="E944" s="7" t="s">
        <v>26</v>
      </c>
      <c r="F944" s="7" t="s">
        <v>16</v>
      </c>
    </row>
    <row r="945" ht="22.5" customHeight="1">
      <c r="A945" s="7" t="s">
        <v>889</v>
      </c>
      <c r="B945" s="8" t="s">
        <v>1129</v>
      </c>
      <c r="C945" s="7" t="s">
        <v>30</v>
      </c>
      <c r="D945" s="7" t="s">
        <v>1142</v>
      </c>
      <c r="E945" s="7" t="s">
        <v>26</v>
      </c>
      <c r="F945" s="7" t="s">
        <v>16</v>
      </c>
    </row>
    <row r="946" ht="22.5" customHeight="1">
      <c r="A946" s="7" t="s">
        <v>889</v>
      </c>
      <c r="B946" s="8" t="s">
        <v>1129</v>
      </c>
      <c r="C946" s="7" t="s">
        <v>30</v>
      </c>
      <c r="D946" s="7" t="s">
        <v>1143</v>
      </c>
      <c r="E946" s="7" t="s">
        <v>26</v>
      </c>
      <c r="F946" s="7" t="s">
        <v>16</v>
      </c>
    </row>
    <row r="947" ht="22.5" customHeight="1">
      <c r="A947" s="7" t="s">
        <v>889</v>
      </c>
      <c r="B947" s="8" t="s">
        <v>1129</v>
      </c>
      <c r="C947" s="7" t="s">
        <v>30</v>
      </c>
      <c r="D947" s="7" t="s">
        <v>1144</v>
      </c>
      <c r="E947" s="7" t="s">
        <v>26</v>
      </c>
      <c r="F947" s="7" t="s">
        <v>16</v>
      </c>
    </row>
    <row r="948" ht="22.5" customHeight="1">
      <c r="A948" s="7" t="s">
        <v>889</v>
      </c>
      <c r="B948" s="8" t="s">
        <v>1129</v>
      </c>
      <c r="C948" s="7" t="s">
        <v>30</v>
      </c>
      <c r="D948" s="7" t="s">
        <v>1145</v>
      </c>
      <c r="E948" s="7" t="s">
        <v>26</v>
      </c>
      <c r="F948" s="7" t="s">
        <v>16</v>
      </c>
    </row>
    <row r="949" ht="22.5" customHeight="1">
      <c r="A949" s="7" t="s">
        <v>889</v>
      </c>
      <c r="B949" s="8" t="s">
        <v>1129</v>
      </c>
      <c r="C949" s="7" t="s">
        <v>36</v>
      </c>
      <c r="D949" s="7" t="s">
        <v>1146</v>
      </c>
      <c r="E949" s="7" t="s">
        <v>16</v>
      </c>
      <c r="F949" s="7" t="s">
        <v>16</v>
      </c>
    </row>
    <row r="950" ht="22.5" customHeight="1">
      <c r="A950" s="7" t="s">
        <v>889</v>
      </c>
      <c r="B950" s="8" t="s">
        <v>1129</v>
      </c>
      <c r="C950" s="7" t="s">
        <v>38</v>
      </c>
      <c r="D950" s="7" t="s">
        <v>1147</v>
      </c>
      <c r="E950" s="7" t="s">
        <v>16</v>
      </c>
      <c r="F950" s="7" t="s">
        <v>16</v>
      </c>
    </row>
    <row r="951" ht="22.5" customHeight="1">
      <c r="A951" s="7" t="s">
        <v>889</v>
      </c>
      <c r="B951" s="8" t="s">
        <v>1129</v>
      </c>
      <c r="C951" s="7" t="s">
        <v>40</v>
      </c>
      <c r="D951" s="7" t="s">
        <v>1148</v>
      </c>
      <c r="E951" s="7" t="s">
        <v>16</v>
      </c>
      <c r="F951" s="7" t="s">
        <v>16</v>
      </c>
    </row>
    <row r="952" ht="22.5" customHeight="1">
      <c r="A952" s="7" t="s">
        <v>889</v>
      </c>
      <c r="B952" s="8" t="s">
        <v>1129</v>
      </c>
      <c r="C952" s="7" t="s">
        <v>43</v>
      </c>
      <c r="D952" s="7" t="s">
        <v>1149</v>
      </c>
      <c r="E952" s="7" t="s">
        <v>16</v>
      </c>
      <c r="F952" s="7" t="s">
        <v>16</v>
      </c>
    </row>
    <row r="953" ht="22.5" customHeight="1">
      <c r="A953" s="7" t="s">
        <v>67</v>
      </c>
      <c r="B953" s="8" t="s">
        <v>1150</v>
      </c>
      <c r="C953" s="7" t="s">
        <v>30</v>
      </c>
      <c r="D953" s="7" t="s">
        <v>1151</v>
      </c>
      <c r="E953" s="7" t="s">
        <v>76</v>
      </c>
      <c r="F953" s="16" t="s">
        <v>1152</v>
      </c>
    </row>
    <row r="954" ht="22.5" customHeight="1">
      <c r="A954" s="7" t="s">
        <v>67</v>
      </c>
      <c r="B954" s="8" t="s">
        <v>1153</v>
      </c>
      <c r="C954" s="7" t="s">
        <v>43</v>
      </c>
      <c r="D954" s="7" t="s">
        <v>1154</v>
      </c>
      <c r="E954" s="7" t="s">
        <v>26</v>
      </c>
      <c r="F954" s="7" t="s">
        <v>48</v>
      </c>
    </row>
    <row r="955" ht="22.5" customHeight="1">
      <c r="A955" s="7" t="s">
        <v>57</v>
      </c>
      <c r="B955" s="8" t="s">
        <v>1155</v>
      </c>
      <c r="C955" s="7" t="s">
        <v>30</v>
      </c>
      <c r="D955" s="7" t="s">
        <v>1156</v>
      </c>
      <c r="E955" s="7" t="s">
        <v>26</v>
      </c>
      <c r="F955" s="7" t="s">
        <v>48</v>
      </c>
    </row>
    <row r="956" ht="22.5" customHeight="1">
      <c r="A956" s="7" t="s">
        <v>57</v>
      </c>
      <c r="B956" s="8" t="s">
        <v>1155</v>
      </c>
      <c r="C956" s="7" t="s">
        <v>43</v>
      </c>
      <c r="D956" s="7" t="s">
        <v>1157</v>
      </c>
      <c r="E956" s="7" t="s">
        <v>26</v>
      </c>
      <c r="F956" s="7" t="s">
        <v>48</v>
      </c>
    </row>
    <row r="957" ht="22.5" customHeight="1">
      <c r="A957" s="7" t="s">
        <v>57</v>
      </c>
      <c r="B957" s="8" t="s">
        <v>1158</v>
      </c>
      <c r="C957" s="7" t="s">
        <v>30</v>
      </c>
      <c r="D957" s="7" t="s">
        <v>1159</v>
      </c>
      <c r="E957" s="7" t="s">
        <v>26</v>
      </c>
      <c r="F957" s="7" t="s">
        <v>16</v>
      </c>
    </row>
    <row r="958" ht="22.5" customHeight="1">
      <c r="A958" s="7" t="s">
        <v>57</v>
      </c>
      <c r="B958" s="8" t="s">
        <v>1158</v>
      </c>
      <c r="C958" s="7" t="s">
        <v>30</v>
      </c>
      <c r="D958" s="7" t="s">
        <v>1160</v>
      </c>
      <c r="E958" s="7" t="s">
        <v>26</v>
      </c>
      <c r="F958" s="7" t="s">
        <v>16</v>
      </c>
    </row>
    <row r="959" ht="22.5" customHeight="1">
      <c r="A959" s="7" t="s">
        <v>57</v>
      </c>
      <c r="B959" s="8" t="s">
        <v>1158</v>
      </c>
      <c r="C959" s="7" t="s">
        <v>30</v>
      </c>
      <c r="D959" s="7" t="s">
        <v>1161</v>
      </c>
      <c r="E959" s="7" t="s">
        <v>26</v>
      </c>
      <c r="F959" s="7" t="s">
        <v>18</v>
      </c>
    </row>
    <row r="960" ht="22.5" customHeight="1">
      <c r="A960" s="7" t="s">
        <v>57</v>
      </c>
      <c r="B960" s="8" t="s">
        <v>1158</v>
      </c>
      <c r="C960" s="7" t="s">
        <v>30</v>
      </c>
      <c r="D960" s="7" t="s">
        <v>1162</v>
      </c>
      <c r="E960" s="7" t="s">
        <v>26</v>
      </c>
      <c r="F960" s="7" t="s">
        <v>20</v>
      </c>
    </row>
    <row r="961" ht="22.5" customHeight="1">
      <c r="A961" s="7" t="s">
        <v>57</v>
      </c>
      <c r="B961" s="8" t="s">
        <v>1158</v>
      </c>
      <c r="C961" s="7" t="s">
        <v>30</v>
      </c>
      <c r="D961" s="7" t="s">
        <v>1163</v>
      </c>
      <c r="E961" s="7" t="s">
        <v>26</v>
      </c>
      <c r="F961" s="7" t="s">
        <v>22</v>
      </c>
    </row>
    <row r="962" ht="22.5" customHeight="1">
      <c r="A962" s="7" t="s">
        <v>57</v>
      </c>
      <c r="B962" s="8" t="s">
        <v>1158</v>
      </c>
      <c r="C962" s="7" t="s">
        <v>30</v>
      </c>
      <c r="D962" s="7" t="s">
        <v>1164</v>
      </c>
      <c r="E962" s="7" t="s">
        <v>26</v>
      </c>
      <c r="F962" s="7" t="s">
        <v>24</v>
      </c>
    </row>
    <row r="963" ht="22.5" customHeight="1">
      <c r="A963" s="7" t="s">
        <v>57</v>
      </c>
      <c r="B963" s="8" t="s">
        <v>1158</v>
      </c>
      <c r="C963" s="7" t="s">
        <v>36</v>
      </c>
      <c r="D963" s="7" t="s">
        <v>1165</v>
      </c>
      <c r="E963" s="7" t="s">
        <v>26</v>
      </c>
      <c r="F963" s="7" t="s">
        <v>16</v>
      </c>
    </row>
    <row r="964" ht="22.5" customHeight="1">
      <c r="A964" s="7" t="s">
        <v>57</v>
      </c>
      <c r="B964" s="8" t="s">
        <v>1158</v>
      </c>
      <c r="C964" s="7" t="s">
        <v>38</v>
      </c>
      <c r="D964" s="7" t="s">
        <v>1166</v>
      </c>
      <c r="E964" s="7" t="s">
        <v>26</v>
      </c>
      <c r="F964" s="7" t="s">
        <v>16</v>
      </c>
    </row>
    <row r="965" ht="22.5" customHeight="1">
      <c r="A965" s="7" t="s">
        <v>57</v>
      </c>
      <c r="B965" s="8" t="s">
        <v>1158</v>
      </c>
      <c r="C965" s="7" t="s">
        <v>40</v>
      </c>
      <c r="D965" s="7" t="s">
        <v>1167</v>
      </c>
      <c r="E965" s="7" t="s">
        <v>26</v>
      </c>
      <c r="F965" s="7" t="s">
        <v>16</v>
      </c>
    </row>
    <row r="966" ht="22.5" customHeight="1">
      <c r="A966" s="7" t="s">
        <v>57</v>
      </c>
      <c r="B966" s="8" t="s">
        <v>1158</v>
      </c>
      <c r="C966" s="7" t="s">
        <v>43</v>
      </c>
      <c r="D966" s="7" t="s">
        <v>1168</v>
      </c>
      <c r="E966" s="7" t="s">
        <v>26</v>
      </c>
      <c r="F966" s="7" t="s">
        <v>16</v>
      </c>
    </row>
    <row r="967" ht="22.5" customHeight="1">
      <c r="A967" s="7" t="s">
        <v>53</v>
      </c>
      <c r="B967" s="8" t="s">
        <v>1169</v>
      </c>
      <c r="C967" s="7" t="s">
        <v>30</v>
      </c>
      <c r="D967" s="7" t="s">
        <v>1170</v>
      </c>
      <c r="E967" s="7" t="s">
        <v>26</v>
      </c>
      <c r="F967" s="7" t="s">
        <v>16</v>
      </c>
    </row>
    <row r="968" ht="22.5" customHeight="1">
      <c r="A968" s="7" t="s">
        <v>53</v>
      </c>
      <c r="B968" s="8" t="s">
        <v>1169</v>
      </c>
      <c r="C968" s="7" t="s">
        <v>30</v>
      </c>
      <c r="D968" s="7" t="s">
        <v>1171</v>
      </c>
      <c r="E968" s="7" t="s">
        <v>26</v>
      </c>
      <c r="F968" s="7" t="s">
        <v>16</v>
      </c>
    </row>
    <row r="969" ht="22.5" customHeight="1">
      <c r="A969" s="7" t="s">
        <v>53</v>
      </c>
      <c r="B969" s="8" t="s">
        <v>1169</v>
      </c>
      <c r="C969" s="7" t="s">
        <v>30</v>
      </c>
      <c r="D969" s="7" t="s">
        <v>1172</v>
      </c>
      <c r="E969" s="7" t="s">
        <v>26</v>
      </c>
      <c r="F969" s="7" t="s">
        <v>18</v>
      </c>
    </row>
    <row r="970" ht="22.5" customHeight="1">
      <c r="A970" s="7" t="s">
        <v>53</v>
      </c>
      <c r="B970" s="8" t="s">
        <v>1169</v>
      </c>
      <c r="C970" s="7" t="s">
        <v>30</v>
      </c>
      <c r="D970" s="7" t="s">
        <v>1173</v>
      </c>
      <c r="E970" s="7" t="s">
        <v>26</v>
      </c>
      <c r="F970" s="7" t="s">
        <v>20</v>
      </c>
    </row>
    <row r="971" ht="22.5" customHeight="1">
      <c r="A971" s="7" t="s">
        <v>53</v>
      </c>
      <c r="B971" s="8" t="s">
        <v>1169</v>
      </c>
      <c r="C971" s="7" t="s">
        <v>30</v>
      </c>
      <c r="D971" s="7" t="s">
        <v>1174</v>
      </c>
      <c r="E971" s="7" t="s">
        <v>26</v>
      </c>
      <c r="F971" s="7" t="s">
        <v>22</v>
      </c>
    </row>
    <row r="972" ht="22.5" customHeight="1">
      <c r="A972" s="7" t="s">
        <v>53</v>
      </c>
      <c r="B972" s="8" t="s">
        <v>1169</v>
      </c>
      <c r="C972" s="7" t="s">
        <v>30</v>
      </c>
      <c r="D972" s="7" t="s">
        <v>1175</v>
      </c>
      <c r="E972" s="7" t="s">
        <v>26</v>
      </c>
      <c r="F972" s="7" t="s">
        <v>24</v>
      </c>
    </row>
    <row r="973" ht="22.5" customHeight="1">
      <c r="A973" s="7" t="s">
        <v>53</v>
      </c>
      <c r="B973" s="8" t="s">
        <v>1169</v>
      </c>
      <c r="C973" s="7" t="s">
        <v>36</v>
      </c>
      <c r="D973" s="7" t="s">
        <v>1176</v>
      </c>
      <c r="E973" s="7" t="s">
        <v>26</v>
      </c>
      <c r="F973" s="7" t="s">
        <v>16</v>
      </c>
    </row>
    <row r="974" ht="22.5" customHeight="1">
      <c r="A974" s="7" t="s">
        <v>53</v>
      </c>
      <c r="B974" s="8" t="s">
        <v>1169</v>
      </c>
      <c r="C974" s="7" t="s">
        <v>38</v>
      </c>
      <c r="D974" s="7" t="s">
        <v>1177</v>
      </c>
      <c r="E974" s="7" t="s">
        <v>26</v>
      </c>
      <c r="F974" s="7" t="s">
        <v>16</v>
      </c>
    </row>
    <row r="975" ht="22.5" customHeight="1">
      <c r="A975" s="7" t="s">
        <v>53</v>
      </c>
      <c r="B975" s="8" t="s">
        <v>1169</v>
      </c>
      <c r="C975" s="7" t="s">
        <v>40</v>
      </c>
      <c r="D975" s="7" t="s">
        <v>1178</v>
      </c>
      <c r="E975" s="7" t="s">
        <v>26</v>
      </c>
      <c r="F975" s="7" t="s">
        <v>16</v>
      </c>
    </row>
    <row r="976" ht="22.5" customHeight="1">
      <c r="A976" s="7" t="s">
        <v>53</v>
      </c>
      <c r="B976" s="8" t="s">
        <v>1169</v>
      </c>
      <c r="C976" s="7" t="s">
        <v>43</v>
      </c>
      <c r="D976" s="7" t="s">
        <v>1179</v>
      </c>
      <c r="E976" s="7" t="s">
        <v>26</v>
      </c>
      <c r="F976" s="7" t="s">
        <v>16</v>
      </c>
    </row>
    <row r="977" ht="22.5" customHeight="1">
      <c r="A977" s="7" t="s">
        <v>461</v>
      </c>
      <c r="B977" s="8" t="s">
        <v>1180</v>
      </c>
      <c r="C977" s="7" t="s">
        <v>14</v>
      </c>
      <c r="D977" s="7" t="s">
        <v>1181</v>
      </c>
      <c r="E977" s="7" t="s">
        <v>16</v>
      </c>
      <c r="F977" s="7" t="s">
        <v>18</v>
      </c>
    </row>
    <row r="978" ht="22.5" customHeight="1">
      <c r="A978" s="7" t="s">
        <v>226</v>
      </c>
      <c r="B978" s="8" t="s">
        <v>1182</v>
      </c>
      <c r="C978" s="7" t="s">
        <v>30</v>
      </c>
      <c r="D978" s="7" t="s">
        <v>1183</v>
      </c>
      <c r="E978" s="7" t="s">
        <v>16</v>
      </c>
      <c r="F978" s="7" t="s">
        <v>16</v>
      </c>
    </row>
    <row r="979" ht="22.5" customHeight="1">
      <c r="A979" s="7" t="s">
        <v>226</v>
      </c>
      <c r="B979" s="8" t="s">
        <v>1182</v>
      </c>
      <c r="C979" s="7" t="s">
        <v>38</v>
      </c>
      <c r="D979" s="7" t="s">
        <v>1184</v>
      </c>
      <c r="E979" s="7" t="s">
        <v>16</v>
      </c>
      <c r="F979" s="7" t="s">
        <v>16</v>
      </c>
    </row>
    <row r="980" ht="22.5" customHeight="1">
      <c r="A980" s="7" t="s">
        <v>226</v>
      </c>
      <c r="B980" s="8" t="s">
        <v>1182</v>
      </c>
      <c r="C980" s="7" t="s">
        <v>233</v>
      </c>
      <c r="D980" s="7" t="s">
        <v>1185</v>
      </c>
      <c r="E980" s="7" t="s">
        <v>16</v>
      </c>
      <c r="F980" s="7" t="s">
        <v>16</v>
      </c>
    </row>
    <row r="981" ht="22.5" customHeight="1">
      <c r="A981" s="7" t="s">
        <v>226</v>
      </c>
      <c r="B981" s="8" t="s">
        <v>1182</v>
      </c>
      <c r="C981" s="7" t="s">
        <v>40</v>
      </c>
      <c r="D981" s="7" t="s">
        <v>1186</v>
      </c>
      <c r="E981" s="7" t="s">
        <v>16</v>
      </c>
      <c r="F981" s="7" t="s">
        <v>16</v>
      </c>
    </row>
    <row r="982" ht="22.5" customHeight="1">
      <c r="A982" s="7" t="s">
        <v>226</v>
      </c>
      <c r="B982" s="8" t="s">
        <v>1182</v>
      </c>
      <c r="C982" s="7" t="s">
        <v>236</v>
      </c>
      <c r="D982" s="7" t="s">
        <v>1187</v>
      </c>
      <c r="E982" s="7" t="s">
        <v>16</v>
      </c>
      <c r="F982" s="7" t="s">
        <v>16</v>
      </c>
    </row>
    <row r="983" ht="22.5" customHeight="1">
      <c r="A983" s="7" t="s">
        <v>226</v>
      </c>
      <c r="B983" s="8" t="s">
        <v>1182</v>
      </c>
      <c r="C983" s="7" t="s">
        <v>43</v>
      </c>
      <c r="D983" s="7" t="s">
        <v>1188</v>
      </c>
      <c r="E983" s="7" t="s">
        <v>16</v>
      </c>
      <c r="F983" s="7" t="s">
        <v>16</v>
      </c>
    </row>
    <row r="984" ht="22.5" customHeight="1">
      <c r="A984" s="7" t="s">
        <v>226</v>
      </c>
      <c r="B984" s="8" t="s">
        <v>1182</v>
      </c>
      <c r="C984" s="7" t="s">
        <v>239</v>
      </c>
      <c r="D984" s="7" t="s">
        <v>1189</v>
      </c>
      <c r="E984" s="7" t="s">
        <v>16</v>
      </c>
      <c r="F984" s="7" t="s">
        <v>16</v>
      </c>
    </row>
    <row r="985" ht="22.5" customHeight="1">
      <c r="A985" s="7" t="s">
        <v>200</v>
      </c>
      <c r="B985" s="8" t="s">
        <v>1190</v>
      </c>
      <c r="C985" s="7" t="s">
        <v>14</v>
      </c>
      <c r="D985" s="7" t="s">
        <v>1191</v>
      </c>
      <c r="E985" s="7" t="s">
        <v>16</v>
      </c>
      <c r="F985" s="7" t="s">
        <v>48</v>
      </c>
    </row>
    <row r="986" ht="22.5" customHeight="1">
      <c r="A986" s="7" t="s">
        <v>200</v>
      </c>
      <c r="B986" s="8" t="s">
        <v>1190</v>
      </c>
      <c r="C986" s="7" t="s">
        <v>14</v>
      </c>
      <c r="D986" s="7" t="s">
        <v>1192</v>
      </c>
      <c r="E986" s="7" t="s">
        <v>16</v>
      </c>
      <c r="F986" s="7" t="s">
        <v>48</v>
      </c>
    </row>
    <row r="987" ht="22.5" customHeight="1">
      <c r="A987" s="7" t="s">
        <v>200</v>
      </c>
      <c r="B987" s="8" t="s">
        <v>1190</v>
      </c>
      <c r="C987" s="7" t="s">
        <v>30</v>
      </c>
      <c r="D987" s="7" t="s">
        <v>1193</v>
      </c>
      <c r="E987" s="7" t="s">
        <v>26</v>
      </c>
      <c r="F987" s="7" t="s">
        <v>48</v>
      </c>
    </row>
    <row r="988" ht="22.5" customHeight="1">
      <c r="A988" s="7" t="s">
        <v>200</v>
      </c>
      <c r="B988" s="8" t="s">
        <v>1190</v>
      </c>
      <c r="C988" s="7" t="s">
        <v>36</v>
      </c>
      <c r="D988" s="7" t="s">
        <v>1194</v>
      </c>
      <c r="E988" s="7" t="s">
        <v>26</v>
      </c>
      <c r="F988" s="7" t="s">
        <v>48</v>
      </c>
    </row>
    <row r="989" ht="22.5" customHeight="1">
      <c r="A989" s="7" t="s">
        <v>200</v>
      </c>
      <c r="B989" s="8" t="s">
        <v>1190</v>
      </c>
      <c r="C989" s="7" t="s">
        <v>38</v>
      </c>
      <c r="D989" s="7" t="s">
        <v>1195</v>
      </c>
      <c r="E989" s="7" t="s">
        <v>26</v>
      </c>
      <c r="F989" s="7" t="s">
        <v>48</v>
      </c>
    </row>
    <row r="990" ht="22.5" customHeight="1">
      <c r="A990" s="7" t="s">
        <v>200</v>
      </c>
      <c r="B990" s="8" t="s">
        <v>1190</v>
      </c>
      <c r="C990" s="7" t="s">
        <v>40</v>
      </c>
      <c r="D990" s="7" t="s">
        <v>1196</v>
      </c>
      <c r="E990" s="7" t="s">
        <v>26</v>
      </c>
      <c r="F990" s="7" t="s">
        <v>48</v>
      </c>
    </row>
    <row r="991" ht="22.5" customHeight="1">
      <c r="A991" s="7" t="s">
        <v>200</v>
      </c>
      <c r="B991" s="8" t="s">
        <v>1190</v>
      </c>
      <c r="C991" s="7" t="s">
        <v>43</v>
      </c>
      <c r="D991" s="7" t="s">
        <v>1197</v>
      </c>
      <c r="E991" s="7" t="s">
        <v>76</v>
      </c>
      <c r="F991" s="7" t="s">
        <v>1198</v>
      </c>
    </row>
    <row r="992" ht="22.5" customHeight="1">
      <c r="A992" s="7" t="s">
        <v>50</v>
      </c>
      <c r="B992" s="8" t="s">
        <v>1199</v>
      </c>
      <c r="C992" s="7" t="s">
        <v>14</v>
      </c>
      <c r="D992" s="7" t="s">
        <v>1200</v>
      </c>
      <c r="E992" s="7" t="s">
        <v>16</v>
      </c>
      <c r="F992" s="7" t="s">
        <v>48</v>
      </c>
    </row>
    <row r="993" ht="22.5" customHeight="1">
      <c r="A993" s="7" t="s">
        <v>50</v>
      </c>
      <c r="B993" s="8" t="s">
        <v>1199</v>
      </c>
      <c r="C993" s="7" t="s">
        <v>14</v>
      </c>
      <c r="D993" s="7" t="s">
        <v>1201</v>
      </c>
      <c r="E993" s="7" t="s">
        <v>76</v>
      </c>
      <c r="F993" s="7" t="s">
        <v>1202</v>
      </c>
    </row>
    <row r="994" ht="22.5" customHeight="1">
      <c r="A994" s="7" t="s">
        <v>50</v>
      </c>
      <c r="B994" s="8" t="s">
        <v>1199</v>
      </c>
      <c r="C994" s="7" t="s">
        <v>14</v>
      </c>
      <c r="D994" s="7" t="s">
        <v>1203</v>
      </c>
      <c r="E994" s="7" t="s">
        <v>16</v>
      </c>
      <c r="F994" s="7" t="s">
        <v>48</v>
      </c>
    </row>
    <row r="995" ht="22.5" customHeight="1">
      <c r="A995" s="7" t="s">
        <v>50</v>
      </c>
      <c r="B995" s="8" t="s">
        <v>1199</v>
      </c>
      <c r="C995" s="7" t="s">
        <v>43</v>
      </c>
      <c r="D995" s="7" t="s">
        <v>1204</v>
      </c>
      <c r="E995" s="7" t="s">
        <v>26</v>
      </c>
      <c r="F995" s="7" t="s">
        <v>48</v>
      </c>
    </row>
    <row r="996" ht="22.5" customHeight="1">
      <c r="A996" s="7" t="s">
        <v>106</v>
      </c>
      <c r="B996" s="8" t="s">
        <v>1205</v>
      </c>
      <c r="C996" s="7" t="s">
        <v>14</v>
      </c>
      <c r="D996" s="7" t="s">
        <v>1206</v>
      </c>
      <c r="E996" s="7" t="s">
        <v>26</v>
      </c>
      <c r="F996" s="7" t="s">
        <v>48</v>
      </c>
    </row>
    <row r="997" ht="22.5" customHeight="1">
      <c r="A997" s="7" t="s">
        <v>106</v>
      </c>
      <c r="B997" s="8" t="s">
        <v>1205</v>
      </c>
      <c r="C997" s="7" t="s">
        <v>43</v>
      </c>
      <c r="D997" s="7" t="s">
        <v>1207</v>
      </c>
      <c r="E997" s="7" t="s">
        <v>26</v>
      </c>
      <c r="F997" s="7" t="s">
        <v>48</v>
      </c>
    </row>
    <row r="998" ht="22.5" customHeight="1">
      <c r="A998" s="7" t="s">
        <v>106</v>
      </c>
      <c r="B998" s="8" t="s">
        <v>1205</v>
      </c>
      <c r="C998" s="7" t="s">
        <v>103</v>
      </c>
      <c r="D998" s="7" t="s">
        <v>1208</v>
      </c>
      <c r="E998" s="7" t="s">
        <v>105</v>
      </c>
      <c r="F998" s="7" t="s">
        <v>48</v>
      </c>
    </row>
    <row r="999" ht="22.5" customHeight="1">
      <c r="A999" s="7" t="s">
        <v>159</v>
      </c>
      <c r="B999" s="8" t="s">
        <v>1209</v>
      </c>
      <c r="C999" s="7" t="s">
        <v>30</v>
      </c>
      <c r="D999" s="7" t="s">
        <v>1210</v>
      </c>
      <c r="E999" s="7" t="s">
        <v>26</v>
      </c>
      <c r="F999" s="7" t="s">
        <v>16</v>
      </c>
    </row>
    <row r="1000" ht="22.5" customHeight="1">
      <c r="A1000" s="7" t="s">
        <v>159</v>
      </c>
      <c r="B1000" s="8" t="s">
        <v>1209</v>
      </c>
      <c r="C1000" s="7" t="s">
        <v>30</v>
      </c>
      <c r="D1000" s="7" t="s">
        <v>1211</v>
      </c>
      <c r="E1000" s="7" t="s">
        <v>26</v>
      </c>
      <c r="F1000" s="7" t="s">
        <v>48</v>
      </c>
    </row>
    <row r="1001" ht="22.5" customHeight="1">
      <c r="A1001" s="7" t="s">
        <v>159</v>
      </c>
      <c r="B1001" s="8" t="s">
        <v>1209</v>
      </c>
      <c r="C1001" s="7" t="s">
        <v>30</v>
      </c>
      <c r="D1001" s="7" t="s">
        <v>1212</v>
      </c>
      <c r="E1001" s="7" t="s">
        <v>26</v>
      </c>
      <c r="F1001" s="7" t="s">
        <v>18</v>
      </c>
    </row>
    <row r="1002" ht="22.5" customHeight="1">
      <c r="A1002" s="7" t="s">
        <v>159</v>
      </c>
      <c r="B1002" s="8" t="s">
        <v>1209</v>
      </c>
      <c r="C1002" s="7" t="s">
        <v>30</v>
      </c>
      <c r="D1002" s="7" t="s">
        <v>1213</v>
      </c>
      <c r="E1002" s="7" t="s">
        <v>26</v>
      </c>
      <c r="F1002" s="7" t="s">
        <v>20</v>
      </c>
    </row>
    <row r="1003" ht="22.5" customHeight="1">
      <c r="A1003" s="7" t="s">
        <v>159</v>
      </c>
      <c r="B1003" s="8" t="s">
        <v>1209</v>
      </c>
      <c r="C1003" s="7" t="s">
        <v>30</v>
      </c>
      <c r="D1003" s="7" t="s">
        <v>1214</v>
      </c>
      <c r="E1003" s="7" t="s">
        <v>26</v>
      </c>
      <c r="F1003" s="7" t="s">
        <v>22</v>
      </c>
    </row>
    <row r="1004" ht="22.5" customHeight="1">
      <c r="A1004" s="7" t="s">
        <v>159</v>
      </c>
      <c r="B1004" s="8" t="s">
        <v>1209</v>
      </c>
      <c r="C1004" s="7" t="s">
        <v>30</v>
      </c>
      <c r="D1004" s="7" t="s">
        <v>1215</v>
      </c>
      <c r="E1004" s="7" t="s">
        <v>26</v>
      </c>
      <c r="F1004" s="7" t="s">
        <v>24</v>
      </c>
    </row>
    <row r="1005" ht="22.5" customHeight="1">
      <c r="A1005" s="7" t="s">
        <v>159</v>
      </c>
      <c r="B1005" s="8" t="s">
        <v>1209</v>
      </c>
      <c r="C1005" s="7" t="s">
        <v>43</v>
      </c>
      <c r="D1005" s="7" t="s">
        <v>1216</v>
      </c>
      <c r="E1005" s="7" t="s">
        <v>26</v>
      </c>
      <c r="F1005" s="7" t="s">
        <v>48</v>
      </c>
    </row>
    <row r="1006" ht="22.5" customHeight="1">
      <c r="A1006" s="7" t="s">
        <v>159</v>
      </c>
      <c r="B1006" s="8" t="s">
        <v>1209</v>
      </c>
      <c r="C1006" s="7" t="s">
        <v>43</v>
      </c>
      <c r="D1006" s="7" t="s">
        <v>1217</v>
      </c>
      <c r="E1006" s="7" t="s">
        <v>26</v>
      </c>
      <c r="F1006" s="7" t="s">
        <v>48</v>
      </c>
    </row>
    <row r="1007" ht="22.5" customHeight="1">
      <c r="A1007" s="7" t="s">
        <v>159</v>
      </c>
      <c r="B1007" s="8" t="s">
        <v>1209</v>
      </c>
      <c r="C1007" s="7" t="s">
        <v>103</v>
      </c>
      <c r="D1007" s="7" t="s">
        <v>1218</v>
      </c>
      <c r="E1007" s="7" t="s">
        <v>105</v>
      </c>
      <c r="F1007" s="7" t="s">
        <v>48</v>
      </c>
    </row>
    <row r="1008" ht="22.5" customHeight="1">
      <c r="A1008" s="7" t="s">
        <v>152</v>
      </c>
      <c r="B1008" s="8" t="s">
        <v>1219</v>
      </c>
      <c r="C1008" s="7" t="s">
        <v>30</v>
      </c>
      <c r="D1008" s="7" t="s">
        <v>1220</v>
      </c>
      <c r="E1008" s="7" t="s">
        <v>26</v>
      </c>
      <c r="F1008" s="7" t="s">
        <v>48</v>
      </c>
    </row>
    <row r="1009" ht="22.5" customHeight="1">
      <c r="A1009" s="7" t="s">
        <v>152</v>
      </c>
      <c r="B1009" s="8" t="s">
        <v>1219</v>
      </c>
      <c r="C1009" s="7" t="s">
        <v>30</v>
      </c>
      <c r="D1009" s="7" t="s">
        <v>1221</v>
      </c>
      <c r="E1009" s="7" t="s">
        <v>76</v>
      </c>
      <c r="F1009" s="16" t="s">
        <v>1222</v>
      </c>
    </row>
    <row r="1010" ht="22.5" customHeight="1">
      <c r="A1010" s="7" t="s">
        <v>163</v>
      </c>
      <c r="B1010" s="8" t="s">
        <v>1223</v>
      </c>
      <c r="C1010" s="7" t="s">
        <v>14</v>
      </c>
      <c r="D1010" s="7" t="s">
        <v>1224</v>
      </c>
      <c r="E1010" s="7" t="s">
        <v>26</v>
      </c>
      <c r="F1010" s="7" t="s">
        <v>16</v>
      </c>
    </row>
    <row r="1011" ht="22.5" customHeight="1">
      <c r="A1011" s="7" t="s">
        <v>163</v>
      </c>
      <c r="B1011" s="8" t="s">
        <v>1223</v>
      </c>
      <c r="C1011" s="7" t="s">
        <v>30</v>
      </c>
      <c r="D1011" s="7" t="s">
        <v>1225</v>
      </c>
      <c r="E1011" s="7" t="s">
        <v>16</v>
      </c>
      <c r="F1011" s="7" t="s">
        <v>16</v>
      </c>
    </row>
    <row r="1012" ht="22.5" customHeight="1">
      <c r="A1012" s="9" t="s">
        <v>163</v>
      </c>
      <c r="B1012" s="10" t="s">
        <v>1223</v>
      </c>
      <c r="C1012" s="11" t="s">
        <v>30</v>
      </c>
      <c r="D1012" s="11" t="s">
        <v>1226</v>
      </c>
      <c r="E1012" s="11" t="s">
        <v>16</v>
      </c>
      <c r="F1012" s="7" t="s">
        <v>18</v>
      </c>
    </row>
    <row r="1013" ht="22.5" customHeight="1">
      <c r="A1013" s="7" t="s">
        <v>163</v>
      </c>
      <c r="B1013" s="8" t="s">
        <v>1223</v>
      </c>
      <c r="C1013" s="7" t="s">
        <v>30</v>
      </c>
      <c r="D1013" s="7" t="s">
        <v>1227</v>
      </c>
      <c r="E1013" s="7" t="s">
        <v>16</v>
      </c>
      <c r="F1013" s="7" t="s">
        <v>20</v>
      </c>
    </row>
    <row r="1014" ht="22.5" customHeight="1">
      <c r="A1014" s="7" t="s">
        <v>163</v>
      </c>
      <c r="B1014" s="8" t="s">
        <v>1223</v>
      </c>
      <c r="C1014" s="7" t="s">
        <v>30</v>
      </c>
      <c r="D1014" s="7" t="s">
        <v>1228</v>
      </c>
      <c r="E1014" s="7" t="s">
        <v>16</v>
      </c>
      <c r="F1014" s="7" t="s">
        <v>22</v>
      </c>
    </row>
    <row r="1015" ht="22.5" customHeight="1">
      <c r="A1015" s="7" t="s">
        <v>163</v>
      </c>
      <c r="B1015" s="8" t="s">
        <v>1223</v>
      </c>
      <c r="C1015" s="7" t="s">
        <v>30</v>
      </c>
      <c r="D1015" s="7" t="s">
        <v>1229</v>
      </c>
      <c r="E1015" s="7" t="s">
        <v>16</v>
      </c>
      <c r="F1015" s="7" t="s">
        <v>24</v>
      </c>
    </row>
    <row r="1016" ht="22.5" customHeight="1">
      <c r="A1016" s="7" t="s">
        <v>163</v>
      </c>
      <c r="B1016" s="8" t="s">
        <v>1223</v>
      </c>
      <c r="C1016" s="7" t="s">
        <v>30</v>
      </c>
      <c r="D1016" s="7" t="s">
        <v>1230</v>
      </c>
      <c r="E1016" s="7" t="s">
        <v>16</v>
      </c>
      <c r="F1016" s="7" t="s">
        <v>70</v>
      </c>
    </row>
    <row r="1017" ht="22.5" customHeight="1">
      <c r="A1017" s="7" t="s">
        <v>163</v>
      </c>
      <c r="B1017" s="8" t="s">
        <v>1223</v>
      </c>
      <c r="C1017" s="7" t="s">
        <v>30</v>
      </c>
      <c r="D1017" s="7" t="s">
        <v>1231</v>
      </c>
      <c r="E1017" s="7" t="s">
        <v>26</v>
      </c>
      <c r="F1017" s="7" t="s">
        <v>16</v>
      </c>
    </row>
    <row r="1018" ht="22.5" customHeight="1">
      <c r="A1018" s="7" t="s">
        <v>163</v>
      </c>
      <c r="B1018" s="8" t="s">
        <v>1223</v>
      </c>
      <c r="C1018" s="7" t="s">
        <v>30</v>
      </c>
      <c r="D1018" s="7" t="s">
        <v>1232</v>
      </c>
      <c r="E1018" s="7" t="s">
        <v>26</v>
      </c>
      <c r="F1018" s="7" t="s">
        <v>16</v>
      </c>
    </row>
    <row r="1019" ht="22.5" customHeight="1">
      <c r="A1019" s="7" t="s">
        <v>163</v>
      </c>
      <c r="B1019" s="8" t="s">
        <v>1223</v>
      </c>
      <c r="C1019" s="7" t="s">
        <v>30</v>
      </c>
      <c r="D1019" s="7" t="s">
        <v>1233</v>
      </c>
      <c r="E1019" s="7" t="s">
        <v>26</v>
      </c>
      <c r="F1019" s="7" t="s">
        <v>16</v>
      </c>
    </row>
    <row r="1020" ht="22.5" customHeight="1">
      <c r="A1020" s="7" t="s">
        <v>163</v>
      </c>
      <c r="B1020" s="8" t="s">
        <v>1223</v>
      </c>
      <c r="C1020" s="7" t="s">
        <v>30</v>
      </c>
      <c r="D1020" s="7" t="s">
        <v>1234</v>
      </c>
      <c r="E1020" s="7" t="s">
        <v>26</v>
      </c>
      <c r="F1020" s="7" t="s">
        <v>16</v>
      </c>
    </row>
    <row r="1021" ht="22.5" customHeight="1">
      <c r="A1021" s="7" t="s">
        <v>163</v>
      </c>
      <c r="B1021" s="8" t="s">
        <v>1223</v>
      </c>
      <c r="C1021" s="7" t="s">
        <v>30</v>
      </c>
      <c r="D1021" s="7" t="s">
        <v>1235</v>
      </c>
      <c r="E1021" s="7" t="s">
        <v>26</v>
      </c>
      <c r="F1021" s="7" t="s">
        <v>16</v>
      </c>
    </row>
    <row r="1022" ht="22.5" customHeight="1">
      <c r="A1022" s="7" t="s">
        <v>163</v>
      </c>
      <c r="B1022" s="8" t="s">
        <v>1223</v>
      </c>
      <c r="C1022" s="7" t="s">
        <v>30</v>
      </c>
      <c r="D1022" s="7" t="s">
        <v>1236</v>
      </c>
      <c r="E1022" s="7" t="s">
        <v>26</v>
      </c>
      <c r="F1022" s="7" t="s">
        <v>16</v>
      </c>
    </row>
    <row r="1023" ht="22.5" customHeight="1">
      <c r="A1023" s="7" t="s">
        <v>163</v>
      </c>
      <c r="B1023" s="8" t="s">
        <v>1223</v>
      </c>
      <c r="C1023" s="7" t="s">
        <v>30</v>
      </c>
      <c r="D1023" s="7" t="s">
        <v>1237</v>
      </c>
      <c r="E1023" s="7" t="s">
        <v>26</v>
      </c>
      <c r="F1023" s="7" t="s">
        <v>16</v>
      </c>
    </row>
    <row r="1024" ht="22.5" customHeight="1">
      <c r="A1024" s="7" t="s">
        <v>163</v>
      </c>
      <c r="B1024" s="8" t="s">
        <v>1223</v>
      </c>
      <c r="C1024" s="7" t="s">
        <v>30</v>
      </c>
      <c r="D1024" s="7" t="s">
        <v>1238</v>
      </c>
      <c r="E1024" s="7" t="s">
        <v>26</v>
      </c>
      <c r="F1024" s="7" t="s">
        <v>16</v>
      </c>
    </row>
    <row r="1025" ht="22.5" customHeight="1">
      <c r="A1025" s="7" t="s">
        <v>163</v>
      </c>
      <c r="B1025" s="8" t="s">
        <v>1223</v>
      </c>
      <c r="C1025" s="7" t="s">
        <v>30</v>
      </c>
      <c r="D1025" s="7" t="s">
        <v>1239</v>
      </c>
      <c r="E1025" s="7" t="s">
        <v>26</v>
      </c>
      <c r="F1025" s="7" t="s">
        <v>16</v>
      </c>
    </row>
    <row r="1026" ht="22.5" customHeight="1">
      <c r="A1026" s="7" t="s">
        <v>163</v>
      </c>
      <c r="B1026" s="8" t="s">
        <v>1223</v>
      </c>
      <c r="C1026" s="7" t="s">
        <v>30</v>
      </c>
      <c r="D1026" s="7" t="s">
        <v>1240</v>
      </c>
      <c r="E1026" s="7" t="s">
        <v>26</v>
      </c>
      <c r="F1026" s="7" t="s">
        <v>16</v>
      </c>
    </row>
    <row r="1027" ht="22.5" customHeight="1">
      <c r="A1027" s="7" t="s">
        <v>163</v>
      </c>
      <c r="B1027" s="8" t="s">
        <v>1223</v>
      </c>
      <c r="C1027" s="7" t="s">
        <v>36</v>
      </c>
      <c r="D1027" s="7" t="s">
        <v>1241</v>
      </c>
      <c r="E1027" s="7" t="s">
        <v>16</v>
      </c>
      <c r="F1027" s="7" t="s">
        <v>16</v>
      </c>
    </row>
    <row r="1028" ht="22.5" customHeight="1">
      <c r="A1028" s="7" t="s">
        <v>163</v>
      </c>
      <c r="B1028" s="8" t="s">
        <v>1223</v>
      </c>
      <c r="C1028" s="7" t="s">
        <v>38</v>
      </c>
      <c r="D1028" s="7" t="s">
        <v>1242</v>
      </c>
      <c r="E1028" s="7" t="s">
        <v>16</v>
      </c>
      <c r="F1028" s="7" t="s">
        <v>16</v>
      </c>
    </row>
    <row r="1029" ht="22.5" customHeight="1">
      <c r="A1029" s="7" t="s">
        <v>163</v>
      </c>
      <c r="B1029" s="8" t="s">
        <v>1223</v>
      </c>
      <c r="C1029" s="7" t="s">
        <v>40</v>
      </c>
      <c r="D1029" s="7" t="s">
        <v>1243</v>
      </c>
      <c r="E1029" s="7" t="s">
        <v>16</v>
      </c>
      <c r="F1029" s="7" t="s">
        <v>16</v>
      </c>
    </row>
    <row r="1030" ht="22.5" customHeight="1">
      <c r="A1030" s="7" t="s">
        <v>163</v>
      </c>
      <c r="B1030" s="8" t="s">
        <v>1223</v>
      </c>
      <c r="C1030" s="7" t="s">
        <v>43</v>
      </c>
      <c r="D1030" s="7" t="s">
        <v>1244</v>
      </c>
      <c r="E1030" s="7" t="s">
        <v>16</v>
      </c>
      <c r="F1030" s="7" t="s">
        <v>16</v>
      </c>
    </row>
    <row r="1031" ht="22.5" customHeight="1">
      <c r="A1031" s="7" t="s">
        <v>163</v>
      </c>
      <c r="B1031" s="8" t="s">
        <v>1223</v>
      </c>
      <c r="C1031" s="7" t="s">
        <v>43</v>
      </c>
      <c r="D1031" s="7" t="s">
        <v>1245</v>
      </c>
      <c r="E1031" s="7" t="s">
        <v>26</v>
      </c>
      <c r="F1031" s="7" t="s">
        <v>16</v>
      </c>
    </row>
    <row r="1032" ht="22.5" customHeight="1">
      <c r="A1032" s="7" t="s">
        <v>163</v>
      </c>
      <c r="B1032" s="8" t="s">
        <v>1223</v>
      </c>
      <c r="C1032" s="7" t="s">
        <v>43</v>
      </c>
      <c r="D1032" s="7" t="s">
        <v>1246</v>
      </c>
      <c r="E1032" s="7" t="s">
        <v>105</v>
      </c>
      <c r="F1032" s="7" t="s">
        <v>16</v>
      </c>
    </row>
    <row r="1033" ht="22.5" customHeight="1">
      <c r="A1033" s="7" t="s">
        <v>152</v>
      </c>
      <c r="B1033" s="8" t="s">
        <v>1247</v>
      </c>
      <c r="C1033" s="7" t="s">
        <v>30</v>
      </c>
      <c r="D1033" s="7" t="s">
        <v>1248</v>
      </c>
      <c r="E1033" s="7" t="s">
        <v>155</v>
      </c>
      <c r="F1033" s="7" t="s">
        <v>16</v>
      </c>
    </row>
    <row r="1034" ht="22.5" customHeight="1">
      <c r="A1034" s="7" t="s">
        <v>152</v>
      </c>
      <c r="B1034" s="8" t="s">
        <v>1247</v>
      </c>
      <c r="C1034" s="7" t="s">
        <v>30</v>
      </c>
      <c r="D1034" s="7" t="s">
        <v>1249</v>
      </c>
      <c r="E1034" s="7" t="s">
        <v>155</v>
      </c>
      <c r="F1034" s="7" t="s">
        <v>18</v>
      </c>
    </row>
    <row r="1035" ht="22.5" customHeight="1">
      <c r="A1035" s="7" t="s">
        <v>152</v>
      </c>
      <c r="B1035" s="8" t="s">
        <v>1247</v>
      </c>
      <c r="C1035" s="7" t="s">
        <v>30</v>
      </c>
      <c r="D1035" s="7" t="s">
        <v>1250</v>
      </c>
      <c r="E1035" s="7" t="s">
        <v>155</v>
      </c>
      <c r="F1035" s="7" t="s">
        <v>20</v>
      </c>
    </row>
    <row r="1036" ht="22.5" customHeight="1">
      <c r="A1036" s="7" t="s">
        <v>152</v>
      </c>
      <c r="B1036" s="8" t="s">
        <v>1247</v>
      </c>
      <c r="C1036" s="7" t="s">
        <v>30</v>
      </c>
      <c r="D1036" s="7" t="s">
        <v>1251</v>
      </c>
      <c r="E1036" s="7" t="s">
        <v>155</v>
      </c>
      <c r="F1036" s="7" t="s">
        <v>22</v>
      </c>
    </row>
    <row r="1037" ht="22.5" customHeight="1">
      <c r="A1037" s="7" t="s">
        <v>152</v>
      </c>
      <c r="B1037" s="8" t="s">
        <v>1247</v>
      </c>
      <c r="C1037" s="7" t="s">
        <v>30</v>
      </c>
      <c r="D1037" s="7" t="s">
        <v>1252</v>
      </c>
      <c r="E1037" s="7" t="s">
        <v>155</v>
      </c>
      <c r="F1037" s="7" t="s">
        <v>24</v>
      </c>
    </row>
    <row r="1038" ht="22.5" customHeight="1">
      <c r="A1038" s="7" t="s">
        <v>152</v>
      </c>
      <c r="B1038" s="8" t="s">
        <v>1247</v>
      </c>
      <c r="C1038" s="7" t="s">
        <v>36</v>
      </c>
      <c r="D1038" s="7" t="s">
        <v>1253</v>
      </c>
      <c r="E1038" s="7" t="s">
        <v>155</v>
      </c>
      <c r="F1038" s="7" t="s">
        <v>16</v>
      </c>
    </row>
    <row r="1039" ht="22.5" customHeight="1">
      <c r="A1039" s="7" t="s">
        <v>152</v>
      </c>
      <c r="B1039" s="8" t="s">
        <v>1247</v>
      </c>
      <c r="C1039" s="7" t="s">
        <v>38</v>
      </c>
      <c r="D1039" s="7" t="s">
        <v>1254</v>
      </c>
      <c r="E1039" s="7" t="s">
        <v>155</v>
      </c>
      <c r="F1039" s="7" t="s">
        <v>16</v>
      </c>
    </row>
    <row r="1040" ht="22.5" customHeight="1">
      <c r="A1040" s="7" t="s">
        <v>152</v>
      </c>
      <c r="B1040" s="8" t="s">
        <v>1247</v>
      </c>
      <c r="C1040" s="7" t="s">
        <v>40</v>
      </c>
      <c r="D1040" s="7" t="s">
        <v>1255</v>
      </c>
      <c r="E1040" s="7" t="s">
        <v>155</v>
      </c>
      <c r="F1040" s="7" t="s">
        <v>16</v>
      </c>
    </row>
    <row r="1041" ht="22.5" customHeight="1">
      <c r="A1041" s="7" t="s">
        <v>152</v>
      </c>
      <c r="B1041" s="8" t="s">
        <v>1247</v>
      </c>
      <c r="C1041" s="7" t="s">
        <v>43</v>
      </c>
      <c r="D1041" s="7" t="s">
        <v>1256</v>
      </c>
      <c r="E1041" s="7" t="s">
        <v>155</v>
      </c>
      <c r="F1041" s="7" t="s">
        <v>16</v>
      </c>
    </row>
    <row r="1042" ht="22.5" customHeight="1">
      <c r="A1042" s="7" t="s">
        <v>200</v>
      </c>
      <c r="B1042" s="8" t="s">
        <v>1257</v>
      </c>
      <c r="C1042" s="7" t="s">
        <v>14</v>
      </c>
      <c r="D1042" s="7" t="s">
        <v>1258</v>
      </c>
      <c r="E1042" s="7" t="s">
        <v>26</v>
      </c>
      <c r="F1042" s="7" t="s">
        <v>16</v>
      </c>
    </row>
    <row r="1043" ht="22.5" customHeight="1">
      <c r="A1043" s="7" t="s">
        <v>200</v>
      </c>
      <c r="B1043" s="8" t="s">
        <v>1257</v>
      </c>
      <c r="C1043" s="7" t="s">
        <v>30</v>
      </c>
      <c r="D1043" s="7" t="s">
        <v>1259</v>
      </c>
      <c r="E1043" s="7" t="s">
        <v>16</v>
      </c>
      <c r="F1043" s="7" t="s">
        <v>16</v>
      </c>
    </row>
    <row r="1044" ht="22.5" customHeight="1">
      <c r="A1044" s="7" t="s">
        <v>200</v>
      </c>
      <c r="B1044" s="8" t="s">
        <v>1257</v>
      </c>
      <c r="C1044" s="7" t="s">
        <v>30</v>
      </c>
      <c r="D1044" s="7" t="s">
        <v>1260</v>
      </c>
      <c r="E1044" s="7" t="s">
        <v>16</v>
      </c>
      <c r="F1044" s="7" t="s">
        <v>16</v>
      </c>
    </row>
    <row r="1045" ht="22.5" customHeight="1">
      <c r="A1045" s="7" t="s">
        <v>200</v>
      </c>
      <c r="B1045" s="8" t="s">
        <v>1257</v>
      </c>
      <c r="C1045" s="7" t="s">
        <v>30</v>
      </c>
      <c r="D1045" s="7" t="s">
        <v>1261</v>
      </c>
      <c r="E1045" s="7" t="s">
        <v>26</v>
      </c>
      <c r="F1045" s="7" t="s">
        <v>16</v>
      </c>
    </row>
    <row r="1046" ht="22.5" customHeight="1">
      <c r="A1046" s="7" t="s">
        <v>67</v>
      </c>
      <c r="B1046" s="8" t="s">
        <v>1262</v>
      </c>
      <c r="C1046" s="7" t="s">
        <v>14</v>
      </c>
      <c r="D1046" s="7" t="s">
        <v>1263</v>
      </c>
      <c r="E1046" s="7" t="s">
        <v>105</v>
      </c>
      <c r="F1046" s="7" t="s">
        <v>70</v>
      </c>
    </row>
    <row r="1047" ht="22.5" customHeight="1">
      <c r="A1047" s="7" t="s">
        <v>67</v>
      </c>
      <c r="B1047" s="8" t="s">
        <v>1262</v>
      </c>
      <c r="C1047" s="7" t="s">
        <v>30</v>
      </c>
      <c r="D1047" s="7" t="s">
        <v>1264</v>
      </c>
      <c r="E1047" s="7" t="s">
        <v>16</v>
      </c>
      <c r="F1047" s="7" t="s">
        <v>18</v>
      </c>
    </row>
    <row r="1048" ht="22.5" customHeight="1">
      <c r="A1048" s="7" t="s">
        <v>67</v>
      </c>
      <c r="B1048" s="8" t="s">
        <v>1262</v>
      </c>
      <c r="C1048" s="7" t="s">
        <v>30</v>
      </c>
      <c r="D1048" s="7" t="s">
        <v>1265</v>
      </c>
      <c r="E1048" s="7" t="s">
        <v>16</v>
      </c>
      <c r="F1048" s="7" t="s">
        <v>20</v>
      </c>
    </row>
    <row r="1049" ht="22.5" customHeight="1">
      <c r="A1049" s="7" t="s">
        <v>67</v>
      </c>
      <c r="B1049" s="8" t="s">
        <v>1262</v>
      </c>
      <c r="C1049" s="7" t="s">
        <v>30</v>
      </c>
      <c r="D1049" s="7" t="s">
        <v>1266</v>
      </c>
      <c r="E1049" s="7" t="s">
        <v>16</v>
      </c>
      <c r="F1049" s="7" t="s">
        <v>22</v>
      </c>
    </row>
    <row r="1050" ht="22.5" customHeight="1">
      <c r="A1050" s="7" t="s">
        <v>67</v>
      </c>
      <c r="B1050" s="8" t="s">
        <v>1262</v>
      </c>
      <c r="C1050" s="7" t="s">
        <v>30</v>
      </c>
      <c r="D1050" s="7" t="s">
        <v>1267</v>
      </c>
      <c r="E1050" s="7" t="s">
        <v>16</v>
      </c>
      <c r="F1050" s="7" t="s">
        <v>24</v>
      </c>
    </row>
    <row r="1051" ht="22.5" customHeight="1">
      <c r="A1051" s="7" t="s">
        <v>67</v>
      </c>
      <c r="B1051" s="8" t="s">
        <v>1262</v>
      </c>
      <c r="C1051" s="7" t="s">
        <v>30</v>
      </c>
      <c r="D1051" s="7" t="s">
        <v>1268</v>
      </c>
      <c r="E1051" s="7" t="s">
        <v>16</v>
      </c>
      <c r="F1051" s="7" t="s">
        <v>70</v>
      </c>
    </row>
    <row r="1052" ht="22.5" customHeight="1">
      <c r="A1052" s="7" t="s">
        <v>67</v>
      </c>
      <c r="B1052" s="8" t="s">
        <v>1262</v>
      </c>
      <c r="C1052" s="7" t="s">
        <v>30</v>
      </c>
      <c r="D1052" s="7" t="s">
        <v>1269</v>
      </c>
      <c r="E1052" s="7" t="s">
        <v>26</v>
      </c>
      <c r="F1052" s="7" t="s">
        <v>16</v>
      </c>
    </row>
    <row r="1053" ht="22.5" customHeight="1">
      <c r="A1053" s="7" t="s">
        <v>67</v>
      </c>
      <c r="B1053" s="8" t="s">
        <v>1262</v>
      </c>
      <c r="C1053" s="7" t="s">
        <v>30</v>
      </c>
      <c r="D1053" s="7" t="s">
        <v>1270</v>
      </c>
      <c r="E1053" s="7" t="s">
        <v>26</v>
      </c>
      <c r="F1053" s="7" t="s">
        <v>16</v>
      </c>
    </row>
    <row r="1054" ht="22.5" customHeight="1">
      <c r="A1054" s="7" t="s">
        <v>67</v>
      </c>
      <c r="B1054" s="8" t="s">
        <v>1262</v>
      </c>
      <c r="C1054" s="7" t="s">
        <v>30</v>
      </c>
      <c r="D1054" s="7" t="s">
        <v>1271</v>
      </c>
      <c r="E1054" s="7" t="s">
        <v>26</v>
      </c>
      <c r="F1054" s="7" t="s">
        <v>16</v>
      </c>
    </row>
    <row r="1055" ht="22.5" customHeight="1">
      <c r="A1055" s="7" t="s">
        <v>67</v>
      </c>
      <c r="B1055" s="8" t="s">
        <v>1262</v>
      </c>
      <c r="C1055" s="7" t="s">
        <v>30</v>
      </c>
      <c r="D1055" s="7" t="s">
        <v>1272</v>
      </c>
      <c r="E1055" s="7" t="s">
        <v>26</v>
      </c>
      <c r="F1055" s="7" t="s">
        <v>16</v>
      </c>
    </row>
    <row r="1056" ht="22.5" customHeight="1">
      <c r="A1056" s="7" t="s">
        <v>67</v>
      </c>
      <c r="B1056" s="8" t="s">
        <v>1262</v>
      </c>
      <c r="C1056" s="7" t="s">
        <v>30</v>
      </c>
      <c r="D1056" s="7" t="s">
        <v>1273</v>
      </c>
      <c r="E1056" s="7" t="s">
        <v>26</v>
      </c>
      <c r="F1056" s="7" t="s">
        <v>18</v>
      </c>
    </row>
    <row r="1057" ht="22.5" customHeight="1">
      <c r="A1057" s="7" t="s">
        <v>67</v>
      </c>
      <c r="B1057" s="8" t="s">
        <v>1262</v>
      </c>
      <c r="C1057" s="7" t="s">
        <v>30</v>
      </c>
      <c r="D1057" s="7" t="s">
        <v>1274</v>
      </c>
      <c r="E1057" s="7" t="s">
        <v>26</v>
      </c>
      <c r="F1057" s="7" t="s">
        <v>18</v>
      </c>
    </row>
    <row r="1058" ht="22.5" customHeight="1">
      <c r="A1058" s="7" t="s">
        <v>67</v>
      </c>
      <c r="B1058" s="8" t="s">
        <v>1262</v>
      </c>
      <c r="C1058" s="7" t="s">
        <v>30</v>
      </c>
      <c r="D1058" s="7" t="s">
        <v>1275</v>
      </c>
      <c r="E1058" s="7" t="s">
        <v>26</v>
      </c>
      <c r="F1058" s="7" t="s">
        <v>20</v>
      </c>
    </row>
    <row r="1059" ht="22.5" customHeight="1">
      <c r="A1059" s="7" t="s">
        <v>67</v>
      </c>
      <c r="B1059" s="8" t="s">
        <v>1262</v>
      </c>
      <c r="C1059" s="7" t="s">
        <v>30</v>
      </c>
      <c r="D1059" s="7" t="s">
        <v>1276</v>
      </c>
      <c r="E1059" s="7" t="s">
        <v>26</v>
      </c>
      <c r="F1059" s="7" t="s">
        <v>20</v>
      </c>
    </row>
    <row r="1060" ht="22.5" customHeight="1">
      <c r="A1060" s="7" t="s">
        <v>67</v>
      </c>
      <c r="B1060" s="8" t="s">
        <v>1262</v>
      </c>
      <c r="C1060" s="7" t="s">
        <v>30</v>
      </c>
      <c r="D1060" s="7" t="s">
        <v>1277</v>
      </c>
      <c r="E1060" s="7" t="s">
        <v>26</v>
      </c>
      <c r="F1060" s="7" t="s">
        <v>22</v>
      </c>
    </row>
    <row r="1061" ht="22.5" customHeight="1">
      <c r="A1061" s="7" t="s">
        <v>67</v>
      </c>
      <c r="B1061" s="8" t="s">
        <v>1262</v>
      </c>
      <c r="C1061" s="7" t="s">
        <v>30</v>
      </c>
      <c r="D1061" s="7" t="s">
        <v>1278</v>
      </c>
      <c r="E1061" s="7" t="s">
        <v>26</v>
      </c>
      <c r="F1061" s="7" t="s">
        <v>22</v>
      </c>
    </row>
    <row r="1062" ht="22.5" customHeight="1">
      <c r="A1062" s="7" t="s">
        <v>67</v>
      </c>
      <c r="B1062" s="8" t="s">
        <v>1262</v>
      </c>
      <c r="C1062" s="7" t="s">
        <v>30</v>
      </c>
      <c r="D1062" s="7" t="s">
        <v>1279</v>
      </c>
      <c r="E1062" s="7" t="s">
        <v>26</v>
      </c>
      <c r="F1062" s="7" t="s">
        <v>24</v>
      </c>
    </row>
    <row r="1063" ht="22.5" customHeight="1">
      <c r="A1063" s="7" t="s">
        <v>67</v>
      </c>
      <c r="B1063" s="8" t="s">
        <v>1262</v>
      </c>
      <c r="C1063" s="7" t="s">
        <v>30</v>
      </c>
      <c r="D1063" s="7" t="s">
        <v>1280</v>
      </c>
      <c r="E1063" s="7" t="s">
        <v>26</v>
      </c>
      <c r="F1063" s="7" t="s">
        <v>24</v>
      </c>
    </row>
    <row r="1064" ht="22.5" customHeight="1">
      <c r="A1064" s="7" t="s">
        <v>67</v>
      </c>
      <c r="B1064" s="8" t="s">
        <v>1262</v>
      </c>
      <c r="C1064" s="7" t="s">
        <v>30</v>
      </c>
      <c r="D1064" s="7" t="s">
        <v>1281</v>
      </c>
      <c r="E1064" s="7" t="s">
        <v>26</v>
      </c>
      <c r="F1064" s="7" t="s">
        <v>24</v>
      </c>
    </row>
    <row r="1065" ht="22.5" customHeight="1">
      <c r="A1065" s="7" t="s">
        <v>67</v>
      </c>
      <c r="B1065" s="8" t="s">
        <v>1262</v>
      </c>
      <c r="C1065" s="7" t="s">
        <v>36</v>
      </c>
      <c r="D1065" s="7" t="s">
        <v>1282</v>
      </c>
      <c r="E1065" s="7" t="s">
        <v>16</v>
      </c>
      <c r="F1065" s="7" t="s">
        <v>16</v>
      </c>
    </row>
    <row r="1066" ht="22.5" customHeight="1">
      <c r="A1066" s="7" t="s">
        <v>67</v>
      </c>
      <c r="B1066" s="8" t="s">
        <v>1262</v>
      </c>
      <c r="C1066" s="7" t="s">
        <v>36</v>
      </c>
      <c r="D1066" s="7" t="s">
        <v>1283</v>
      </c>
      <c r="E1066" s="7" t="s">
        <v>105</v>
      </c>
      <c r="F1066" s="7" t="s">
        <v>16</v>
      </c>
    </row>
    <row r="1067" ht="22.5" customHeight="1">
      <c r="A1067" s="7" t="s">
        <v>67</v>
      </c>
      <c r="B1067" s="8" t="s">
        <v>1262</v>
      </c>
      <c r="C1067" s="7" t="s">
        <v>38</v>
      </c>
      <c r="D1067" s="7" t="s">
        <v>1284</v>
      </c>
      <c r="E1067" s="7" t="s">
        <v>16</v>
      </c>
      <c r="F1067" s="7" t="s">
        <v>16</v>
      </c>
    </row>
    <row r="1068" ht="22.5" customHeight="1">
      <c r="A1068" s="7" t="s">
        <v>67</v>
      </c>
      <c r="B1068" s="8" t="s">
        <v>1262</v>
      </c>
      <c r="C1068" s="7" t="s">
        <v>38</v>
      </c>
      <c r="D1068" s="7" t="s">
        <v>1285</v>
      </c>
      <c r="E1068" s="7" t="s">
        <v>16</v>
      </c>
      <c r="F1068" s="7" t="s">
        <v>16</v>
      </c>
    </row>
    <row r="1069" ht="22.5" customHeight="1">
      <c r="A1069" s="7" t="s">
        <v>67</v>
      </c>
      <c r="B1069" s="8" t="s">
        <v>1262</v>
      </c>
      <c r="C1069" s="7" t="s">
        <v>38</v>
      </c>
      <c r="D1069" s="7" t="s">
        <v>1286</v>
      </c>
      <c r="E1069" s="7" t="s">
        <v>26</v>
      </c>
      <c r="F1069" s="7" t="s">
        <v>70</v>
      </c>
    </row>
    <row r="1070" ht="22.5" customHeight="1">
      <c r="A1070" s="7" t="s">
        <v>67</v>
      </c>
      <c r="B1070" s="8" t="s">
        <v>1262</v>
      </c>
      <c r="C1070" s="7" t="s">
        <v>40</v>
      </c>
      <c r="D1070" s="7" t="s">
        <v>1287</v>
      </c>
      <c r="E1070" s="7" t="s">
        <v>16</v>
      </c>
      <c r="F1070" s="7" t="s">
        <v>16</v>
      </c>
    </row>
    <row r="1071" ht="22.5" customHeight="1">
      <c r="A1071" s="7" t="s">
        <v>67</v>
      </c>
      <c r="B1071" s="8" t="s">
        <v>1262</v>
      </c>
      <c r="C1071" s="7" t="s">
        <v>40</v>
      </c>
      <c r="D1071" s="7" t="s">
        <v>1288</v>
      </c>
      <c r="E1071" s="7" t="s">
        <v>26</v>
      </c>
      <c r="F1071" s="7" t="s">
        <v>70</v>
      </c>
    </row>
    <row r="1072" ht="22.5" customHeight="1">
      <c r="A1072" s="7" t="s">
        <v>67</v>
      </c>
      <c r="B1072" s="8" t="s">
        <v>1262</v>
      </c>
      <c r="C1072" s="7" t="s">
        <v>43</v>
      </c>
      <c r="D1072" s="7" t="s">
        <v>1289</v>
      </c>
      <c r="E1072" s="7" t="s">
        <v>16</v>
      </c>
      <c r="F1072" s="7" t="s">
        <v>16</v>
      </c>
    </row>
    <row r="1073" ht="22.5" customHeight="1">
      <c r="A1073" s="7" t="s">
        <v>159</v>
      </c>
      <c r="B1073" s="8" t="s">
        <v>1290</v>
      </c>
      <c r="C1073" s="7" t="s">
        <v>14</v>
      </c>
      <c r="D1073" s="7" t="s">
        <v>1291</v>
      </c>
      <c r="E1073" s="7" t="s">
        <v>16</v>
      </c>
      <c r="F1073" s="7" t="s">
        <v>48</v>
      </c>
    </row>
    <row r="1074" ht="22.5" customHeight="1">
      <c r="A1074" s="7" t="s">
        <v>159</v>
      </c>
      <c r="B1074" s="8" t="s">
        <v>1290</v>
      </c>
      <c r="C1074" s="7" t="s">
        <v>14</v>
      </c>
      <c r="D1074" s="7" t="s">
        <v>1292</v>
      </c>
      <c r="E1074" s="7" t="s">
        <v>16</v>
      </c>
      <c r="F1074" s="7" t="s">
        <v>48</v>
      </c>
    </row>
    <row r="1075" ht="22.5" customHeight="1">
      <c r="A1075" s="7" t="s">
        <v>159</v>
      </c>
      <c r="B1075" s="8" t="s">
        <v>1290</v>
      </c>
      <c r="C1075" s="7" t="s">
        <v>14</v>
      </c>
      <c r="D1075" s="7" t="s">
        <v>1293</v>
      </c>
      <c r="E1075" s="7" t="s">
        <v>16</v>
      </c>
      <c r="F1075" s="7" t="s">
        <v>48</v>
      </c>
    </row>
    <row r="1076" ht="22.5" customHeight="1">
      <c r="A1076" s="7" t="s">
        <v>159</v>
      </c>
      <c r="B1076" s="8" t="s">
        <v>1290</v>
      </c>
      <c r="C1076" s="7" t="s">
        <v>30</v>
      </c>
      <c r="D1076" s="7" t="s">
        <v>1294</v>
      </c>
      <c r="E1076" s="7" t="s">
        <v>26</v>
      </c>
      <c r="F1076" s="7" t="s">
        <v>48</v>
      </c>
    </row>
    <row r="1077" ht="22.5" customHeight="1">
      <c r="A1077" s="7" t="s">
        <v>12</v>
      </c>
      <c r="B1077" s="8" t="s">
        <v>1295</v>
      </c>
      <c r="C1077" s="7" t="s">
        <v>14</v>
      </c>
      <c r="D1077" s="7" t="s">
        <v>1296</v>
      </c>
      <c r="E1077" s="7" t="s">
        <v>26</v>
      </c>
      <c r="F1077" s="7" t="s">
        <v>48</v>
      </c>
    </row>
    <row r="1078" ht="22.5" customHeight="1">
      <c r="A1078" s="7" t="s">
        <v>57</v>
      </c>
      <c r="B1078" s="8" t="s">
        <v>1297</v>
      </c>
      <c r="C1078" s="7" t="s">
        <v>30</v>
      </c>
      <c r="D1078" s="7" t="s">
        <v>1298</v>
      </c>
      <c r="E1078" s="7" t="s">
        <v>26</v>
      </c>
      <c r="F1078" s="7" t="s">
        <v>48</v>
      </c>
    </row>
    <row r="1079" ht="22.5" customHeight="1">
      <c r="A1079" s="7" t="s">
        <v>400</v>
      </c>
      <c r="B1079" s="8" t="s">
        <v>1299</v>
      </c>
      <c r="C1079" s="7" t="s">
        <v>30</v>
      </c>
      <c r="D1079" s="7" t="s">
        <v>1300</v>
      </c>
      <c r="E1079" s="7" t="s">
        <v>26</v>
      </c>
      <c r="F1079" s="7" t="s">
        <v>48</v>
      </c>
    </row>
    <row r="1080" ht="22.5" customHeight="1">
      <c r="A1080" s="7" t="s">
        <v>400</v>
      </c>
      <c r="B1080" s="8" t="s">
        <v>1299</v>
      </c>
      <c r="C1080" s="7" t="s">
        <v>43</v>
      </c>
      <c r="D1080" s="7" t="s">
        <v>1301</v>
      </c>
      <c r="E1080" s="7" t="s">
        <v>26</v>
      </c>
      <c r="F1080" s="7" t="s">
        <v>48</v>
      </c>
    </row>
    <row r="1081" ht="22.5" customHeight="1">
      <c r="A1081" s="7" t="s">
        <v>400</v>
      </c>
      <c r="B1081" s="8" t="s">
        <v>1299</v>
      </c>
      <c r="C1081" s="7" t="s">
        <v>43</v>
      </c>
      <c r="D1081" s="7" t="s">
        <v>1302</v>
      </c>
      <c r="E1081" s="7" t="s">
        <v>26</v>
      </c>
      <c r="F1081" s="7" t="s">
        <v>48</v>
      </c>
    </row>
    <row r="1082" ht="22.5" customHeight="1">
      <c r="A1082" s="7" t="s">
        <v>57</v>
      </c>
      <c r="B1082" s="8" t="s">
        <v>1303</v>
      </c>
      <c r="C1082" s="7" t="s">
        <v>30</v>
      </c>
      <c r="D1082" s="7" t="s">
        <v>1304</v>
      </c>
      <c r="E1082" s="7" t="s">
        <v>16</v>
      </c>
      <c r="F1082" s="7" t="s">
        <v>16</v>
      </c>
    </row>
    <row r="1083" ht="22.5" customHeight="1">
      <c r="A1083" s="7" t="s">
        <v>57</v>
      </c>
      <c r="B1083" s="8" t="s">
        <v>1303</v>
      </c>
      <c r="C1083" s="7" t="s">
        <v>30</v>
      </c>
      <c r="D1083" s="7" t="s">
        <v>1305</v>
      </c>
      <c r="E1083" s="7" t="s">
        <v>16</v>
      </c>
      <c r="F1083" s="7" t="s">
        <v>16</v>
      </c>
    </row>
    <row r="1084" ht="22.5" customHeight="1">
      <c r="A1084" s="7" t="s">
        <v>57</v>
      </c>
      <c r="B1084" s="8" t="s">
        <v>1303</v>
      </c>
      <c r="C1084" s="7" t="s">
        <v>30</v>
      </c>
      <c r="D1084" s="7" t="s">
        <v>1306</v>
      </c>
      <c r="E1084" s="7" t="s">
        <v>16</v>
      </c>
      <c r="F1084" s="7" t="s">
        <v>18</v>
      </c>
    </row>
    <row r="1085" ht="22.5" customHeight="1">
      <c r="A1085" s="7" t="s">
        <v>57</v>
      </c>
      <c r="B1085" s="8" t="s">
        <v>1303</v>
      </c>
      <c r="C1085" s="7" t="s">
        <v>30</v>
      </c>
      <c r="D1085" s="7" t="s">
        <v>1307</v>
      </c>
      <c r="E1085" s="7" t="s">
        <v>16</v>
      </c>
      <c r="F1085" s="7" t="s">
        <v>18</v>
      </c>
    </row>
    <row r="1086" ht="22.5" customHeight="1">
      <c r="A1086" s="7" t="s">
        <v>57</v>
      </c>
      <c r="B1086" s="8" t="s">
        <v>1303</v>
      </c>
      <c r="C1086" s="7" t="s">
        <v>30</v>
      </c>
      <c r="D1086" s="7" t="s">
        <v>1308</v>
      </c>
      <c r="E1086" s="7" t="s">
        <v>16</v>
      </c>
      <c r="F1086" s="7" t="s">
        <v>18</v>
      </c>
    </row>
    <row r="1087" ht="22.5" customHeight="1">
      <c r="A1087" s="7" t="s">
        <v>57</v>
      </c>
      <c r="B1087" s="8" t="s">
        <v>1303</v>
      </c>
      <c r="C1087" s="7" t="s">
        <v>30</v>
      </c>
      <c r="D1087" s="7" t="s">
        <v>1309</v>
      </c>
      <c r="E1087" s="7" t="s">
        <v>16</v>
      </c>
      <c r="F1087" s="7" t="s">
        <v>18</v>
      </c>
    </row>
    <row r="1088" ht="22.5" customHeight="1">
      <c r="A1088" s="7" t="s">
        <v>57</v>
      </c>
      <c r="B1088" s="8" t="s">
        <v>1303</v>
      </c>
      <c r="C1088" s="7" t="s">
        <v>30</v>
      </c>
      <c r="D1088" s="7" t="s">
        <v>1310</v>
      </c>
      <c r="E1088" s="7" t="s">
        <v>16</v>
      </c>
      <c r="F1088" s="7" t="s">
        <v>18</v>
      </c>
    </row>
    <row r="1089" ht="22.5" customHeight="1">
      <c r="A1089" s="7" t="s">
        <v>57</v>
      </c>
      <c r="B1089" s="8" t="s">
        <v>1303</v>
      </c>
      <c r="C1089" s="7" t="s">
        <v>30</v>
      </c>
      <c r="D1089" s="7" t="s">
        <v>1311</v>
      </c>
      <c r="E1089" s="7" t="s">
        <v>16</v>
      </c>
      <c r="F1089" s="7" t="s">
        <v>20</v>
      </c>
    </row>
    <row r="1090" ht="22.5" customHeight="1">
      <c r="A1090" s="7" t="s">
        <v>57</v>
      </c>
      <c r="B1090" s="8" t="s">
        <v>1303</v>
      </c>
      <c r="C1090" s="7" t="s">
        <v>30</v>
      </c>
      <c r="D1090" s="7" t="s">
        <v>1312</v>
      </c>
      <c r="E1090" s="7" t="s">
        <v>16</v>
      </c>
      <c r="F1090" s="7" t="s">
        <v>22</v>
      </c>
    </row>
    <row r="1091" ht="22.5" customHeight="1">
      <c r="A1091" s="7" t="s">
        <v>57</v>
      </c>
      <c r="B1091" s="8" t="s">
        <v>1303</v>
      </c>
      <c r="C1091" s="7" t="s">
        <v>30</v>
      </c>
      <c r="D1091" s="7" t="s">
        <v>1313</v>
      </c>
      <c r="E1091" s="7" t="s">
        <v>16</v>
      </c>
      <c r="F1091" s="7" t="s">
        <v>24</v>
      </c>
    </row>
    <row r="1092" ht="22.5" customHeight="1">
      <c r="A1092" s="7" t="s">
        <v>57</v>
      </c>
      <c r="B1092" s="8" t="s">
        <v>1303</v>
      </c>
      <c r="C1092" s="7" t="s">
        <v>30</v>
      </c>
      <c r="D1092" s="7" t="s">
        <v>1314</v>
      </c>
      <c r="E1092" s="7" t="s">
        <v>16</v>
      </c>
      <c r="F1092" s="7" t="s">
        <v>70</v>
      </c>
    </row>
    <row r="1093" ht="22.5" customHeight="1">
      <c r="A1093" s="7" t="s">
        <v>57</v>
      </c>
      <c r="B1093" s="8" t="s">
        <v>1303</v>
      </c>
      <c r="C1093" s="7" t="s">
        <v>30</v>
      </c>
      <c r="D1093" s="7" t="s">
        <v>1315</v>
      </c>
      <c r="E1093" s="7" t="s">
        <v>26</v>
      </c>
      <c r="F1093" s="7" t="s">
        <v>16</v>
      </c>
    </row>
    <row r="1094" ht="22.5" customHeight="1">
      <c r="A1094" s="7" t="s">
        <v>57</v>
      </c>
      <c r="B1094" s="8" t="s">
        <v>1303</v>
      </c>
      <c r="C1094" s="7" t="s">
        <v>30</v>
      </c>
      <c r="D1094" s="7" t="s">
        <v>1316</v>
      </c>
      <c r="E1094" s="7" t="s">
        <v>26</v>
      </c>
      <c r="F1094" s="7" t="s">
        <v>16</v>
      </c>
    </row>
    <row r="1095" ht="22.5" customHeight="1">
      <c r="A1095" s="7" t="s">
        <v>57</v>
      </c>
      <c r="B1095" s="8" t="s">
        <v>1303</v>
      </c>
      <c r="C1095" s="7" t="s">
        <v>30</v>
      </c>
      <c r="D1095" s="7" t="s">
        <v>1317</v>
      </c>
      <c r="E1095" s="7" t="s">
        <v>26</v>
      </c>
      <c r="F1095" s="7" t="s">
        <v>16</v>
      </c>
    </row>
    <row r="1096" ht="22.5" customHeight="1">
      <c r="A1096" s="7" t="s">
        <v>57</v>
      </c>
      <c r="B1096" s="8" t="s">
        <v>1303</v>
      </c>
      <c r="C1096" s="7" t="s">
        <v>30</v>
      </c>
      <c r="D1096" s="7" t="s">
        <v>1318</v>
      </c>
      <c r="E1096" s="7" t="s">
        <v>26</v>
      </c>
      <c r="F1096" s="7" t="s">
        <v>16</v>
      </c>
    </row>
    <row r="1097" ht="22.5" customHeight="1">
      <c r="A1097" s="7" t="s">
        <v>57</v>
      </c>
      <c r="B1097" s="8" t="s">
        <v>1303</v>
      </c>
      <c r="C1097" s="7" t="s">
        <v>30</v>
      </c>
      <c r="D1097" s="7" t="s">
        <v>1319</v>
      </c>
      <c r="E1097" s="7" t="s">
        <v>26</v>
      </c>
      <c r="F1097" s="7" t="s">
        <v>18</v>
      </c>
    </row>
    <row r="1098" ht="22.5" customHeight="1">
      <c r="A1098" s="7" t="s">
        <v>57</v>
      </c>
      <c r="B1098" s="8" t="s">
        <v>1303</v>
      </c>
      <c r="C1098" s="7" t="s">
        <v>30</v>
      </c>
      <c r="D1098" s="7" t="s">
        <v>1320</v>
      </c>
      <c r="E1098" s="7" t="s">
        <v>26</v>
      </c>
      <c r="F1098" s="7" t="s">
        <v>18</v>
      </c>
    </row>
    <row r="1099" ht="22.5" customHeight="1">
      <c r="A1099" s="7" t="s">
        <v>57</v>
      </c>
      <c r="B1099" s="8" t="s">
        <v>1303</v>
      </c>
      <c r="C1099" s="7" t="s">
        <v>30</v>
      </c>
      <c r="D1099" s="7" t="s">
        <v>1321</v>
      </c>
      <c r="E1099" s="7" t="s">
        <v>26</v>
      </c>
      <c r="F1099" s="7" t="s">
        <v>18</v>
      </c>
    </row>
    <row r="1100" ht="22.5" customHeight="1">
      <c r="A1100" s="7" t="s">
        <v>57</v>
      </c>
      <c r="B1100" s="8" t="s">
        <v>1303</v>
      </c>
      <c r="C1100" s="7" t="s">
        <v>30</v>
      </c>
      <c r="D1100" s="7" t="s">
        <v>1322</v>
      </c>
      <c r="E1100" s="7" t="s">
        <v>26</v>
      </c>
      <c r="F1100" s="7" t="s">
        <v>20</v>
      </c>
    </row>
    <row r="1101" ht="22.5" customHeight="1">
      <c r="A1101" s="7" t="s">
        <v>57</v>
      </c>
      <c r="B1101" s="8" t="s">
        <v>1303</v>
      </c>
      <c r="C1101" s="7" t="s">
        <v>30</v>
      </c>
      <c r="D1101" s="7" t="s">
        <v>1323</v>
      </c>
      <c r="E1101" s="7" t="s">
        <v>26</v>
      </c>
      <c r="F1101" s="7" t="s">
        <v>20</v>
      </c>
    </row>
    <row r="1102" ht="22.5" customHeight="1">
      <c r="A1102" s="7" t="s">
        <v>57</v>
      </c>
      <c r="B1102" s="8" t="s">
        <v>1303</v>
      </c>
      <c r="C1102" s="7" t="s">
        <v>30</v>
      </c>
      <c r="D1102" s="7" t="s">
        <v>1324</v>
      </c>
      <c r="E1102" s="7" t="s">
        <v>26</v>
      </c>
      <c r="F1102" s="7" t="s">
        <v>20</v>
      </c>
    </row>
    <row r="1103" ht="22.5" customHeight="1">
      <c r="A1103" s="7" t="s">
        <v>57</v>
      </c>
      <c r="B1103" s="8" t="s">
        <v>1303</v>
      </c>
      <c r="C1103" s="7" t="s">
        <v>30</v>
      </c>
      <c r="D1103" s="7" t="s">
        <v>1325</v>
      </c>
      <c r="E1103" s="7" t="s">
        <v>26</v>
      </c>
      <c r="F1103" s="7" t="s">
        <v>22</v>
      </c>
    </row>
    <row r="1104" ht="22.5" customHeight="1">
      <c r="A1104" s="7" t="s">
        <v>57</v>
      </c>
      <c r="B1104" s="8" t="s">
        <v>1303</v>
      </c>
      <c r="C1104" s="7" t="s">
        <v>30</v>
      </c>
      <c r="D1104" s="7" t="s">
        <v>1326</v>
      </c>
      <c r="E1104" s="7" t="s">
        <v>26</v>
      </c>
      <c r="F1104" s="7" t="s">
        <v>22</v>
      </c>
    </row>
    <row r="1105" ht="22.5" customHeight="1">
      <c r="A1105" s="7" t="s">
        <v>57</v>
      </c>
      <c r="B1105" s="8" t="s">
        <v>1303</v>
      </c>
      <c r="C1105" s="7" t="s">
        <v>30</v>
      </c>
      <c r="D1105" s="7" t="s">
        <v>1327</v>
      </c>
      <c r="E1105" s="7" t="s">
        <v>26</v>
      </c>
      <c r="F1105" s="7" t="s">
        <v>22</v>
      </c>
    </row>
    <row r="1106" ht="22.5" customHeight="1">
      <c r="A1106" s="7" t="s">
        <v>57</v>
      </c>
      <c r="B1106" s="8" t="s">
        <v>1303</v>
      </c>
      <c r="C1106" s="7" t="s">
        <v>30</v>
      </c>
      <c r="D1106" s="7" t="s">
        <v>1328</v>
      </c>
      <c r="E1106" s="7" t="s">
        <v>26</v>
      </c>
      <c r="F1106" s="7" t="s">
        <v>24</v>
      </c>
    </row>
    <row r="1107" ht="22.5" customHeight="1">
      <c r="A1107" s="7" t="s">
        <v>57</v>
      </c>
      <c r="B1107" s="8" t="s">
        <v>1303</v>
      </c>
      <c r="C1107" s="7" t="s">
        <v>30</v>
      </c>
      <c r="D1107" s="7" t="s">
        <v>1329</v>
      </c>
      <c r="E1107" s="7" t="s">
        <v>26</v>
      </c>
      <c r="F1107" s="7" t="s">
        <v>24</v>
      </c>
    </row>
    <row r="1108" ht="22.5" customHeight="1">
      <c r="A1108" s="7" t="s">
        <v>57</v>
      </c>
      <c r="B1108" s="8" t="s">
        <v>1303</v>
      </c>
      <c r="C1108" s="7" t="s">
        <v>30</v>
      </c>
      <c r="D1108" s="7" t="s">
        <v>1330</v>
      </c>
      <c r="E1108" s="7" t="s">
        <v>26</v>
      </c>
      <c r="F1108" s="7" t="s">
        <v>24</v>
      </c>
    </row>
    <row r="1109" ht="22.5" customHeight="1">
      <c r="A1109" s="7" t="s">
        <v>57</v>
      </c>
      <c r="B1109" s="8" t="s">
        <v>1303</v>
      </c>
      <c r="C1109" s="7" t="s">
        <v>36</v>
      </c>
      <c r="D1109" s="7" t="s">
        <v>1331</v>
      </c>
      <c r="E1109" s="7" t="s">
        <v>16</v>
      </c>
      <c r="F1109" s="7" t="s">
        <v>16</v>
      </c>
    </row>
    <row r="1110" ht="22.5" customHeight="1">
      <c r="A1110" s="7" t="s">
        <v>57</v>
      </c>
      <c r="B1110" s="8" t="s">
        <v>1303</v>
      </c>
      <c r="C1110" s="7" t="s">
        <v>38</v>
      </c>
      <c r="D1110" s="7" t="s">
        <v>1332</v>
      </c>
      <c r="E1110" s="7" t="s">
        <v>16</v>
      </c>
      <c r="F1110" s="7" t="s">
        <v>16</v>
      </c>
    </row>
    <row r="1111" ht="22.5" customHeight="1">
      <c r="A1111" s="7" t="s">
        <v>57</v>
      </c>
      <c r="B1111" s="8" t="s">
        <v>1303</v>
      </c>
      <c r="C1111" s="7" t="s">
        <v>40</v>
      </c>
      <c r="D1111" s="7" t="s">
        <v>1333</v>
      </c>
      <c r="E1111" s="7" t="s">
        <v>16</v>
      </c>
      <c r="F1111" s="7" t="s">
        <v>16</v>
      </c>
    </row>
    <row r="1112" ht="22.5" customHeight="1">
      <c r="A1112" s="7" t="s">
        <v>57</v>
      </c>
      <c r="B1112" s="8" t="s">
        <v>1303</v>
      </c>
      <c r="C1112" s="7" t="s">
        <v>43</v>
      </c>
      <c r="D1112" s="7" t="s">
        <v>1334</v>
      </c>
      <c r="E1112" s="7" t="s">
        <v>16</v>
      </c>
      <c r="F1112" s="7" t="s">
        <v>16</v>
      </c>
    </row>
    <row r="1113" ht="22.5" customHeight="1">
      <c r="A1113" s="7" t="s">
        <v>159</v>
      </c>
      <c r="B1113" s="8" t="s">
        <v>1335</v>
      </c>
      <c r="C1113" s="7" t="s">
        <v>14</v>
      </c>
      <c r="D1113" s="7" t="s">
        <v>1336</v>
      </c>
      <c r="E1113" s="7" t="s">
        <v>16</v>
      </c>
      <c r="F1113" s="7" t="s">
        <v>48</v>
      </c>
    </row>
    <row r="1114" ht="22.5" customHeight="1">
      <c r="A1114" s="7" t="s">
        <v>159</v>
      </c>
      <c r="B1114" s="8" t="s">
        <v>1335</v>
      </c>
      <c r="C1114" s="7" t="s">
        <v>14</v>
      </c>
      <c r="D1114" s="7" t="s">
        <v>1337</v>
      </c>
      <c r="E1114" s="7" t="s">
        <v>16</v>
      </c>
      <c r="F1114" s="7" t="s">
        <v>48</v>
      </c>
    </row>
    <row r="1115" ht="22.5" customHeight="1">
      <c r="A1115" s="7" t="s">
        <v>159</v>
      </c>
      <c r="B1115" s="8" t="s">
        <v>1335</v>
      </c>
      <c r="C1115" s="7" t="s">
        <v>43</v>
      </c>
      <c r="D1115" s="7" t="s">
        <v>1338</v>
      </c>
      <c r="E1115" s="7" t="s">
        <v>26</v>
      </c>
      <c r="F1115" s="7" t="s">
        <v>48</v>
      </c>
    </row>
    <row r="1116" ht="22.5" customHeight="1">
      <c r="A1116" s="13" t="s">
        <v>159</v>
      </c>
      <c r="B1116" s="14" t="s">
        <v>1335</v>
      </c>
      <c r="C1116" s="13" t="s">
        <v>14</v>
      </c>
      <c r="D1116" s="13" t="s">
        <v>1339</v>
      </c>
      <c r="E1116" s="15" t="s">
        <v>76</v>
      </c>
      <c r="F1116" s="7" t="s">
        <v>1340</v>
      </c>
    </row>
    <row r="1117" ht="22.5" customHeight="1">
      <c r="A1117" s="7" t="s">
        <v>226</v>
      </c>
      <c r="B1117" s="8" t="s">
        <v>1341</v>
      </c>
      <c r="C1117" s="7" t="s">
        <v>43</v>
      </c>
      <c r="D1117" s="7" t="s">
        <v>1342</v>
      </c>
      <c r="E1117" s="7" t="s">
        <v>16</v>
      </c>
      <c r="F1117" s="7" t="s">
        <v>48</v>
      </c>
    </row>
    <row r="1118" ht="22.5" customHeight="1">
      <c r="A1118" s="7" t="s">
        <v>53</v>
      </c>
      <c r="B1118" s="8" t="s">
        <v>1343</v>
      </c>
      <c r="C1118" s="7" t="s">
        <v>30</v>
      </c>
      <c r="D1118" s="7" t="s">
        <v>1344</v>
      </c>
      <c r="E1118" s="7" t="s">
        <v>26</v>
      </c>
      <c r="F1118" s="7" t="s">
        <v>48</v>
      </c>
    </row>
    <row r="1119" ht="22.5" customHeight="1">
      <c r="A1119" s="7" t="s">
        <v>53</v>
      </c>
      <c r="B1119" s="8" t="s">
        <v>1343</v>
      </c>
      <c r="C1119" s="7" t="s">
        <v>43</v>
      </c>
      <c r="D1119" s="7" t="s">
        <v>1345</v>
      </c>
      <c r="E1119" s="7" t="s">
        <v>26</v>
      </c>
      <c r="F1119" s="7" t="s">
        <v>48</v>
      </c>
    </row>
    <row r="1120" ht="22.5" customHeight="1">
      <c r="A1120" s="7" t="s">
        <v>134</v>
      </c>
      <c r="B1120" s="8" t="s">
        <v>1346</v>
      </c>
      <c r="C1120" s="7" t="s">
        <v>30</v>
      </c>
      <c r="D1120" s="7" t="s">
        <v>1347</v>
      </c>
      <c r="E1120" s="7" t="s">
        <v>16</v>
      </c>
      <c r="F1120" s="7" t="s">
        <v>16</v>
      </c>
    </row>
    <row r="1121" ht="22.5" customHeight="1">
      <c r="A1121" s="7" t="s">
        <v>134</v>
      </c>
      <c r="B1121" s="8" t="s">
        <v>1346</v>
      </c>
      <c r="C1121" s="7" t="s">
        <v>36</v>
      </c>
      <c r="D1121" s="7" t="s">
        <v>1348</v>
      </c>
      <c r="E1121" s="7" t="s">
        <v>16</v>
      </c>
      <c r="F1121" s="7" t="s">
        <v>16</v>
      </c>
    </row>
    <row r="1122" ht="22.5" customHeight="1">
      <c r="A1122" s="7" t="s">
        <v>134</v>
      </c>
      <c r="B1122" s="8" t="s">
        <v>1346</v>
      </c>
      <c r="C1122" s="7" t="s">
        <v>38</v>
      </c>
      <c r="D1122" s="7" t="s">
        <v>1349</v>
      </c>
      <c r="E1122" s="7" t="s">
        <v>16</v>
      </c>
      <c r="F1122" s="7" t="s">
        <v>16</v>
      </c>
    </row>
    <row r="1123" ht="22.5" customHeight="1">
      <c r="A1123" s="7" t="s">
        <v>134</v>
      </c>
      <c r="B1123" s="8" t="s">
        <v>1346</v>
      </c>
      <c r="C1123" s="7" t="s">
        <v>40</v>
      </c>
      <c r="D1123" s="7" t="s">
        <v>1350</v>
      </c>
      <c r="E1123" s="7" t="s">
        <v>16</v>
      </c>
      <c r="F1123" s="7" t="s">
        <v>16</v>
      </c>
    </row>
    <row r="1124" ht="22.5" customHeight="1">
      <c r="A1124" s="7" t="s">
        <v>134</v>
      </c>
      <c r="B1124" s="8" t="s">
        <v>1346</v>
      </c>
      <c r="C1124" s="7" t="s">
        <v>43</v>
      </c>
      <c r="D1124" s="7" t="s">
        <v>1351</v>
      </c>
      <c r="E1124" s="7" t="s">
        <v>16</v>
      </c>
      <c r="F1124" s="7" t="s">
        <v>16</v>
      </c>
    </row>
    <row r="1125" ht="22.5" customHeight="1">
      <c r="A1125" s="7" t="s">
        <v>200</v>
      </c>
      <c r="B1125" s="8" t="s">
        <v>1352</v>
      </c>
      <c r="C1125" s="7" t="s">
        <v>14</v>
      </c>
      <c r="D1125" s="7" t="s">
        <v>1353</v>
      </c>
      <c r="E1125" s="7" t="s">
        <v>26</v>
      </c>
      <c r="F1125" s="7" t="s">
        <v>48</v>
      </c>
    </row>
    <row r="1126" ht="22.5" customHeight="1">
      <c r="A1126" s="7" t="s">
        <v>250</v>
      </c>
      <c r="B1126" s="8" t="s">
        <v>1354</v>
      </c>
      <c r="C1126" s="7" t="s">
        <v>30</v>
      </c>
      <c r="D1126" s="7" t="s">
        <v>1355</v>
      </c>
      <c r="E1126" s="7" t="s">
        <v>26</v>
      </c>
      <c r="F1126" s="7" t="s">
        <v>48</v>
      </c>
    </row>
    <row r="1127" ht="22.5" customHeight="1">
      <c r="A1127" s="7" t="s">
        <v>250</v>
      </c>
      <c r="B1127" s="8" t="s">
        <v>1354</v>
      </c>
      <c r="C1127" s="7" t="s">
        <v>30</v>
      </c>
      <c r="D1127" s="7" t="s">
        <v>1356</v>
      </c>
      <c r="E1127" s="7" t="s">
        <v>26</v>
      </c>
      <c r="F1127" s="7" t="s">
        <v>70</v>
      </c>
    </row>
    <row r="1128" ht="22.5" customHeight="1">
      <c r="A1128" s="7" t="s">
        <v>250</v>
      </c>
      <c r="B1128" s="8" t="s">
        <v>1354</v>
      </c>
      <c r="C1128" s="7" t="s">
        <v>43</v>
      </c>
      <c r="D1128" s="7" t="s">
        <v>1357</v>
      </c>
      <c r="E1128" s="7" t="s">
        <v>26</v>
      </c>
      <c r="F1128" s="7" t="s">
        <v>48</v>
      </c>
    </row>
    <row r="1129" ht="22.5" customHeight="1">
      <c r="A1129" s="7" t="s">
        <v>250</v>
      </c>
      <c r="B1129" s="8" t="s">
        <v>1354</v>
      </c>
      <c r="C1129" s="7" t="s">
        <v>43</v>
      </c>
      <c r="D1129" s="7" t="s">
        <v>1358</v>
      </c>
      <c r="E1129" s="7" t="s">
        <v>26</v>
      </c>
      <c r="F1129" s="7" t="s">
        <v>48</v>
      </c>
    </row>
    <row r="1130" ht="22.5" customHeight="1">
      <c r="A1130" s="7" t="s">
        <v>67</v>
      </c>
      <c r="B1130" s="8" t="s">
        <v>1359</v>
      </c>
      <c r="C1130" s="7" t="s">
        <v>30</v>
      </c>
      <c r="D1130" s="7" t="s">
        <v>1360</v>
      </c>
      <c r="E1130" s="7" t="s">
        <v>16</v>
      </c>
      <c r="F1130" s="7" t="s">
        <v>48</v>
      </c>
    </row>
    <row r="1131" ht="22.5" customHeight="1">
      <c r="A1131" s="7" t="s">
        <v>67</v>
      </c>
      <c r="B1131" s="8" t="s">
        <v>1359</v>
      </c>
      <c r="C1131" s="7" t="s">
        <v>30</v>
      </c>
      <c r="D1131" s="7" t="s">
        <v>1361</v>
      </c>
      <c r="E1131" s="7" t="s">
        <v>76</v>
      </c>
      <c r="F1131" s="16" t="s">
        <v>1362</v>
      </c>
    </row>
    <row r="1132" ht="22.5" customHeight="1">
      <c r="A1132" s="7" t="s">
        <v>67</v>
      </c>
      <c r="B1132" s="8" t="s">
        <v>1359</v>
      </c>
      <c r="C1132" s="7" t="s">
        <v>30</v>
      </c>
      <c r="D1132" s="7" t="s">
        <v>1363</v>
      </c>
      <c r="E1132" s="7" t="s">
        <v>16</v>
      </c>
      <c r="F1132" s="7" t="s">
        <v>48</v>
      </c>
    </row>
    <row r="1133" ht="22.5" customHeight="1">
      <c r="A1133" s="7" t="s">
        <v>50</v>
      </c>
      <c r="B1133" s="8" t="s">
        <v>1364</v>
      </c>
      <c r="C1133" s="7" t="s">
        <v>30</v>
      </c>
      <c r="D1133" s="7" t="s">
        <v>1365</v>
      </c>
      <c r="E1133" s="7" t="s">
        <v>26</v>
      </c>
      <c r="F1133" s="7" t="s">
        <v>48</v>
      </c>
    </row>
    <row r="1134" ht="22.5" customHeight="1">
      <c r="A1134" s="7" t="s">
        <v>200</v>
      </c>
      <c r="B1134" s="8" t="s">
        <v>1366</v>
      </c>
      <c r="C1134" s="7" t="s">
        <v>30</v>
      </c>
      <c r="D1134" s="7" t="s">
        <v>1367</v>
      </c>
      <c r="E1134" s="7" t="s">
        <v>16</v>
      </c>
      <c r="F1134" s="7" t="s">
        <v>48</v>
      </c>
    </row>
    <row r="1135" ht="22.5" customHeight="1">
      <c r="A1135" s="7" t="s">
        <v>200</v>
      </c>
      <c r="B1135" s="8" t="s">
        <v>1366</v>
      </c>
      <c r="C1135" s="7" t="s">
        <v>30</v>
      </c>
      <c r="D1135" s="7" t="s">
        <v>1368</v>
      </c>
      <c r="E1135" s="7" t="s">
        <v>26</v>
      </c>
      <c r="F1135" s="7" t="s">
        <v>48</v>
      </c>
    </row>
    <row r="1136" ht="22.5" customHeight="1">
      <c r="A1136" s="7" t="s">
        <v>67</v>
      </c>
      <c r="B1136" s="8" t="s">
        <v>1369</v>
      </c>
      <c r="C1136" s="7" t="s">
        <v>30</v>
      </c>
      <c r="D1136" s="7" t="s">
        <v>1370</v>
      </c>
      <c r="E1136" s="7" t="s">
        <v>16</v>
      </c>
      <c r="F1136" s="7" t="s">
        <v>48</v>
      </c>
    </row>
    <row r="1137" ht="22.5" customHeight="1">
      <c r="A1137" s="7" t="s">
        <v>67</v>
      </c>
      <c r="B1137" s="8" t="s">
        <v>1369</v>
      </c>
      <c r="C1137" s="7" t="s">
        <v>30</v>
      </c>
      <c r="D1137" s="7" t="s">
        <v>1371</v>
      </c>
      <c r="E1137" s="7" t="s">
        <v>26</v>
      </c>
      <c r="F1137" s="7" t="s">
        <v>48</v>
      </c>
    </row>
    <row r="1138" ht="22.5" customHeight="1">
      <c r="A1138" s="7" t="s">
        <v>178</v>
      </c>
      <c r="B1138" s="8" t="s">
        <v>1372</v>
      </c>
      <c r="C1138" s="7" t="s">
        <v>30</v>
      </c>
      <c r="D1138" s="7" t="s">
        <v>1373</v>
      </c>
      <c r="E1138" s="7" t="s">
        <v>16</v>
      </c>
      <c r="F1138" s="7" t="s">
        <v>48</v>
      </c>
    </row>
    <row r="1139" ht="22.5" customHeight="1">
      <c r="A1139" s="7" t="s">
        <v>178</v>
      </c>
      <c r="B1139" s="8" t="s">
        <v>1372</v>
      </c>
      <c r="C1139" s="7" t="s">
        <v>30</v>
      </c>
      <c r="D1139" s="7" t="s">
        <v>1374</v>
      </c>
      <c r="E1139" s="7" t="s">
        <v>16</v>
      </c>
      <c r="F1139" s="7" t="s">
        <v>48</v>
      </c>
    </row>
    <row r="1140" ht="22.5" customHeight="1">
      <c r="A1140" s="7" t="s">
        <v>178</v>
      </c>
      <c r="B1140" s="8" t="s">
        <v>1372</v>
      </c>
      <c r="C1140" s="7" t="s">
        <v>30</v>
      </c>
      <c r="D1140" s="7" t="s">
        <v>1375</v>
      </c>
      <c r="E1140" s="7" t="s">
        <v>16</v>
      </c>
      <c r="F1140" s="7" t="s">
        <v>48</v>
      </c>
    </row>
    <row r="1141" ht="22.5" customHeight="1">
      <c r="A1141" s="7" t="s">
        <v>178</v>
      </c>
      <c r="B1141" s="8" t="s">
        <v>1372</v>
      </c>
      <c r="C1141" s="7" t="s">
        <v>40</v>
      </c>
      <c r="D1141" s="7" t="s">
        <v>1376</v>
      </c>
      <c r="E1141" s="7" t="s">
        <v>26</v>
      </c>
      <c r="F1141" s="7" t="s">
        <v>48</v>
      </c>
    </row>
    <row r="1142" ht="22.5" customHeight="1">
      <c r="A1142" s="7" t="s">
        <v>250</v>
      </c>
      <c r="B1142" s="8" t="s">
        <v>1377</v>
      </c>
      <c r="C1142" s="7" t="s">
        <v>30</v>
      </c>
      <c r="D1142" s="7" t="s">
        <v>1378</v>
      </c>
      <c r="E1142" s="7" t="s">
        <v>16</v>
      </c>
      <c r="F1142" s="7" t="s">
        <v>48</v>
      </c>
    </row>
    <row r="1143" ht="22.5" customHeight="1">
      <c r="A1143" s="7" t="s">
        <v>250</v>
      </c>
      <c r="B1143" s="8" t="s">
        <v>1377</v>
      </c>
      <c r="C1143" s="7" t="s">
        <v>40</v>
      </c>
      <c r="D1143" s="7" t="s">
        <v>1379</v>
      </c>
      <c r="E1143" s="7" t="s">
        <v>26</v>
      </c>
      <c r="F1143" s="7" t="s">
        <v>48</v>
      </c>
    </row>
    <row r="1144" ht="22.5" customHeight="1">
      <c r="A1144" s="7" t="s">
        <v>250</v>
      </c>
      <c r="B1144" s="8" t="s">
        <v>1377</v>
      </c>
      <c r="C1144" s="7" t="s">
        <v>103</v>
      </c>
      <c r="D1144" s="7" t="s">
        <v>1380</v>
      </c>
      <c r="E1144" s="7" t="s">
        <v>105</v>
      </c>
      <c r="F1144" s="7" t="s">
        <v>48</v>
      </c>
    </row>
    <row r="1145" ht="22.5" customHeight="1">
      <c r="A1145" s="7" t="s">
        <v>200</v>
      </c>
      <c r="B1145" s="8" t="s">
        <v>1381</v>
      </c>
      <c r="C1145" s="7" t="s">
        <v>14</v>
      </c>
      <c r="D1145" s="7" t="s">
        <v>1382</v>
      </c>
      <c r="E1145" s="7" t="s">
        <v>16</v>
      </c>
      <c r="F1145" s="7" t="s">
        <v>48</v>
      </c>
    </row>
    <row r="1146" ht="22.5" customHeight="1">
      <c r="A1146" s="7" t="s">
        <v>200</v>
      </c>
      <c r="B1146" s="8" t="s">
        <v>1381</v>
      </c>
      <c r="C1146" s="7" t="s">
        <v>14</v>
      </c>
      <c r="D1146" s="7" t="s">
        <v>1383</v>
      </c>
      <c r="E1146" s="7" t="s">
        <v>16</v>
      </c>
      <c r="F1146" s="7" t="s">
        <v>48</v>
      </c>
    </row>
    <row r="1147" ht="22.5" customHeight="1">
      <c r="A1147" s="7" t="s">
        <v>200</v>
      </c>
      <c r="B1147" s="8" t="s">
        <v>1381</v>
      </c>
      <c r="C1147" s="7" t="s">
        <v>30</v>
      </c>
      <c r="D1147" s="7" t="s">
        <v>1384</v>
      </c>
      <c r="E1147" s="7" t="s">
        <v>26</v>
      </c>
      <c r="F1147" s="7" t="s">
        <v>48</v>
      </c>
    </row>
    <row r="1148" ht="22.5" customHeight="1">
      <c r="A1148" s="7" t="s">
        <v>200</v>
      </c>
      <c r="B1148" s="8" t="s">
        <v>1381</v>
      </c>
      <c r="C1148" s="7" t="s">
        <v>36</v>
      </c>
      <c r="D1148" s="7" t="s">
        <v>1385</v>
      </c>
      <c r="E1148" s="7" t="s">
        <v>26</v>
      </c>
      <c r="F1148" s="7" t="s">
        <v>48</v>
      </c>
    </row>
    <row r="1149" ht="22.5" customHeight="1">
      <c r="A1149" s="7" t="s">
        <v>200</v>
      </c>
      <c r="B1149" s="8" t="s">
        <v>1381</v>
      </c>
      <c r="C1149" s="7" t="s">
        <v>38</v>
      </c>
      <c r="D1149" s="7" t="s">
        <v>1386</v>
      </c>
      <c r="E1149" s="7" t="s">
        <v>26</v>
      </c>
      <c r="F1149" s="7" t="s">
        <v>48</v>
      </c>
    </row>
    <row r="1150" ht="22.5" customHeight="1">
      <c r="A1150" s="7" t="s">
        <v>200</v>
      </c>
      <c r="B1150" s="8" t="s">
        <v>1381</v>
      </c>
      <c r="C1150" s="7" t="s">
        <v>40</v>
      </c>
      <c r="D1150" s="7" t="s">
        <v>1387</v>
      </c>
      <c r="E1150" s="7" t="s">
        <v>26</v>
      </c>
      <c r="F1150" s="7" t="s">
        <v>48</v>
      </c>
    </row>
    <row r="1151" ht="22.5" customHeight="1">
      <c r="A1151" s="7" t="s">
        <v>200</v>
      </c>
      <c r="B1151" s="8" t="s">
        <v>1381</v>
      </c>
      <c r="C1151" s="7" t="s">
        <v>43</v>
      </c>
      <c r="D1151" s="7" t="s">
        <v>1388</v>
      </c>
      <c r="E1151" s="7" t="s">
        <v>26</v>
      </c>
      <c r="F1151" s="7" t="s">
        <v>48</v>
      </c>
    </row>
    <row r="1152" ht="22.5" customHeight="1">
      <c r="A1152" s="17" t="s">
        <v>200</v>
      </c>
      <c r="B1152" s="18" t="s">
        <v>1381</v>
      </c>
      <c r="C1152" s="19" t="s">
        <v>43</v>
      </c>
      <c r="D1152" s="17" t="s">
        <v>1389</v>
      </c>
      <c r="E1152" s="19" t="s">
        <v>76</v>
      </c>
      <c r="F1152" s="19" t="s">
        <v>1390</v>
      </c>
    </row>
    <row r="1153" ht="22.5" customHeight="1">
      <c r="A1153" s="7" t="s">
        <v>152</v>
      </c>
      <c r="B1153" s="8" t="s">
        <v>1391</v>
      </c>
      <c r="C1153" s="7" t="s">
        <v>30</v>
      </c>
      <c r="D1153" s="7" t="s">
        <v>1392</v>
      </c>
      <c r="E1153" s="7" t="s">
        <v>155</v>
      </c>
      <c r="F1153" s="7" t="s">
        <v>16</v>
      </c>
    </row>
    <row r="1154" ht="22.5" customHeight="1">
      <c r="A1154" s="7" t="s">
        <v>152</v>
      </c>
      <c r="B1154" s="8" t="s">
        <v>1391</v>
      </c>
      <c r="C1154" s="7" t="s">
        <v>30</v>
      </c>
      <c r="D1154" s="7" t="s">
        <v>1393</v>
      </c>
      <c r="E1154" s="7" t="s">
        <v>155</v>
      </c>
      <c r="F1154" s="7" t="s">
        <v>18</v>
      </c>
    </row>
    <row r="1155" ht="22.5" customHeight="1">
      <c r="A1155" s="7" t="s">
        <v>152</v>
      </c>
      <c r="B1155" s="8" t="s">
        <v>1391</v>
      </c>
      <c r="C1155" s="7" t="s">
        <v>30</v>
      </c>
      <c r="D1155" s="7" t="s">
        <v>1394</v>
      </c>
      <c r="E1155" s="7" t="s">
        <v>155</v>
      </c>
      <c r="F1155" s="7" t="s">
        <v>20</v>
      </c>
    </row>
    <row r="1156" ht="22.5" customHeight="1">
      <c r="A1156" s="7" t="s">
        <v>152</v>
      </c>
      <c r="B1156" s="8" t="s">
        <v>1391</v>
      </c>
      <c r="C1156" s="7" t="s">
        <v>30</v>
      </c>
      <c r="D1156" s="7" t="s">
        <v>1395</v>
      </c>
      <c r="E1156" s="7" t="s">
        <v>155</v>
      </c>
      <c r="F1156" s="7" t="s">
        <v>22</v>
      </c>
    </row>
    <row r="1157" ht="22.5" customHeight="1">
      <c r="A1157" s="7" t="s">
        <v>152</v>
      </c>
      <c r="B1157" s="8" t="s">
        <v>1391</v>
      </c>
      <c r="C1157" s="7" t="s">
        <v>30</v>
      </c>
      <c r="D1157" s="7" t="s">
        <v>1396</v>
      </c>
      <c r="E1157" s="7" t="s">
        <v>155</v>
      </c>
      <c r="F1157" s="7" t="s">
        <v>24</v>
      </c>
    </row>
    <row r="1158" ht="22.5" customHeight="1">
      <c r="A1158" s="7" t="s">
        <v>152</v>
      </c>
      <c r="B1158" s="8" t="s">
        <v>1391</v>
      </c>
      <c r="C1158" s="7" t="s">
        <v>36</v>
      </c>
      <c r="D1158" s="7" t="s">
        <v>1397</v>
      </c>
      <c r="E1158" s="7" t="s">
        <v>155</v>
      </c>
      <c r="F1158" s="7" t="s">
        <v>16</v>
      </c>
    </row>
    <row r="1159" ht="22.5" customHeight="1">
      <c r="A1159" s="7" t="s">
        <v>152</v>
      </c>
      <c r="B1159" s="8" t="s">
        <v>1391</v>
      </c>
      <c r="C1159" s="7" t="s">
        <v>38</v>
      </c>
      <c r="D1159" s="7" t="s">
        <v>1398</v>
      </c>
      <c r="E1159" s="7" t="s">
        <v>155</v>
      </c>
      <c r="F1159" s="7" t="s">
        <v>16</v>
      </c>
    </row>
    <row r="1160" ht="22.5" customHeight="1">
      <c r="A1160" s="7" t="s">
        <v>152</v>
      </c>
      <c r="B1160" s="8" t="s">
        <v>1391</v>
      </c>
      <c r="C1160" s="7" t="s">
        <v>40</v>
      </c>
      <c r="D1160" s="7" t="s">
        <v>1399</v>
      </c>
      <c r="E1160" s="7" t="s">
        <v>155</v>
      </c>
      <c r="F1160" s="7" t="s">
        <v>16</v>
      </c>
    </row>
    <row r="1161" ht="22.5" customHeight="1">
      <c r="A1161" s="7" t="s">
        <v>152</v>
      </c>
      <c r="B1161" s="8" t="s">
        <v>1391</v>
      </c>
      <c r="C1161" s="7" t="s">
        <v>43</v>
      </c>
      <c r="D1161" s="7" t="s">
        <v>1400</v>
      </c>
      <c r="E1161" s="7" t="s">
        <v>155</v>
      </c>
      <c r="F1161" s="7" t="s">
        <v>16</v>
      </c>
    </row>
    <row r="1162" ht="22.5" customHeight="1">
      <c r="A1162" s="7" t="s">
        <v>1401</v>
      </c>
      <c r="B1162" s="8" t="s">
        <v>1402</v>
      </c>
      <c r="C1162" s="7" t="s">
        <v>30</v>
      </c>
      <c r="D1162" s="7" t="s">
        <v>1403</v>
      </c>
      <c r="E1162" s="7" t="s">
        <v>26</v>
      </c>
      <c r="F1162" s="7" t="s">
        <v>48</v>
      </c>
    </row>
    <row r="1163" ht="22.5" customHeight="1">
      <c r="A1163" s="7" t="s">
        <v>163</v>
      </c>
      <c r="B1163" s="8" t="s">
        <v>1404</v>
      </c>
      <c r="C1163" s="7" t="s">
        <v>30</v>
      </c>
      <c r="D1163" s="7" t="s">
        <v>1405</v>
      </c>
      <c r="E1163" s="7" t="s">
        <v>26</v>
      </c>
      <c r="F1163" s="7" t="s">
        <v>48</v>
      </c>
    </row>
    <row r="1164" ht="22.5" customHeight="1">
      <c r="A1164" s="7" t="s">
        <v>163</v>
      </c>
      <c r="B1164" s="8" t="s">
        <v>1404</v>
      </c>
      <c r="C1164" s="7" t="s">
        <v>30</v>
      </c>
      <c r="D1164" s="7" t="s">
        <v>1406</v>
      </c>
      <c r="E1164" s="7" t="s">
        <v>26</v>
      </c>
      <c r="F1164" s="7" t="s">
        <v>48</v>
      </c>
    </row>
    <row r="1165" ht="22.5" customHeight="1">
      <c r="A1165" s="7" t="s">
        <v>163</v>
      </c>
      <c r="B1165" s="8" t="s">
        <v>1404</v>
      </c>
      <c r="C1165" s="7" t="s">
        <v>30</v>
      </c>
      <c r="D1165" s="7" t="s">
        <v>1407</v>
      </c>
      <c r="E1165" s="7" t="s">
        <v>26</v>
      </c>
      <c r="F1165" s="7" t="s">
        <v>18</v>
      </c>
    </row>
    <row r="1166" ht="22.5" customHeight="1">
      <c r="A1166" s="7" t="s">
        <v>163</v>
      </c>
      <c r="B1166" s="8" t="s">
        <v>1404</v>
      </c>
      <c r="C1166" s="7" t="s">
        <v>43</v>
      </c>
      <c r="D1166" s="7" t="s">
        <v>1408</v>
      </c>
      <c r="E1166" s="7" t="s">
        <v>26</v>
      </c>
      <c r="F1166" s="7" t="s">
        <v>48</v>
      </c>
    </row>
    <row r="1167" ht="22.5" customHeight="1">
      <c r="A1167" s="7" t="s">
        <v>889</v>
      </c>
      <c r="B1167" s="8" t="s">
        <v>1409</v>
      </c>
      <c r="C1167" s="7" t="s">
        <v>30</v>
      </c>
      <c r="D1167" s="7" t="s">
        <v>1410</v>
      </c>
      <c r="E1167" s="7" t="s">
        <v>155</v>
      </c>
      <c r="F1167" s="7" t="s">
        <v>16</v>
      </c>
    </row>
    <row r="1168" ht="22.5" customHeight="1">
      <c r="A1168" s="7" t="s">
        <v>889</v>
      </c>
      <c r="B1168" s="8" t="s">
        <v>1409</v>
      </c>
      <c r="C1168" s="7" t="s">
        <v>30</v>
      </c>
      <c r="D1168" s="7" t="s">
        <v>1411</v>
      </c>
      <c r="E1168" s="7" t="s">
        <v>155</v>
      </c>
      <c r="F1168" s="7" t="s">
        <v>18</v>
      </c>
    </row>
    <row r="1169" ht="22.5" customHeight="1">
      <c r="A1169" s="7" t="s">
        <v>889</v>
      </c>
      <c r="B1169" s="8" t="s">
        <v>1409</v>
      </c>
      <c r="C1169" s="7" t="s">
        <v>30</v>
      </c>
      <c r="D1169" s="7" t="s">
        <v>1412</v>
      </c>
      <c r="E1169" s="7" t="s">
        <v>155</v>
      </c>
      <c r="F1169" s="7" t="s">
        <v>20</v>
      </c>
    </row>
    <row r="1170" ht="22.5" customHeight="1">
      <c r="A1170" s="7" t="s">
        <v>889</v>
      </c>
      <c r="B1170" s="8" t="s">
        <v>1409</v>
      </c>
      <c r="C1170" s="7" t="s">
        <v>30</v>
      </c>
      <c r="D1170" s="7" t="s">
        <v>1413</v>
      </c>
      <c r="E1170" s="7" t="s">
        <v>155</v>
      </c>
      <c r="F1170" s="7" t="s">
        <v>22</v>
      </c>
    </row>
    <row r="1171" ht="22.5" customHeight="1">
      <c r="A1171" s="7" t="s">
        <v>889</v>
      </c>
      <c r="B1171" s="8" t="s">
        <v>1409</v>
      </c>
      <c r="C1171" s="7" t="s">
        <v>30</v>
      </c>
      <c r="D1171" s="7" t="s">
        <v>1414</v>
      </c>
      <c r="E1171" s="7" t="s">
        <v>155</v>
      </c>
      <c r="F1171" s="7" t="s">
        <v>24</v>
      </c>
    </row>
    <row r="1172" ht="22.5" customHeight="1">
      <c r="A1172" s="7" t="s">
        <v>889</v>
      </c>
      <c r="B1172" s="8" t="s">
        <v>1409</v>
      </c>
      <c r="C1172" s="7" t="s">
        <v>30</v>
      </c>
      <c r="D1172" s="7" t="s">
        <v>1415</v>
      </c>
      <c r="E1172" s="7" t="s">
        <v>26</v>
      </c>
      <c r="F1172" s="7" t="s">
        <v>16</v>
      </c>
    </row>
    <row r="1173" ht="22.5" customHeight="1">
      <c r="A1173" s="7" t="s">
        <v>889</v>
      </c>
      <c r="B1173" s="8" t="s">
        <v>1409</v>
      </c>
      <c r="C1173" s="7" t="s">
        <v>30</v>
      </c>
      <c r="D1173" s="7" t="s">
        <v>1416</v>
      </c>
      <c r="E1173" s="7" t="s">
        <v>26</v>
      </c>
      <c r="F1173" s="7" t="s">
        <v>16</v>
      </c>
    </row>
    <row r="1174" ht="22.5" customHeight="1">
      <c r="A1174" s="7" t="s">
        <v>889</v>
      </c>
      <c r="B1174" s="8" t="s">
        <v>1409</v>
      </c>
      <c r="C1174" s="7" t="s">
        <v>30</v>
      </c>
      <c r="D1174" s="7" t="s">
        <v>1417</v>
      </c>
      <c r="E1174" s="7" t="s">
        <v>26</v>
      </c>
      <c r="F1174" s="7" t="s">
        <v>16</v>
      </c>
    </row>
    <row r="1175" ht="22.5" customHeight="1">
      <c r="A1175" s="7" t="s">
        <v>889</v>
      </c>
      <c r="B1175" s="8" t="s">
        <v>1409</v>
      </c>
      <c r="C1175" s="7" t="s">
        <v>30</v>
      </c>
      <c r="D1175" s="7" t="s">
        <v>1418</v>
      </c>
      <c r="E1175" s="7" t="s">
        <v>26</v>
      </c>
      <c r="F1175" s="7" t="s">
        <v>16</v>
      </c>
    </row>
    <row r="1176" ht="22.5" customHeight="1">
      <c r="A1176" s="7" t="s">
        <v>889</v>
      </c>
      <c r="B1176" s="8" t="s">
        <v>1409</v>
      </c>
      <c r="C1176" s="7" t="s">
        <v>30</v>
      </c>
      <c r="D1176" s="7" t="s">
        <v>1419</v>
      </c>
      <c r="E1176" s="7" t="s">
        <v>26</v>
      </c>
      <c r="F1176" s="7" t="s">
        <v>16</v>
      </c>
    </row>
    <row r="1177" ht="22.5" customHeight="1">
      <c r="A1177" s="7" t="s">
        <v>889</v>
      </c>
      <c r="B1177" s="8" t="s">
        <v>1409</v>
      </c>
      <c r="C1177" s="7" t="s">
        <v>36</v>
      </c>
      <c r="D1177" s="7" t="s">
        <v>1420</v>
      </c>
      <c r="E1177" s="7" t="s">
        <v>155</v>
      </c>
      <c r="F1177" s="7" t="s">
        <v>16</v>
      </c>
    </row>
    <row r="1178" ht="22.5" customHeight="1">
      <c r="A1178" s="7" t="s">
        <v>889</v>
      </c>
      <c r="B1178" s="8" t="s">
        <v>1409</v>
      </c>
      <c r="C1178" s="7" t="s">
        <v>38</v>
      </c>
      <c r="D1178" s="7" t="s">
        <v>1421</v>
      </c>
      <c r="E1178" s="7" t="s">
        <v>155</v>
      </c>
      <c r="F1178" s="7" t="s">
        <v>16</v>
      </c>
    </row>
    <row r="1179" ht="22.5" customHeight="1">
      <c r="A1179" s="7" t="s">
        <v>889</v>
      </c>
      <c r="B1179" s="8" t="s">
        <v>1409</v>
      </c>
      <c r="C1179" s="7" t="s">
        <v>40</v>
      </c>
      <c r="D1179" s="7" t="s">
        <v>1422</v>
      </c>
      <c r="E1179" s="7" t="s">
        <v>155</v>
      </c>
      <c r="F1179" s="7" t="s">
        <v>16</v>
      </c>
    </row>
    <row r="1180" ht="22.5" customHeight="1">
      <c r="A1180" s="7" t="s">
        <v>889</v>
      </c>
      <c r="B1180" s="8" t="s">
        <v>1409</v>
      </c>
      <c r="C1180" s="7" t="s">
        <v>43</v>
      </c>
      <c r="D1180" s="7" t="s">
        <v>1423</v>
      </c>
      <c r="E1180" s="7" t="s">
        <v>155</v>
      </c>
      <c r="F1180" s="7" t="s">
        <v>16</v>
      </c>
    </row>
    <row r="1181" ht="22.5" customHeight="1">
      <c r="A1181" s="7" t="s">
        <v>226</v>
      </c>
      <c r="B1181" s="8" t="s">
        <v>1424</v>
      </c>
      <c r="C1181" s="7" t="s">
        <v>30</v>
      </c>
      <c r="D1181" s="7" t="s">
        <v>1425</v>
      </c>
      <c r="E1181" s="7" t="s">
        <v>16</v>
      </c>
      <c r="F1181" s="7" t="s">
        <v>16</v>
      </c>
    </row>
    <row r="1182" ht="22.5" customHeight="1">
      <c r="A1182" s="7" t="s">
        <v>226</v>
      </c>
      <c r="B1182" s="8" t="s">
        <v>1424</v>
      </c>
      <c r="C1182" s="7" t="s">
        <v>36</v>
      </c>
      <c r="D1182" s="7" t="s">
        <v>1426</v>
      </c>
      <c r="E1182" s="7" t="s">
        <v>16</v>
      </c>
      <c r="F1182" s="7" t="s">
        <v>16</v>
      </c>
    </row>
    <row r="1183" ht="22.5" customHeight="1">
      <c r="A1183" s="7" t="s">
        <v>226</v>
      </c>
      <c r="B1183" s="8" t="s">
        <v>1424</v>
      </c>
      <c r="C1183" s="7" t="s">
        <v>230</v>
      </c>
      <c r="D1183" s="7" t="s">
        <v>1427</v>
      </c>
      <c r="E1183" s="7" t="s">
        <v>16</v>
      </c>
      <c r="F1183" s="7" t="s">
        <v>16</v>
      </c>
    </row>
    <row r="1184" ht="22.5" customHeight="1">
      <c r="A1184" s="7" t="s">
        <v>226</v>
      </c>
      <c r="B1184" s="8" t="s">
        <v>1424</v>
      </c>
      <c r="C1184" s="7" t="s">
        <v>38</v>
      </c>
      <c r="D1184" s="7" t="s">
        <v>1428</v>
      </c>
      <c r="E1184" s="7" t="s">
        <v>16</v>
      </c>
      <c r="F1184" s="7" t="s">
        <v>16</v>
      </c>
    </row>
    <row r="1185" ht="22.5" customHeight="1">
      <c r="A1185" s="7" t="s">
        <v>226</v>
      </c>
      <c r="B1185" s="8" t="s">
        <v>1424</v>
      </c>
      <c r="C1185" s="7" t="s">
        <v>233</v>
      </c>
      <c r="D1185" s="7" t="s">
        <v>1429</v>
      </c>
      <c r="E1185" s="7" t="s">
        <v>16</v>
      </c>
      <c r="F1185" s="7" t="s">
        <v>16</v>
      </c>
    </row>
    <row r="1186" ht="22.5" customHeight="1">
      <c r="A1186" s="7" t="s">
        <v>226</v>
      </c>
      <c r="B1186" s="8" t="s">
        <v>1424</v>
      </c>
      <c r="C1186" s="7" t="s">
        <v>40</v>
      </c>
      <c r="D1186" s="7" t="s">
        <v>1430</v>
      </c>
      <c r="E1186" s="7" t="s">
        <v>16</v>
      </c>
      <c r="F1186" s="7" t="s">
        <v>16</v>
      </c>
    </row>
    <row r="1187" ht="22.5" customHeight="1">
      <c r="A1187" s="7" t="s">
        <v>226</v>
      </c>
      <c r="B1187" s="8" t="s">
        <v>1424</v>
      </c>
      <c r="C1187" s="7" t="s">
        <v>236</v>
      </c>
      <c r="D1187" s="7" t="s">
        <v>1431</v>
      </c>
      <c r="E1187" s="7" t="s">
        <v>16</v>
      </c>
      <c r="F1187" s="7" t="s">
        <v>16</v>
      </c>
    </row>
    <row r="1188" ht="22.5" customHeight="1">
      <c r="A1188" s="7" t="s">
        <v>226</v>
      </c>
      <c r="B1188" s="8" t="s">
        <v>1424</v>
      </c>
      <c r="C1188" s="7" t="s">
        <v>43</v>
      </c>
      <c r="D1188" s="7" t="s">
        <v>1432</v>
      </c>
      <c r="E1188" s="7" t="s">
        <v>16</v>
      </c>
      <c r="F1188" s="7" t="s">
        <v>16</v>
      </c>
    </row>
    <row r="1189" ht="22.5" customHeight="1">
      <c r="A1189" s="7" t="s">
        <v>226</v>
      </c>
      <c r="B1189" s="8" t="s">
        <v>1424</v>
      </c>
      <c r="C1189" s="7" t="s">
        <v>239</v>
      </c>
      <c r="D1189" s="7" t="s">
        <v>1433</v>
      </c>
      <c r="E1189" s="7" t="s">
        <v>16</v>
      </c>
      <c r="F1189" s="7" t="s">
        <v>16</v>
      </c>
    </row>
    <row r="1190" ht="22.5" customHeight="1">
      <c r="A1190" s="7" t="s">
        <v>67</v>
      </c>
      <c r="B1190" s="8" t="s">
        <v>1434</v>
      </c>
      <c r="C1190" s="7" t="s">
        <v>30</v>
      </c>
      <c r="D1190" s="7" t="s">
        <v>1435</v>
      </c>
      <c r="E1190" s="7" t="s">
        <v>26</v>
      </c>
      <c r="F1190" s="7" t="s">
        <v>48</v>
      </c>
    </row>
    <row r="1191" ht="22.5" customHeight="1">
      <c r="A1191" s="7" t="s">
        <v>67</v>
      </c>
      <c r="B1191" s="8" t="s">
        <v>1436</v>
      </c>
      <c r="C1191" s="7" t="s">
        <v>30</v>
      </c>
      <c r="D1191" s="7" t="s">
        <v>1437</v>
      </c>
      <c r="E1191" s="7" t="s">
        <v>26</v>
      </c>
      <c r="F1191" s="7" t="s">
        <v>48</v>
      </c>
    </row>
    <row r="1192" ht="22.5" customHeight="1">
      <c r="A1192" s="7" t="s">
        <v>57</v>
      </c>
      <c r="B1192" s="8" t="s">
        <v>1438</v>
      </c>
      <c r="C1192" s="7" t="s">
        <v>30</v>
      </c>
      <c r="D1192" s="7" t="s">
        <v>1439</v>
      </c>
      <c r="E1192" s="7" t="s">
        <v>26</v>
      </c>
      <c r="F1192" s="7" t="s">
        <v>48</v>
      </c>
    </row>
    <row r="1193" ht="22.5" customHeight="1">
      <c r="A1193" s="7" t="s">
        <v>57</v>
      </c>
      <c r="B1193" s="8" t="s">
        <v>1438</v>
      </c>
      <c r="C1193" s="7" t="s">
        <v>43</v>
      </c>
      <c r="D1193" s="7" t="s">
        <v>1440</v>
      </c>
      <c r="E1193" s="7" t="s">
        <v>26</v>
      </c>
      <c r="F1193" s="7" t="s">
        <v>48</v>
      </c>
    </row>
    <row r="1194" ht="22.5" customHeight="1">
      <c r="A1194" s="7" t="s">
        <v>279</v>
      </c>
      <c r="B1194" s="8" t="s">
        <v>1441</v>
      </c>
      <c r="C1194" s="7" t="s">
        <v>14</v>
      </c>
      <c r="D1194" s="7" t="s">
        <v>1442</v>
      </c>
      <c r="E1194" s="7" t="s">
        <v>16</v>
      </c>
      <c r="F1194" s="7" t="s">
        <v>18</v>
      </c>
    </row>
    <row r="1195" ht="22.5" customHeight="1">
      <c r="A1195" s="7" t="s">
        <v>279</v>
      </c>
      <c r="B1195" s="8" t="s">
        <v>1441</v>
      </c>
      <c r="C1195" s="7" t="s">
        <v>14</v>
      </c>
      <c r="D1195" s="7" t="s">
        <v>1443</v>
      </c>
      <c r="E1195" s="7" t="s">
        <v>16</v>
      </c>
      <c r="F1195" s="7" t="s">
        <v>20</v>
      </c>
    </row>
    <row r="1196" ht="22.5" customHeight="1">
      <c r="A1196" s="7" t="s">
        <v>279</v>
      </c>
      <c r="B1196" s="8" t="s">
        <v>1441</v>
      </c>
      <c r="C1196" s="7" t="s">
        <v>14</v>
      </c>
      <c r="D1196" s="7" t="s">
        <v>1444</v>
      </c>
      <c r="E1196" s="7" t="s">
        <v>16</v>
      </c>
      <c r="F1196" s="7" t="s">
        <v>22</v>
      </c>
    </row>
    <row r="1197" ht="22.5" customHeight="1">
      <c r="A1197" s="7" t="s">
        <v>279</v>
      </c>
      <c r="B1197" s="8" t="s">
        <v>1441</v>
      </c>
      <c r="C1197" s="7" t="s">
        <v>14</v>
      </c>
      <c r="D1197" s="7" t="s">
        <v>1445</v>
      </c>
      <c r="E1197" s="7" t="s">
        <v>16</v>
      </c>
      <c r="F1197" s="7" t="s">
        <v>24</v>
      </c>
    </row>
    <row r="1198" ht="22.5" customHeight="1">
      <c r="A1198" s="7" t="s">
        <v>279</v>
      </c>
      <c r="B1198" s="8" t="s">
        <v>1441</v>
      </c>
      <c r="C1198" s="7" t="s">
        <v>14</v>
      </c>
      <c r="D1198" s="7" t="s">
        <v>1446</v>
      </c>
      <c r="E1198" s="7" t="s">
        <v>26</v>
      </c>
      <c r="F1198" s="7" t="s">
        <v>18</v>
      </c>
    </row>
    <row r="1199" ht="22.5" customHeight="1">
      <c r="A1199" s="7" t="s">
        <v>279</v>
      </c>
      <c r="B1199" s="8" t="s">
        <v>1441</v>
      </c>
      <c r="C1199" s="7" t="s">
        <v>14</v>
      </c>
      <c r="D1199" s="7" t="s">
        <v>1447</v>
      </c>
      <c r="E1199" s="7" t="s">
        <v>26</v>
      </c>
      <c r="F1199" s="7" t="s">
        <v>18</v>
      </c>
    </row>
    <row r="1200" ht="22.5" customHeight="1">
      <c r="A1200" s="7" t="s">
        <v>279</v>
      </c>
      <c r="B1200" s="8" t="s">
        <v>1441</v>
      </c>
      <c r="C1200" s="7" t="s">
        <v>14</v>
      </c>
      <c r="D1200" s="7" t="s">
        <v>1448</v>
      </c>
      <c r="E1200" s="7" t="s">
        <v>26</v>
      </c>
      <c r="F1200" s="7" t="s">
        <v>20</v>
      </c>
    </row>
    <row r="1201" ht="22.5" customHeight="1">
      <c r="A1201" s="7" t="s">
        <v>279</v>
      </c>
      <c r="B1201" s="8" t="s">
        <v>1441</v>
      </c>
      <c r="C1201" s="7" t="s">
        <v>14</v>
      </c>
      <c r="D1201" s="7" t="s">
        <v>1449</v>
      </c>
      <c r="E1201" s="7" t="s">
        <v>26</v>
      </c>
      <c r="F1201" s="7" t="s">
        <v>20</v>
      </c>
    </row>
    <row r="1202" ht="22.5" customHeight="1">
      <c r="A1202" s="7" t="s">
        <v>279</v>
      </c>
      <c r="B1202" s="8" t="s">
        <v>1441</v>
      </c>
      <c r="C1202" s="7" t="s">
        <v>14</v>
      </c>
      <c r="D1202" s="7" t="s">
        <v>1450</v>
      </c>
      <c r="E1202" s="7" t="s">
        <v>26</v>
      </c>
      <c r="F1202" s="7" t="s">
        <v>22</v>
      </c>
    </row>
    <row r="1203" ht="22.5" customHeight="1">
      <c r="A1203" s="7" t="s">
        <v>279</v>
      </c>
      <c r="B1203" s="8" t="s">
        <v>1441</v>
      </c>
      <c r="C1203" s="7" t="s">
        <v>14</v>
      </c>
      <c r="D1203" s="7" t="s">
        <v>1451</v>
      </c>
      <c r="E1203" s="7" t="s">
        <v>26</v>
      </c>
      <c r="F1203" s="7" t="s">
        <v>22</v>
      </c>
    </row>
    <row r="1204" ht="22.5" customHeight="1">
      <c r="A1204" s="7" t="s">
        <v>279</v>
      </c>
      <c r="B1204" s="8" t="s">
        <v>1441</v>
      </c>
      <c r="C1204" s="7" t="s">
        <v>14</v>
      </c>
      <c r="D1204" s="7" t="s">
        <v>1452</v>
      </c>
      <c r="E1204" s="7" t="s">
        <v>26</v>
      </c>
      <c r="F1204" s="7" t="s">
        <v>24</v>
      </c>
    </row>
    <row r="1205" ht="22.5" customHeight="1">
      <c r="A1205" s="7" t="s">
        <v>279</v>
      </c>
      <c r="B1205" s="8" t="s">
        <v>1441</v>
      </c>
      <c r="C1205" s="7" t="s">
        <v>14</v>
      </c>
      <c r="D1205" s="7" t="s">
        <v>1453</v>
      </c>
      <c r="E1205" s="7" t="s">
        <v>26</v>
      </c>
      <c r="F1205" s="7" t="s">
        <v>24</v>
      </c>
    </row>
    <row r="1206" ht="22.5" customHeight="1">
      <c r="A1206" s="7" t="s">
        <v>279</v>
      </c>
      <c r="B1206" s="8" t="s">
        <v>1441</v>
      </c>
      <c r="C1206" s="7" t="s">
        <v>30</v>
      </c>
      <c r="D1206" s="7" t="s">
        <v>1454</v>
      </c>
      <c r="E1206" s="7" t="s">
        <v>16</v>
      </c>
      <c r="F1206" s="7" t="s">
        <v>16</v>
      </c>
    </row>
    <row r="1207" ht="22.5" customHeight="1">
      <c r="A1207" s="7" t="s">
        <v>279</v>
      </c>
      <c r="B1207" s="8" t="s">
        <v>1441</v>
      </c>
      <c r="C1207" s="7" t="s">
        <v>30</v>
      </c>
      <c r="D1207" s="7" t="s">
        <v>1455</v>
      </c>
      <c r="E1207" s="7" t="s">
        <v>26</v>
      </c>
      <c r="F1207" s="7" t="s">
        <v>18</v>
      </c>
    </row>
    <row r="1208" ht="22.5" customHeight="1">
      <c r="A1208" s="7" t="s">
        <v>279</v>
      </c>
      <c r="B1208" s="8" t="s">
        <v>1441</v>
      </c>
      <c r="C1208" s="7" t="s">
        <v>30</v>
      </c>
      <c r="D1208" s="7" t="s">
        <v>1456</v>
      </c>
      <c r="E1208" s="7" t="s">
        <v>26</v>
      </c>
      <c r="F1208" s="7" t="s">
        <v>20</v>
      </c>
    </row>
    <row r="1209" ht="22.5" customHeight="1">
      <c r="A1209" s="7" t="s">
        <v>279</v>
      </c>
      <c r="B1209" s="8" t="s">
        <v>1441</v>
      </c>
      <c r="C1209" s="7" t="s">
        <v>30</v>
      </c>
      <c r="D1209" s="7" t="s">
        <v>1457</v>
      </c>
      <c r="E1209" s="7" t="s">
        <v>26</v>
      </c>
      <c r="F1209" s="7" t="s">
        <v>22</v>
      </c>
    </row>
    <row r="1210" ht="22.5" customHeight="1">
      <c r="A1210" s="7" t="s">
        <v>279</v>
      </c>
      <c r="B1210" s="8" t="s">
        <v>1441</v>
      </c>
      <c r="C1210" s="7" t="s">
        <v>30</v>
      </c>
      <c r="D1210" s="7" t="s">
        <v>1458</v>
      </c>
      <c r="E1210" s="7" t="s">
        <v>26</v>
      </c>
      <c r="F1210" s="7" t="s">
        <v>24</v>
      </c>
    </row>
    <row r="1211" ht="22.5" customHeight="1">
      <c r="A1211" s="7" t="s">
        <v>279</v>
      </c>
      <c r="B1211" s="8" t="s">
        <v>1441</v>
      </c>
      <c r="C1211" s="7" t="s">
        <v>36</v>
      </c>
      <c r="D1211" s="7" t="s">
        <v>1459</v>
      </c>
      <c r="E1211" s="7" t="s">
        <v>16</v>
      </c>
      <c r="F1211" s="7" t="s">
        <v>16</v>
      </c>
    </row>
    <row r="1212" ht="22.5" customHeight="1">
      <c r="A1212" s="7" t="s">
        <v>279</v>
      </c>
      <c r="B1212" s="8" t="s">
        <v>1441</v>
      </c>
      <c r="C1212" s="7" t="s">
        <v>38</v>
      </c>
      <c r="D1212" s="7" t="s">
        <v>1460</v>
      </c>
      <c r="E1212" s="7" t="s">
        <v>16</v>
      </c>
      <c r="F1212" s="7" t="s">
        <v>16</v>
      </c>
    </row>
    <row r="1213" ht="22.5" customHeight="1">
      <c r="A1213" s="7" t="s">
        <v>279</v>
      </c>
      <c r="B1213" s="8" t="s">
        <v>1441</v>
      </c>
      <c r="C1213" s="7" t="s">
        <v>40</v>
      </c>
      <c r="D1213" s="7" t="s">
        <v>1461</v>
      </c>
      <c r="E1213" s="7" t="s">
        <v>16</v>
      </c>
      <c r="F1213" s="7" t="s">
        <v>16</v>
      </c>
    </row>
    <row r="1214" ht="22.5" customHeight="1">
      <c r="A1214" s="7" t="s">
        <v>279</v>
      </c>
      <c r="B1214" s="8" t="s">
        <v>1441</v>
      </c>
      <c r="C1214" s="7" t="s">
        <v>43</v>
      </c>
      <c r="D1214" s="7" t="s">
        <v>1462</v>
      </c>
      <c r="E1214" s="7" t="s">
        <v>16</v>
      </c>
      <c r="F1214" s="7" t="s">
        <v>16</v>
      </c>
    </row>
    <row r="1215" ht="22.5" customHeight="1">
      <c r="A1215" s="7" t="s">
        <v>195</v>
      </c>
      <c r="B1215" s="8" t="s">
        <v>1463</v>
      </c>
      <c r="C1215" s="7" t="s">
        <v>43</v>
      </c>
      <c r="D1215" s="7" t="s">
        <v>1464</v>
      </c>
      <c r="E1215" s="7" t="s">
        <v>16</v>
      </c>
      <c r="F1215" s="7" t="s">
        <v>16</v>
      </c>
    </row>
    <row r="1216" ht="22.5" customHeight="1">
      <c r="A1216" s="7" t="s">
        <v>195</v>
      </c>
      <c r="B1216" s="8" t="s">
        <v>1463</v>
      </c>
      <c r="C1216" s="7" t="s">
        <v>43</v>
      </c>
      <c r="D1216" s="7" t="s">
        <v>1465</v>
      </c>
      <c r="E1216" s="7" t="s">
        <v>26</v>
      </c>
      <c r="F1216" s="7" t="s">
        <v>48</v>
      </c>
    </row>
    <row r="1217" ht="22.5" customHeight="1">
      <c r="A1217" s="7" t="s">
        <v>195</v>
      </c>
      <c r="B1217" s="8" t="s">
        <v>1463</v>
      </c>
      <c r="C1217" s="7" t="s">
        <v>103</v>
      </c>
      <c r="D1217" s="7" t="s">
        <v>1466</v>
      </c>
      <c r="E1217" s="7" t="s">
        <v>105</v>
      </c>
      <c r="F1217" s="7" t="s">
        <v>48</v>
      </c>
    </row>
    <row r="1218" ht="22.5" customHeight="1">
      <c r="A1218" s="7" t="s">
        <v>195</v>
      </c>
      <c r="B1218" s="8" t="s">
        <v>1463</v>
      </c>
      <c r="C1218" s="7" t="s">
        <v>30</v>
      </c>
      <c r="D1218" s="7" t="s">
        <v>1467</v>
      </c>
      <c r="E1218" s="7" t="s">
        <v>76</v>
      </c>
      <c r="F1218" s="7" t="s">
        <v>1468</v>
      </c>
    </row>
    <row r="1219" ht="22.5" customHeight="1">
      <c r="A1219" s="7" t="s">
        <v>139</v>
      </c>
      <c r="B1219" s="8" t="s">
        <v>1469</v>
      </c>
      <c r="C1219" s="7" t="s">
        <v>14</v>
      </c>
      <c r="D1219" s="7" t="s">
        <v>1470</v>
      </c>
      <c r="E1219" s="7" t="s">
        <v>16</v>
      </c>
      <c r="F1219" s="7" t="s">
        <v>48</v>
      </c>
    </row>
    <row r="1220" ht="22.5" customHeight="1">
      <c r="A1220" s="7" t="s">
        <v>139</v>
      </c>
      <c r="B1220" s="8" t="s">
        <v>1469</v>
      </c>
      <c r="C1220" s="7" t="s">
        <v>14</v>
      </c>
      <c r="D1220" s="7" t="s">
        <v>1471</v>
      </c>
      <c r="E1220" s="7" t="s">
        <v>16</v>
      </c>
      <c r="F1220" s="7" t="s">
        <v>48</v>
      </c>
    </row>
    <row r="1221" ht="22.5" customHeight="1">
      <c r="A1221" s="7" t="s">
        <v>139</v>
      </c>
      <c r="B1221" s="8" t="s">
        <v>1469</v>
      </c>
      <c r="C1221" s="7" t="s">
        <v>14</v>
      </c>
      <c r="D1221" s="7" t="s">
        <v>1472</v>
      </c>
      <c r="E1221" s="7" t="s">
        <v>76</v>
      </c>
      <c r="F1221" s="7" t="s">
        <v>1473</v>
      </c>
    </row>
    <row r="1222" ht="22.5" customHeight="1">
      <c r="A1222" s="7" t="s">
        <v>139</v>
      </c>
      <c r="B1222" s="8" t="s">
        <v>1474</v>
      </c>
      <c r="C1222" s="7" t="s">
        <v>14</v>
      </c>
      <c r="D1222" s="7" t="s">
        <v>1475</v>
      </c>
      <c r="E1222" s="7" t="s">
        <v>16</v>
      </c>
      <c r="F1222" s="7" t="s">
        <v>48</v>
      </c>
    </row>
    <row r="1223" ht="22.5" customHeight="1">
      <c r="A1223" s="7" t="s">
        <v>139</v>
      </c>
      <c r="B1223" s="8" t="s">
        <v>1474</v>
      </c>
      <c r="C1223" s="7" t="s">
        <v>14</v>
      </c>
      <c r="D1223" s="7" t="s">
        <v>1476</v>
      </c>
      <c r="E1223" s="7" t="s">
        <v>16</v>
      </c>
      <c r="F1223" s="7" t="s">
        <v>48</v>
      </c>
    </row>
    <row r="1224" ht="22.5" customHeight="1">
      <c r="A1224" s="7" t="s">
        <v>139</v>
      </c>
      <c r="B1224" s="8" t="s">
        <v>1474</v>
      </c>
      <c r="C1224" s="7" t="s">
        <v>14</v>
      </c>
      <c r="D1224" s="7" t="s">
        <v>1477</v>
      </c>
      <c r="E1224" s="7" t="s">
        <v>16</v>
      </c>
      <c r="F1224" s="7" t="s">
        <v>48</v>
      </c>
    </row>
    <row r="1225" ht="22.5" customHeight="1">
      <c r="A1225" s="7" t="s">
        <v>139</v>
      </c>
      <c r="B1225" s="8" t="s">
        <v>1474</v>
      </c>
      <c r="C1225" s="7" t="s">
        <v>103</v>
      </c>
      <c r="D1225" s="7" t="s">
        <v>1478</v>
      </c>
      <c r="E1225" s="7" t="s">
        <v>105</v>
      </c>
      <c r="F1225" s="7" t="s">
        <v>48</v>
      </c>
    </row>
    <row r="1226" ht="22.5" customHeight="1">
      <c r="A1226" s="7" t="s">
        <v>226</v>
      </c>
      <c r="B1226" s="8" t="s">
        <v>1479</v>
      </c>
      <c r="C1226" s="7" t="s">
        <v>30</v>
      </c>
      <c r="D1226" s="7" t="s">
        <v>1480</v>
      </c>
      <c r="E1226" s="7" t="s">
        <v>16</v>
      </c>
      <c r="F1226" s="7" t="s">
        <v>16</v>
      </c>
    </row>
    <row r="1227" ht="22.5" customHeight="1">
      <c r="A1227" s="7" t="s">
        <v>53</v>
      </c>
      <c r="B1227" s="8" t="s">
        <v>1481</v>
      </c>
      <c r="C1227" s="7" t="s">
        <v>30</v>
      </c>
      <c r="D1227" s="7" t="s">
        <v>1482</v>
      </c>
      <c r="E1227" s="7" t="s">
        <v>26</v>
      </c>
      <c r="F1227" s="7" t="s">
        <v>48</v>
      </c>
    </row>
    <row r="1228" ht="22.5" customHeight="1">
      <c r="A1228" s="7" t="s">
        <v>53</v>
      </c>
      <c r="B1228" s="8" t="s">
        <v>1481</v>
      </c>
      <c r="C1228" s="7" t="s">
        <v>38</v>
      </c>
      <c r="D1228" s="7" t="s">
        <v>1483</v>
      </c>
      <c r="E1228" s="7" t="s">
        <v>26</v>
      </c>
      <c r="F1228" s="7" t="s">
        <v>48</v>
      </c>
    </row>
    <row r="1229" ht="22.5" customHeight="1">
      <c r="A1229" s="7" t="s">
        <v>53</v>
      </c>
      <c r="B1229" s="8" t="s">
        <v>1481</v>
      </c>
      <c r="C1229" s="7" t="s">
        <v>43</v>
      </c>
      <c r="D1229" s="7" t="s">
        <v>1484</v>
      </c>
      <c r="E1229" s="7" t="s">
        <v>26</v>
      </c>
      <c r="F1229" s="7" t="s">
        <v>48</v>
      </c>
    </row>
    <row r="1230" ht="22.5" customHeight="1">
      <c r="A1230" s="7" t="s">
        <v>1401</v>
      </c>
      <c r="B1230" s="8" t="s">
        <v>1485</v>
      </c>
      <c r="C1230" s="7" t="s">
        <v>30</v>
      </c>
      <c r="D1230" s="7" t="s">
        <v>1486</v>
      </c>
      <c r="E1230" s="7" t="s">
        <v>151</v>
      </c>
      <c r="F1230" s="7" t="s">
        <v>16</v>
      </c>
    </row>
    <row r="1231" ht="22.5" customHeight="1">
      <c r="A1231" s="7" t="s">
        <v>1401</v>
      </c>
      <c r="B1231" s="8" t="s">
        <v>1485</v>
      </c>
      <c r="C1231" s="7" t="s">
        <v>30</v>
      </c>
      <c r="D1231" s="7" t="s">
        <v>1487</v>
      </c>
      <c r="E1231" s="7" t="s">
        <v>151</v>
      </c>
      <c r="F1231" s="7" t="s">
        <v>18</v>
      </c>
    </row>
    <row r="1232" ht="22.5" customHeight="1">
      <c r="A1232" s="7" t="s">
        <v>1401</v>
      </c>
      <c r="B1232" s="8" t="s">
        <v>1485</v>
      </c>
      <c r="C1232" s="7" t="s">
        <v>30</v>
      </c>
      <c r="D1232" s="7" t="s">
        <v>1488</v>
      </c>
      <c r="E1232" s="7" t="s">
        <v>151</v>
      </c>
      <c r="F1232" s="7" t="s">
        <v>20</v>
      </c>
    </row>
    <row r="1233" ht="22.5" customHeight="1">
      <c r="A1233" s="7" t="s">
        <v>1401</v>
      </c>
      <c r="B1233" s="8" t="s">
        <v>1485</v>
      </c>
      <c r="C1233" s="7" t="s">
        <v>30</v>
      </c>
      <c r="D1233" s="7" t="s">
        <v>1489</v>
      </c>
      <c r="E1233" s="7" t="s">
        <v>151</v>
      </c>
      <c r="F1233" s="7" t="s">
        <v>22</v>
      </c>
    </row>
    <row r="1234" ht="22.5" customHeight="1">
      <c r="A1234" s="7" t="s">
        <v>1401</v>
      </c>
      <c r="B1234" s="8" t="s">
        <v>1485</v>
      </c>
      <c r="C1234" s="7" t="s">
        <v>30</v>
      </c>
      <c r="D1234" s="7" t="s">
        <v>1490</v>
      </c>
      <c r="E1234" s="7" t="s">
        <v>151</v>
      </c>
      <c r="F1234" s="7" t="s">
        <v>24</v>
      </c>
    </row>
    <row r="1235" ht="22.5" customHeight="1">
      <c r="A1235" s="7" t="s">
        <v>1401</v>
      </c>
      <c r="B1235" s="8" t="s">
        <v>1485</v>
      </c>
      <c r="C1235" s="7" t="s">
        <v>30</v>
      </c>
      <c r="D1235" s="7" t="s">
        <v>1491</v>
      </c>
      <c r="E1235" s="7" t="s">
        <v>151</v>
      </c>
      <c r="F1235" s="7" t="s">
        <v>70</v>
      </c>
    </row>
    <row r="1236" ht="22.5" customHeight="1">
      <c r="A1236" s="7" t="s">
        <v>1401</v>
      </c>
      <c r="B1236" s="8" t="s">
        <v>1485</v>
      </c>
      <c r="C1236" s="7" t="s">
        <v>36</v>
      </c>
      <c r="D1236" s="7" t="s">
        <v>1492</v>
      </c>
      <c r="E1236" s="7" t="s">
        <v>151</v>
      </c>
      <c r="F1236" s="7" t="s">
        <v>16</v>
      </c>
    </row>
    <row r="1237" ht="22.5" customHeight="1">
      <c r="A1237" s="7" t="s">
        <v>1401</v>
      </c>
      <c r="B1237" s="8" t="s">
        <v>1485</v>
      </c>
      <c r="C1237" s="7" t="s">
        <v>38</v>
      </c>
      <c r="D1237" s="7" t="s">
        <v>1493</v>
      </c>
      <c r="E1237" s="7" t="s">
        <v>151</v>
      </c>
      <c r="F1237" s="7" t="s">
        <v>16</v>
      </c>
    </row>
    <row r="1238" ht="22.5" customHeight="1">
      <c r="A1238" s="7" t="s">
        <v>1401</v>
      </c>
      <c r="B1238" s="8" t="s">
        <v>1485</v>
      </c>
      <c r="C1238" s="7" t="s">
        <v>40</v>
      </c>
      <c r="D1238" s="7" t="s">
        <v>1494</v>
      </c>
      <c r="E1238" s="7" t="s">
        <v>151</v>
      </c>
      <c r="F1238" s="7" t="s">
        <v>16</v>
      </c>
    </row>
    <row r="1239" ht="22.5" customHeight="1">
      <c r="A1239" s="7" t="s">
        <v>1401</v>
      </c>
      <c r="B1239" s="8" t="s">
        <v>1485</v>
      </c>
      <c r="C1239" s="7" t="s">
        <v>43</v>
      </c>
      <c r="D1239" s="7" t="s">
        <v>1495</v>
      </c>
      <c r="E1239" s="7" t="s">
        <v>151</v>
      </c>
      <c r="F1239" s="7" t="s">
        <v>16</v>
      </c>
    </row>
    <row r="1240" ht="22.5" customHeight="1">
      <c r="A1240" s="7" t="s">
        <v>67</v>
      </c>
      <c r="B1240" s="8" t="s">
        <v>1496</v>
      </c>
      <c r="C1240" s="7" t="s">
        <v>30</v>
      </c>
      <c r="D1240" s="7" t="s">
        <v>1497</v>
      </c>
      <c r="E1240" s="7" t="s">
        <v>151</v>
      </c>
      <c r="F1240" s="7" t="s">
        <v>48</v>
      </c>
    </row>
    <row r="1241" ht="22.5" customHeight="1">
      <c r="A1241" s="7" t="s">
        <v>67</v>
      </c>
      <c r="B1241" s="8" t="s">
        <v>1496</v>
      </c>
      <c r="C1241" s="7" t="s">
        <v>30</v>
      </c>
      <c r="D1241" s="7" t="s">
        <v>1498</v>
      </c>
      <c r="E1241" s="7" t="s">
        <v>151</v>
      </c>
      <c r="F1241" s="7" t="s">
        <v>48</v>
      </c>
    </row>
    <row r="1242" ht="22.5" customHeight="1">
      <c r="A1242" s="7" t="s">
        <v>178</v>
      </c>
      <c r="B1242" s="8" t="s">
        <v>1499</v>
      </c>
      <c r="C1242" s="7" t="s">
        <v>30</v>
      </c>
      <c r="D1242" s="7" t="s">
        <v>1500</v>
      </c>
      <c r="E1242" s="7" t="s">
        <v>16</v>
      </c>
      <c r="F1242" s="7" t="s">
        <v>16</v>
      </c>
    </row>
    <row r="1243" ht="22.5" customHeight="1">
      <c r="A1243" s="7" t="s">
        <v>178</v>
      </c>
      <c r="B1243" s="8" t="s">
        <v>1499</v>
      </c>
      <c r="C1243" s="7" t="s">
        <v>30</v>
      </c>
      <c r="D1243" s="7" t="s">
        <v>1501</v>
      </c>
      <c r="E1243" s="7" t="s">
        <v>16</v>
      </c>
      <c r="F1243" s="7" t="s">
        <v>16</v>
      </c>
    </row>
    <row r="1244" ht="22.5" customHeight="1">
      <c r="A1244" s="7" t="s">
        <v>178</v>
      </c>
      <c r="B1244" s="8" t="s">
        <v>1499</v>
      </c>
      <c r="C1244" s="7" t="s">
        <v>30</v>
      </c>
      <c r="D1244" s="7" t="s">
        <v>1502</v>
      </c>
      <c r="E1244" s="7" t="s">
        <v>26</v>
      </c>
      <c r="F1244" s="7" t="s">
        <v>16</v>
      </c>
    </row>
    <row r="1245" ht="22.5" customHeight="1">
      <c r="A1245" s="7" t="s">
        <v>134</v>
      </c>
      <c r="B1245" s="8" t="s">
        <v>1503</v>
      </c>
      <c r="C1245" s="7" t="s">
        <v>14</v>
      </c>
      <c r="D1245" s="7" t="s">
        <v>1504</v>
      </c>
      <c r="E1245" s="7" t="s">
        <v>16</v>
      </c>
      <c r="F1245" s="7" t="s">
        <v>48</v>
      </c>
    </row>
    <row r="1246" ht="22.5" customHeight="1">
      <c r="A1246" s="7" t="s">
        <v>134</v>
      </c>
      <c r="B1246" s="8" t="s">
        <v>1503</v>
      </c>
      <c r="C1246" s="7" t="s">
        <v>14</v>
      </c>
      <c r="D1246" s="7" t="s">
        <v>1505</v>
      </c>
      <c r="E1246" s="7" t="s">
        <v>16</v>
      </c>
      <c r="F1246" s="7" t="s">
        <v>48</v>
      </c>
    </row>
    <row r="1247" ht="22.5" customHeight="1">
      <c r="A1247" s="7" t="s">
        <v>134</v>
      </c>
      <c r="B1247" s="8" t="s">
        <v>1503</v>
      </c>
      <c r="C1247" s="7" t="s">
        <v>14</v>
      </c>
      <c r="D1247" s="7" t="s">
        <v>1506</v>
      </c>
      <c r="E1247" s="7" t="s">
        <v>16</v>
      </c>
      <c r="F1247" s="7" t="s">
        <v>48</v>
      </c>
    </row>
    <row r="1248" ht="22.5" customHeight="1">
      <c r="A1248" s="7" t="s">
        <v>134</v>
      </c>
      <c r="B1248" s="8" t="s">
        <v>1503</v>
      </c>
      <c r="C1248" s="7" t="s">
        <v>30</v>
      </c>
      <c r="D1248" s="7" t="s">
        <v>1507</v>
      </c>
      <c r="E1248" s="7" t="s">
        <v>16</v>
      </c>
      <c r="F1248" s="7" t="s">
        <v>48</v>
      </c>
    </row>
    <row r="1249" ht="22.5" customHeight="1">
      <c r="A1249" s="7" t="s">
        <v>12</v>
      </c>
      <c r="B1249" s="8" t="s">
        <v>1508</v>
      </c>
      <c r="C1249" s="7" t="s">
        <v>14</v>
      </c>
      <c r="D1249" s="7" t="s">
        <v>1509</v>
      </c>
      <c r="E1249" s="7" t="s">
        <v>16</v>
      </c>
      <c r="F1249" s="7" t="s">
        <v>48</v>
      </c>
    </row>
    <row r="1250" ht="22.5" customHeight="1">
      <c r="A1250" s="7" t="s">
        <v>12</v>
      </c>
      <c r="B1250" s="8" t="s">
        <v>1508</v>
      </c>
      <c r="C1250" s="7" t="s">
        <v>14</v>
      </c>
      <c r="D1250" s="7" t="s">
        <v>1510</v>
      </c>
      <c r="E1250" s="7" t="s">
        <v>26</v>
      </c>
      <c r="F1250" s="7" t="s">
        <v>48</v>
      </c>
    </row>
    <row r="1251" ht="22.5" customHeight="1">
      <c r="A1251" s="7" t="s">
        <v>12</v>
      </c>
      <c r="B1251" s="8" t="s">
        <v>1508</v>
      </c>
      <c r="C1251" s="7" t="s">
        <v>30</v>
      </c>
      <c r="D1251" s="7" t="s">
        <v>1511</v>
      </c>
      <c r="E1251" s="7" t="s">
        <v>16</v>
      </c>
      <c r="F1251" s="7" t="s">
        <v>48</v>
      </c>
    </row>
    <row r="1252" ht="22.5" customHeight="1">
      <c r="A1252" s="7" t="s">
        <v>12</v>
      </c>
      <c r="B1252" s="8" t="s">
        <v>1508</v>
      </c>
      <c r="C1252" s="7" t="s">
        <v>30</v>
      </c>
      <c r="D1252" s="7" t="s">
        <v>1512</v>
      </c>
      <c r="E1252" s="7" t="s">
        <v>26</v>
      </c>
      <c r="F1252" s="7" t="s">
        <v>48</v>
      </c>
    </row>
    <row r="1253" ht="22.5" customHeight="1">
      <c r="A1253" s="7" t="s">
        <v>67</v>
      </c>
      <c r="B1253" s="8" t="s">
        <v>1513</v>
      </c>
      <c r="C1253" s="7" t="s">
        <v>14</v>
      </c>
      <c r="D1253" s="7" t="s">
        <v>1514</v>
      </c>
      <c r="E1253" s="7" t="s">
        <v>26</v>
      </c>
      <c r="F1253" s="7" t="s">
        <v>16</v>
      </c>
    </row>
    <row r="1254" ht="22.5" customHeight="1">
      <c r="A1254" s="7" t="s">
        <v>67</v>
      </c>
      <c r="B1254" s="8" t="s">
        <v>1513</v>
      </c>
      <c r="C1254" s="7" t="s">
        <v>14</v>
      </c>
      <c r="D1254" s="7" t="s">
        <v>1515</v>
      </c>
      <c r="E1254" s="7" t="s">
        <v>26</v>
      </c>
      <c r="F1254" s="7" t="s">
        <v>16</v>
      </c>
    </row>
    <row r="1255" ht="22.5" customHeight="1">
      <c r="A1255" s="7" t="s">
        <v>226</v>
      </c>
      <c r="B1255" s="8" t="s">
        <v>1516</v>
      </c>
      <c r="C1255" s="7" t="s">
        <v>30</v>
      </c>
      <c r="D1255" s="7" t="s">
        <v>1517</v>
      </c>
      <c r="E1255" s="7" t="s">
        <v>16</v>
      </c>
      <c r="F1255" s="7" t="s">
        <v>16</v>
      </c>
    </row>
    <row r="1256" ht="22.5" customHeight="1">
      <c r="A1256" s="7" t="s">
        <v>226</v>
      </c>
      <c r="B1256" s="8" t="s">
        <v>1516</v>
      </c>
      <c r="C1256" s="7" t="s">
        <v>30</v>
      </c>
      <c r="D1256" s="7" t="s">
        <v>1518</v>
      </c>
      <c r="E1256" s="7" t="s">
        <v>16</v>
      </c>
      <c r="F1256" s="7" t="s">
        <v>16</v>
      </c>
    </row>
    <row r="1257" ht="22.5" customHeight="1">
      <c r="A1257" s="7" t="s">
        <v>226</v>
      </c>
      <c r="B1257" s="8" t="s">
        <v>1516</v>
      </c>
      <c r="C1257" s="7" t="s">
        <v>36</v>
      </c>
      <c r="D1257" s="7" t="s">
        <v>1519</v>
      </c>
      <c r="E1257" s="7" t="s">
        <v>16</v>
      </c>
      <c r="F1257" s="7" t="s">
        <v>16</v>
      </c>
    </row>
    <row r="1258" ht="22.5" customHeight="1">
      <c r="A1258" s="7" t="s">
        <v>226</v>
      </c>
      <c r="B1258" s="8" t="s">
        <v>1516</v>
      </c>
      <c r="C1258" s="7" t="s">
        <v>230</v>
      </c>
      <c r="D1258" s="7" t="s">
        <v>1520</v>
      </c>
      <c r="E1258" s="7" t="s">
        <v>16</v>
      </c>
      <c r="F1258" s="7" t="s">
        <v>16</v>
      </c>
    </row>
    <row r="1259" ht="22.5" customHeight="1">
      <c r="A1259" s="7" t="s">
        <v>226</v>
      </c>
      <c r="B1259" s="8" t="s">
        <v>1516</v>
      </c>
      <c r="C1259" s="7" t="s">
        <v>38</v>
      </c>
      <c r="D1259" s="7" t="s">
        <v>1521</v>
      </c>
      <c r="E1259" s="7" t="s">
        <v>16</v>
      </c>
      <c r="F1259" s="7" t="s">
        <v>16</v>
      </c>
    </row>
    <row r="1260" ht="22.5" customHeight="1">
      <c r="A1260" s="7" t="s">
        <v>226</v>
      </c>
      <c r="B1260" s="8" t="s">
        <v>1516</v>
      </c>
      <c r="C1260" s="7" t="s">
        <v>233</v>
      </c>
      <c r="D1260" s="7" t="s">
        <v>1522</v>
      </c>
      <c r="E1260" s="7" t="s">
        <v>16</v>
      </c>
      <c r="F1260" s="7" t="s">
        <v>16</v>
      </c>
    </row>
    <row r="1261" ht="22.5" customHeight="1">
      <c r="A1261" s="7" t="s">
        <v>226</v>
      </c>
      <c r="B1261" s="8" t="s">
        <v>1516</v>
      </c>
      <c r="C1261" s="7" t="s">
        <v>40</v>
      </c>
      <c r="D1261" s="7" t="s">
        <v>1523</v>
      </c>
      <c r="E1261" s="7" t="s">
        <v>16</v>
      </c>
      <c r="F1261" s="7" t="s">
        <v>16</v>
      </c>
    </row>
    <row r="1262" ht="22.5" customHeight="1">
      <c r="A1262" s="7" t="s">
        <v>226</v>
      </c>
      <c r="B1262" s="8" t="s">
        <v>1516</v>
      </c>
      <c r="C1262" s="7" t="s">
        <v>236</v>
      </c>
      <c r="D1262" s="7" t="s">
        <v>1524</v>
      </c>
      <c r="E1262" s="7" t="s">
        <v>16</v>
      </c>
      <c r="F1262" s="7" t="s">
        <v>16</v>
      </c>
    </row>
    <row r="1263" ht="22.5" customHeight="1">
      <c r="A1263" s="7" t="s">
        <v>226</v>
      </c>
      <c r="B1263" s="8" t="s">
        <v>1516</v>
      </c>
      <c r="C1263" s="7" t="s">
        <v>43</v>
      </c>
      <c r="D1263" s="7" t="s">
        <v>1525</v>
      </c>
      <c r="E1263" s="7" t="s">
        <v>16</v>
      </c>
      <c r="F1263" s="7" t="s">
        <v>16</v>
      </c>
    </row>
    <row r="1264" ht="22.5" customHeight="1">
      <c r="A1264" s="7" t="s">
        <v>226</v>
      </c>
      <c r="B1264" s="8" t="s">
        <v>1516</v>
      </c>
      <c r="C1264" s="7" t="s">
        <v>239</v>
      </c>
      <c r="D1264" s="7" t="s">
        <v>1526</v>
      </c>
      <c r="E1264" s="7" t="s">
        <v>16</v>
      </c>
      <c r="F1264" s="7" t="s">
        <v>16</v>
      </c>
    </row>
    <row r="1265" ht="22.5" customHeight="1">
      <c r="A1265" s="7" t="s">
        <v>134</v>
      </c>
      <c r="B1265" s="8" t="s">
        <v>1527</v>
      </c>
      <c r="C1265" s="7" t="s">
        <v>30</v>
      </c>
      <c r="D1265" s="7" t="s">
        <v>1528</v>
      </c>
      <c r="E1265" s="7" t="s">
        <v>16</v>
      </c>
      <c r="F1265" s="7" t="s">
        <v>16</v>
      </c>
    </row>
    <row r="1266" ht="22.5" customHeight="1">
      <c r="A1266" s="7" t="s">
        <v>134</v>
      </c>
      <c r="B1266" s="8" t="s">
        <v>1527</v>
      </c>
      <c r="C1266" s="7" t="s">
        <v>30</v>
      </c>
      <c r="D1266" s="7" t="s">
        <v>1529</v>
      </c>
      <c r="E1266" s="7" t="s">
        <v>16</v>
      </c>
      <c r="F1266" s="7" t="s">
        <v>18</v>
      </c>
    </row>
    <row r="1267" ht="22.5" customHeight="1">
      <c r="A1267" s="7" t="s">
        <v>778</v>
      </c>
      <c r="B1267" s="8" t="s">
        <v>1530</v>
      </c>
      <c r="C1267" s="7" t="s">
        <v>30</v>
      </c>
      <c r="D1267" s="7" t="s">
        <v>1531</v>
      </c>
      <c r="E1267" s="7" t="s">
        <v>16</v>
      </c>
      <c r="F1267" s="7" t="s">
        <v>16</v>
      </c>
    </row>
    <row r="1268" ht="22.5" customHeight="1">
      <c r="A1268" s="7" t="s">
        <v>778</v>
      </c>
      <c r="B1268" s="8" t="s">
        <v>1530</v>
      </c>
      <c r="C1268" s="7" t="s">
        <v>30</v>
      </c>
      <c r="D1268" s="7" t="s">
        <v>1532</v>
      </c>
      <c r="E1268" s="7" t="s">
        <v>16</v>
      </c>
      <c r="F1268" s="7" t="s">
        <v>18</v>
      </c>
    </row>
    <row r="1269" ht="22.5" customHeight="1">
      <c r="A1269" s="7" t="s">
        <v>778</v>
      </c>
      <c r="B1269" s="8" t="s">
        <v>1530</v>
      </c>
      <c r="C1269" s="7" t="s">
        <v>30</v>
      </c>
      <c r="D1269" s="7" t="s">
        <v>1533</v>
      </c>
      <c r="E1269" s="7" t="s">
        <v>16</v>
      </c>
      <c r="F1269" s="7" t="s">
        <v>20</v>
      </c>
    </row>
    <row r="1270" ht="22.5" customHeight="1">
      <c r="A1270" s="7" t="s">
        <v>778</v>
      </c>
      <c r="B1270" s="8" t="s">
        <v>1530</v>
      </c>
      <c r="C1270" s="7" t="s">
        <v>30</v>
      </c>
      <c r="D1270" s="7" t="s">
        <v>1534</v>
      </c>
      <c r="E1270" s="7" t="s">
        <v>16</v>
      </c>
      <c r="F1270" s="7" t="s">
        <v>22</v>
      </c>
    </row>
    <row r="1271" ht="22.5" customHeight="1">
      <c r="A1271" s="7" t="s">
        <v>778</v>
      </c>
      <c r="B1271" s="8" t="s">
        <v>1530</v>
      </c>
      <c r="C1271" s="7" t="s">
        <v>30</v>
      </c>
      <c r="D1271" s="7" t="s">
        <v>1535</v>
      </c>
      <c r="E1271" s="7" t="s">
        <v>16</v>
      </c>
      <c r="F1271" s="7" t="s">
        <v>24</v>
      </c>
    </row>
    <row r="1272" ht="22.5" customHeight="1">
      <c r="A1272" s="7" t="s">
        <v>778</v>
      </c>
      <c r="B1272" s="8" t="s">
        <v>1530</v>
      </c>
      <c r="C1272" s="7" t="s">
        <v>30</v>
      </c>
      <c r="D1272" s="7" t="s">
        <v>1536</v>
      </c>
      <c r="E1272" s="7" t="s">
        <v>16</v>
      </c>
      <c r="F1272" s="7" t="s">
        <v>70</v>
      </c>
    </row>
    <row r="1273" ht="22.5" customHeight="1">
      <c r="A1273" s="7" t="s">
        <v>778</v>
      </c>
      <c r="B1273" s="8" t="s">
        <v>1530</v>
      </c>
      <c r="C1273" s="7" t="s">
        <v>30</v>
      </c>
      <c r="D1273" s="7" t="s">
        <v>1537</v>
      </c>
      <c r="E1273" s="7" t="s">
        <v>26</v>
      </c>
      <c r="F1273" s="7" t="s">
        <v>16</v>
      </c>
    </row>
    <row r="1274" ht="22.5" customHeight="1">
      <c r="A1274" s="7" t="s">
        <v>778</v>
      </c>
      <c r="B1274" s="8" t="s">
        <v>1530</v>
      </c>
      <c r="C1274" s="7" t="s">
        <v>30</v>
      </c>
      <c r="D1274" s="7" t="s">
        <v>1538</v>
      </c>
      <c r="E1274" s="7" t="s">
        <v>26</v>
      </c>
      <c r="F1274" s="7" t="s">
        <v>16</v>
      </c>
    </row>
    <row r="1275" ht="22.5" customHeight="1">
      <c r="A1275" s="7" t="s">
        <v>778</v>
      </c>
      <c r="B1275" s="8" t="s">
        <v>1530</v>
      </c>
      <c r="C1275" s="7" t="s">
        <v>30</v>
      </c>
      <c r="D1275" s="7" t="s">
        <v>1539</v>
      </c>
      <c r="E1275" s="7" t="s">
        <v>26</v>
      </c>
      <c r="F1275" s="7" t="s">
        <v>16</v>
      </c>
    </row>
    <row r="1276" ht="22.5" customHeight="1">
      <c r="A1276" s="7" t="s">
        <v>778</v>
      </c>
      <c r="B1276" s="8" t="s">
        <v>1530</v>
      </c>
      <c r="C1276" s="7" t="s">
        <v>30</v>
      </c>
      <c r="D1276" s="7" t="s">
        <v>1540</v>
      </c>
      <c r="E1276" s="7" t="s">
        <v>26</v>
      </c>
      <c r="F1276" s="7" t="s">
        <v>16</v>
      </c>
    </row>
    <row r="1277" ht="22.5" customHeight="1">
      <c r="A1277" s="7" t="s">
        <v>778</v>
      </c>
      <c r="B1277" s="8" t="s">
        <v>1530</v>
      </c>
      <c r="C1277" s="7" t="s">
        <v>30</v>
      </c>
      <c r="D1277" s="7" t="s">
        <v>1541</v>
      </c>
      <c r="E1277" s="7" t="s">
        <v>26</v>
      </c>
      <c r="F1277" s="7" t="s">
        <v>16</v>
      </c>
    </row>
    <row r="1278" ht="22.5" customHeight="1">
      <c r="A1278" s="7" t="s">
        <v>778</v>
      </c>
      <c r="B1278" s="8" t="s">
        <v>1530</v>
      </c>
      <c r="C1278" s="7" t="s">
        <v>30</v>
      </c>
      <c r="D1278" s="7" t="s">
        <v>1542</v>
      </c>
      <c r="E1278" s="7" t="s">
        <v>26</v>
      </c>
      <c r="F1278" s="7" t="s">
        <v>16</v>
      </c>
    </row>
    <row r="1279" ht="22.5" customHeight="1">
      <c r="A1279" s="7" t="s">
        <v>778</v>
      </c>
      <c r="B1279" s="8" t="s">
        <v>1530</v>
      </c>
      <c r="C1279" s="7" t="s">
        <v>36</v>
      </c>
      <c r="D1279" s="7" t="s">
        <v>1543</v>
      </c>
      <c r="E1279" s="7" t="s">
        <v>16</v>
      </c>
      <c r="F1279" s="7" t="s">
        <v>16</v>
      </c>
    </row>
    <row r="1280" ht="22.5" customHeight="1">
      <c r="A1280" s="7" t="s">
        <v>778</v>
      </c>
      <c r="B1280" s="8" t="s">
        <v>1530</v>
      </c>
      <c r="C1280" s="7" t="s">
        <v>38</v>
      </c>
      <c r="D1280" s="7" t="s">
        <v>1544</v>
      </c>
      <c r="E1280" s="7" t="s">
        <v>16</v>
      </c>
      <c r="F1280" s="7" t="s">
        <v>16</v>
      </c>
    </row>
    <row r="1281" ht="22.5" customHeight="1">
      <c r="A1281" s="7" t="s">
        <v>778</v>
      </c>
      <c r="B1281" s="8" t="s">
        <v>1530</v>
      </c>
      <c r="C1281" s="7" t="s">
        <v>40</v>
      </c>
      <c r="D1281" s="7" t="s">
        <v>1545</v>
      </c>
      <c r="E1281" s="7" t="s">
        <v>16</v>
      </c>
      <c r="F1281" s="7" t="s">
        <v>16</v>
      </c>
    </row>
    <row r="1282" ht="22.5" customHeight="1">
      <c r="A1282" s="7" t="s">
        <v>778</v>
      </c>
      <c r="B1282" s="8" t="s">
        <v>1530</v>
      </c>
      <c r="C1282" s="7" t="s">
        <v>40</v>
      </c>
      <c r="D1282" s="7" t="s">
        <v>1546</v>
      </c>
      <c r="E1282" s="7" t="s">
        <v>105</v>
      </c>
      <c r="F1282" s="7" t="s">
        <v>16</v>
      </c>
    </row>
    <row r="1283" ht="22.5" customHeight="1">
      <c r="A1283" s="7" t="s">
        <v>778</v>
      </c>
      <c r="B1283" s="8" t="s">
        <v>1530</v>
      </c>
      <c r="C1283" s="7" t="s">
        <v>43</v>
      </c>
      <c r="D1283" s="7" t="s">
        <v>1547</v>
      </c>
      <c r="E1283" s="7" t="s">
        <v>16</v>
      </c>
      <c r="F1283" s="7" t="s">
        <v>16</v>
      </c>
    </row>
    <row r="1284" ht="22.5" customHeight="1">
      <c r="A1284" s="7" t="s">
        <v>419</v>
      </c>
      <c r="B1284" s="8" t="s">
        <v>1548</v>
      </c>
      <c r="C1284" s="7" t="s">
        <v>14</v>
      </c>
      <c r="D1284" s="7" t="s">
        <v>1549</v>
      </c>
      <c r="E1284" s="7" t="s">
        <v>16</v>
      </c>
      <c r="F1284" s="7" t="s">
        <v>48</v>
      </c>
    </row>
    <row r="1285" ht="22.5" customHeight="1">
      <c r="A1285" s="7" t="s">
        <v>419</v>
      </c>
      <c r="B1285" s="8" t="s">
        <v>1548</v>
      </c>
      <c r="C1285" s="7" t="s">
        <v>14</v>
      </c>
      <c r="D1285" s="7" t="s">
        <v>1550</v>
      </c>
      <c r="E1285" s="7" t="s">
        <v>16</v>
      </c>
      <c r="F1285" s="7" t="s">
        <v>48</v>
      </c>
    </row>
    <row r="1286" ht="22.5" customHeight="1">
      <c r="A1286" s="7" t="s">
        <v>419</v>
      </c>
      <c r="B1286" s="8" t="s">
        <v>1548</v>
      </c>
      <c r="C1286" s="7" t="s">
        <v>30</v>
      </c>
      <c r="D1286" s="7" t="s">
        <v>1551</v>
      </c>
      <c r="E1286" s="7" t="s">
        <v>26</v>
      </c>
      <c r="F1286" s="7" t="s">
        <v>48</v>
      </c>
    </row>
    <row r="1287" ht="22.5" customHeight="1">
      <c r="A1287" s="7" t="s">
        <v>419</v>
      </c>
      <c r="B1287" s="8" t="s">
        <v>1548</v>
      </c>
      <c r="C1287" s="7" t="s">
        <v>36</v>
      </c>
      <c r="D1287" s="7" t="s">
        <v>1552</v>
      </c>
      <c r="E1287" s="7" t="s">
        <v>26</v>
      </c>
      <c r="F1287" s="7" t="s">
        <v>48</v>
      </c>
    </row>
    <row r="1288" ht="22.5" customHeight="1">
      <c r="A1288" s="7" t="s">
        <v>419</v>
      </c>
      <c r="B1288" s="8" t="s">
        <v>1548</v>
      </c>
      <c r="C1288" s="7" t="s">
        <v>38</v>
      </c>
      <c r="D1288" s="7" t="s">
        <v>1553</v>
      </c>
      <c r="E1288" s="7" t="s">
        <v>26</v>
      </c>
      <c r="F1288" s="7" t="s">
        <v>48</v>
      </c>
    </row>
    <row r="1289" ht="22.5" customHeight="1">
      <c r="A1289" s="7" t="s">
        <v>419</v>
      </c>
      <c r="B1289" s="8" t="s">
        <v>1548</v>
      </c>
      <c r="C1289" s="7" t="s">
        <v>40</v>
      </c>
      <c r="D1289" s="7" t="s">
        <v>1554</v>
      </c>
      <c r="E1289" s="7" t="s">
        <v>26</v>
      </c>
      <c r="F1289" s="7" t="s">
        <v>48</v>
      </c>
    </row>
    <row r="1290" ht="22.5" customHeight="1">
      <c r="A1290" s="7" t="s">
        <v>419</v>
      </c>
      <c r="B1290" s="8" t="s">
        <v>1548</v>
      </c>
      <c r="C1290" s="7" t="s">
        <v>43</v>
      </c>
      <c r="D1290" s="7" t="s">
        <v>1555</v>
      </c>
      <c r="E1290" s="7" t="s">
        <v>76</v>
      </c>
      <c r="F1290" s="7" t="s">
        <v>1556</v>
      </c>
    </row>
    <row r="1291" ht="22.5" customHeight="1">
      <c r="A1291" s="7" t="s">
        <v>419</v>
      </c>
      <c r="B1291" s="8" t="s">
        <v>1548</v>
      </c>
      <c r="C1291" s="7" t="s">
        <v>103</v>
      </c>
      <c r="D1291" s="7" t="s">
        <v>1557</v>
      </c>
      <c r="E1291" s="7" t="s">
        <v>105</v>
      </c>
      <c r="F1291" s="7" t="s">
        <v>48</v>
      </c>
    </row>
    <row r="1292" ht="22.5" customHeight="1">
      <c r="A1292" s="7" t="s">
        <v>159</v>
      </c>
      <c r="B1292" s="8" t="s">
        <v>1558</v>
      </c>
      <c r="C1292" s="7" t="s">
        <v>14</v>
      </c>
      <c r="D1292" s="7" t="s">
        <v>1559</v>
      </c>
      <c r="E1292" s="7" t="s">
        <v>26</v>
      </c>
      <c r="F1292" s="7" t="s">
        <v>48</v>
      </c>
    </row>
    <row r="1293" ht="22.5" customHeight="1">
      <c r="A1293" s="7" t="s">
        <v>461</v>
      </c>
      <c r="B1293" s="8" t="s">
        <v>1560</v>
      </c>
      <c r="C1293" s="7" t="s">
        <v>14</v>
      </c>
      <c r="D1293" s="7" t="s">
        <v>1561</v>
      </c>
      <c r="E1293" s="7" t="s">
        <v>16</v>
      </c>
      <c r="F1293" s="7" t="s">
        <v>1562</v>
      </c>
    </row>
    <row r="1294" ht="22.5" customHeight="1">
      <c r="A1294" s="7" t="s">
        <v>159</v>
      </c>
      <c r="B1294" s="8" t="s">
        <v>1563</v>
      </c>
      <c r="C1294" s="7" t="s">
        <v>14</v>
      </c>
      <c r="D1294" s="7" t="s">
        <v>1564</v>
      </c>
      <c r="E1294" s="7" t="s">
        <v>16</v>
      </c>
      <c r="F1294" s="7" t="s">
        <v>18</v>
      </c>
    </row>
    <row r="1295" ht="22.5" customHeight="1">
      <c r="A1295" s="7" t="s">
        <v>159</v>
      </c>
      <c r="B1295" s="8" t="s">
        <v>1563</v>
      </c>
      <c r="C1295" s="7" t="s">
        <v>14</v>
      </c>
      <c r="D1295" s="7" t="s">
        <v>1565</v>
      </c>
      <c r="E1295" s="7" t="s">
        <v>16</v>
      </c>
      <c r="F1295" s="7" t="s">
        <v>20</v>
      </c>
    </row>
    <row r="1296" ht="22.5" customHeight="1">
      <c r="A1296" s="7" t="s">
        <v>159</v>
      </c>
      <c r="B1296" s="8" t="s">
        <v>1563</v>
      </c>
      <c r="C1296" s="7" t="s">
        <v>14</v>
      </c>
      <c r="D1296" s="7" t="s">
        <v>1566</v>
      </c>
      <c r="E1296" s="7" t="s">
        <v>16</v>
      </c>
      <c r="F1296" s="7" t="s">
        <v>22</v>
      </c>
    </row>
    <row r="1297" ht="22.5" customHeight="1">
      <c r="A1297" s="7" t="s">
        <v>159</v>
      </c>
      <c r="B1297" s="8" t="s">
        <v>1563</v>
      </c>
      <c r="C1297" s="7" t="s">
        <v>14</v>
      </c>
      <c r="D1297" s="7" t="s">
        <v>1567</v>
      </c>
      <c r="E1297" s="7" t="s">
        <v>16</v>
      </c>
      <c r="F1297" s="7" t="s">
        <v>24</v>
      </c>
    </row>
    <row r="1298" ht="22.5" customHeight="1">
      <c r="A1298" s="7" t="s">
        <v>159</v>
      </c>
      <c r="B1298" s="8" t="s">
        <v>1563</v>
      </c>
      <c r="C1298" s="7" t="s">
        <v>14</v>
      </c>
      <c r="D1298" s="7" t="s">
        <v>1568</v>
      </c>
      <c r="E1298" s="7" t="s">
        <v>26</v>
      </c>
      <c r="F1298" s="7" t="s">
        <v>16</v>
      </c>
    </row>
    <row r="1299" ht="22.5" customHeight="1">
      <c r="A1299" s="7" t="s">
        <v>159</v>
      </c>
      <c r="B1299" s="8" t="s">
        <v>1563</v>
      </c>
      <c r="C1299" s="7" t="s">
        <v>30</v>
      </c>
      <c r="D1299" s="7" t="s">
        <v>1569</v>
      </c>
      <c r="E1299" s="7" t="s">
        <v>16</v>
      </c>
      <c r="F1299" s="7" t="s">
        <v>16</v>
      </c>
    </row>
    <row r="1300" ht="22.5" customHeight="1">
      <c r="A1300" s="7" t="s">
        <v>159</v>
      </c>
      <c r="B1300" s="8" t="s">
        <v>1563</v>
      </c>
      <c r="C1300" s="7" t="s">
        <v>30</v>
      </c>
      <c r="D1300" s="7" t="s">
        <v>1570</v>
      </c>
      <c r="E1300" s="7" t="s">
        <v>26</v>
      </c>
      <c r="F1300" s="7" t="s">
        <v>18</v>
      </c>
    </row>
    <row r="1301" ht="22.5" customHeight="1">
      <c r="A1301" s="7" t="s">
        <v>159</v>
      </c>
      <c r="B1301" s="8" t="s">
        <v>1563</v>
      </c>
      <c r="C1301" s="7" t="s">
        <v>36</v>
      </c>
      <c r="D1301" s="7" t="s">
        <v>1571</v>
      </c>
      <c r="E1301" s="7" t="s">
        <v>16</v>
      </c>
      <c r="F1301" s="7" t="s">
        <v>16</v>
      </c>
    </row>
    <row r="1302" ht="22.5" customHeight="1">
      <c r="A1302" s="7" t="s">
        <v>159</v>
      </c>
      <c r="B1302" s="8" t="s">
        <v>1563</v>
      </c>
      <c r="C1302" s="7" t="s">
        <v>36</v>
      </c>
      <c r="D1302" s="7" t="s">
        <v>1572</v>
      </c>
      <c r="E1302" s="7" t="s">
        <v>26</v>
      </c>
      <c r="F1302" s="7" t="s">
        <v>16</v>
      </c>
    </row>
    <row r="1303" ht="22.5" customHeight="1">
      <c r="A1303" s="7" t="s">
        <v>159</v>
      </c>
      <c r="B1303" s="8" t="s">
        <v>1563</v>
      </c>
      <c r="C1303" s="7" t="s">
        <v>38</v>
      </c>
      <c r="D1303" s="7" t="s">
        <v>1573</v>
      </c>
      <c r="E1303" s="7" t="s">
        <v>16</v>
      </c>
      <c r="F1303" s="7" t="s">
        <v>16</v>
      </c>
    </row>
    <row r="1304" ht="22.5" customHeight="1">
      <c r="A1304" s="7" t="s">
        <v>159</v>
      </c>
      <c r="B1304" s="8" t="s">
        <v>1563</v>
      </c>
      <c r="C1304" s="7" t="s">
        <v>38</v>
      </c>
      <c r="D1304" s="7" t="s">
        <v>1574</v>
      </c>
      <c r="E1304" s="7" t="s">
        <v>105</v>
      </c>
      <c r="F1304" s="7" t="s">
        <v>16</v>
      </c>
    </row>
    <row r="1305" ht="22.5" customHeight="1">
      <c r="A1305" s="7" t="s">
        <v>159</v>
      </c>
      <c r="B1305" s="8" t="s">
        <v>1563</v>
      </c>
      <c r="C1305" s="7" t="s">
        <v>40</v>
      </c>
      <c r="D1305" s="7" t="s">
        <v>1575</v>
      </c>
      <c r="E1305" s="7" t="s">
        <v>16</v>
      </c>
      <c r="F1305" s="7" t="s">
        <v>16</v>
      </c>
    </row>
    <row r="1306" ht="22.5" customHeight="1">
      <c r="A1306" s="7" t="s">
        <v>159</v>
      </c>
      <c r="B1306" s="8" t="s">
        <v>1563</v>
      </c>
      <c r="C1306" s="7" t="s">
        <v>43</v>
      </c>
      <c r="D1306" s="7" t="s">
        <v>1576</v>
      </c>
      <c r="E1306" s="7" t="s">
        <v>16</v>
      </c>
      <c r="F1306" s="7" t="s">
        <v>16</v>
      </c>
    </row>
    <row r="1307" ht="22.5" customHeight="1">
      <c r="A1307" s="7" t="s">
        <v>159</v>
      </c>
      <c r="B1307" s="8" t="s">
        <v>1563</v>
      </c>
      <c r="C1307" s="7" t="s">
        <v>43</v>
      </c>
      <c r="D1307" s="7" t="s">
        <v>1577</v>
      </c>
      <c r="E1307" s="7" t="s">
        <v>26</v>
      </c>
      <c r="F1307" s="7" t="s">
        <v>16</v>
      </c>
    </row>
    <row r="1308" ht="22.5" customHeight="1">
      <c r="A1308" s="7" t="s">
        <v>134</v>
      </c>
      <c r="B1308" s="8" t="s">
        <v>1578</v>
      </c>
      <c r="C1308" s="7" t="s">
        <v>14</v>
      </c>
      <c r="D1308" s="7" t="s">
        <v>1579</v>
      </c>
      <c r="E1308" s="7" t="s">
        <v>16</v>
      </c>
      <c r="F1308" s="7" t="s">
        <v>18</v>
      </c>
    </row>
    <row r="1309" ht="22.5" customHeight="1">
      <c r="A1309" s="7" t="s">
        <v>134</v>
      </c>
      <c r="B1309" s="8" t="s">
        <v>1578</v>
      </c>
      <c r="C1309" s="7" t="s">
        <v>30</v>
      </c>
      <c r="D1309" s="7" t="s">
        <v>1580</v>
      </c>
      <c r="E1309" s="7" t="s">
        <v>16</v>
      </c>
      <c r="F1309" s="7" t="s">
        <v>16</v>
      </c>
    </row>
    <row r="1310" ht="22.5" customHeight="1">
      <c r="A1310" s="7" t="s">
        <v>134</v>
      </c>
      <c r="B1310" s="8" t="s">
        <v>1578</v>
      </c>
      <c r="C1310" s="7" t="s">
        <v>36</v>
      </c>
      <c r="D1310" s="7" t="s">
        <v>1581</v>
      </c>
      <c r="E1310" s="7" t="s">
        <v>16</v>
      </c>
      <c r="F1310" s="7" t="s">
        <v>16</v>
      </c>
    </row>
    <row r="1311" ht="22.5" customHeight="1">
      <c r="A1311" s="7" t="s">
        <v>134</v>
      </c>
      <c r="B1311" s="8" t="s">
        <v>1578</v>
      </c>
      <c r="C1311" s="7" t="s">
        <v>38</v>
      </c>
      <c r="D1311" s="7" t="s">
        <v>1582</v>
      </c>
      <c r="E1311" s="7" t="s">
        <v>16</v>
      </c>
      <c r="F1311" s="7" t="s">
        <v>16</v>
      </c>
    </row>
    <row r="1312" ht="22.5" customHeight="1">
      <c r="A1312" s="7" t="s">
        <v>134</v>
      </c>
      <c r="B1312" s="8" t="s">
        <v>1578</v>
      </c>
      <c r="C1312" s="7" t="s">
        <v>40</v>
      </c>
      <c r="D1312" s="7" t="s">
        <v>1583</v>
      </c>
      <c r="E1312" s="7" t="s">
        <v>16</v>
      </c>
      <c r="F1312" s="7" t="s">
        <v>16</v>
      </c>
    </row>
    <row r="1313" ht="22.5" customHeight="1">
      <c r="A1313" s="7" t="s">
        <v>134</v>
      </c>
      <c r="B1313" s="8" t="s">
        <v>1578</v>
      </c>
      <c r="C1313" s="7" t="s">
        <v>43</v>
      </c>
      <c r="D1313" s="7" t="s">
        <v>1584</v>
      </c>
      <c r="E1313" s="7" t="s">
        <v>16</v>
      </c>
      <c r="F1313" s="7" t="s">
        <v>16</v>
      </c>
    </row>
    <row r="1314" ht="22.5" customHeight="1">
      <c r="A1314" s="7" t="s">
        <v>152</v>
      </c>
      <c r="B1314" s="8" t="s">
        <v>1585</v>
      </c>
      <c r="C1314" s="7" t="s">
        <v>14</v>
      </c>
      <c r="D1314" s="7" t="s">
        <v>1586</v>
      </c>
      <c r="E1314" s="7" t="s">
        <v>16</v>
      </c>
      <c r="F1314" s="7" t="s">
        <v>48</v>
      </c>
    </row>
    <row r="1315" ht="22.5" customHeight="1">
      <c r="A1315" s="7" t="s">
        <v>152</v>
      </c>
      <c r="B1315" s="8" t="s">
        <v>1585</v>
      </c>
      <c r="C1315" s="7" t="s">
        <v>14</v>
      </c>
      <c r="D1315" s="7" t="s">
        <v>1587</v>
      </c>
      <c r="E1315" s="7" t="s">
        <v>16</v>
      </c>
      <c r="F1315" s="7" t="s">
        <v>48</v>
      </c>
    </row>
    <row r="1316" ht="22.5" customHeight="1">
      <c r="A1316" s="7" t="s">
        <v>152</v>
      </c>
      <c r="B1316" s="8" t="s">
        <v>1585</v>
      </c>
      <c r="C1316" s="7" t="s">
        <v>14</v>
      </c>
      <c r="D1316" s="7" t="s">
        <v>1588</v>
      </c>
      <c r="E1316" s="7" t="s">
        <v>16</v>
      </c>
      <c r="F1316" s="7" t="s">
        <v>48</v>
      </c>
    </row>
    <row r="1317" ht="22.5" customHeight="1">
      <c r="A1317" s="7" t="s">
        <v>152</v>
      </c>
      <c r="B1317" s="8" t="s">
        <v>1585</v>
      </c>
      <c r="C1317" s="7" t="s">
        <v>14</v>
      </c>
      <c r="D1317" s="7" t="s">
        <v>1589</v>
      </c>
      <c r="E1317" s="7" t="s">
        <v>16</v>
      </c>
      <c r="F1317" s="7" t="s">
        <v>48</v>
      </c>
    </row>
    <row r="1318" ht="22.5" customHeight="1">
      <c r="A1318" s="7" t="s">
        <v>57</v>
      </c>
      <c r="B1318" s="8" t="s">
        <v>1590</v>
      </c>
      <c r="C1318" s="7" t="s">
        <v>30</v>
      </c>
      <c r="D1318" s="7" t="s">
        <v>1591</v>
      </c>
      <c r="E1318" s="7" t="s">
        <v>26</v>
      </c>
      <c r="F1318" s="7" t="s">
        <v>48</v>
      </c>
    </row>
    <row r="1319" ht="22.5" customHeight="1">
      <c r="A1319" s="7" t="s">
        <v>57</v>
      </c>
      <c r="B1319" s="8" t="s">
        <v>1590</v>
      </c>
      <c r="C1319" s="7" t="s">
        <v>43</v>
      </c>
      <c r="D1319" s="7" t="s">
        <v>1592</v>
      </c>
      <c r="E1319" s="7" t="s">
        <v>26</v>
      </c>
      <c r="F1319" s="7" t="s">
        <v>48</v>
      </c>
    </row>
    <row r="1320" ht="22.5" customHeight="1">
      <c r="A1320" s="7" t="s">
        <v>57</v>
      </c>
      <c r="B1320" s="8" t="s">
        <v>1590</v>
      </c>
      <c r="C1320" s="7" t="s">
        <v>103</v>
      </c>
      <c r="D1320" s="7" t="s">
        <v>1593</v>
      </c>
      <c r="E1320" s="7" t="s">
        <v>105</v>
      </c>
      <c r="F1320" s="7" t="s">
        <v>48</v>
      </c>
    </row>
    <row r="1321" ht="22.5" customHeight="1">
      <c r="A1321" s="7" t="s">
        <v>67</v>
      </c>
      <c r="B1321" s="8" t="s">
        <v>1594</v>
      </c>
      <c r="C1321" s="7" t="s">
        <v>30</v>
      </c>
      <c r="D1321" s="7" t="s">
        <v>1595</v>
      </c>
      <c r="E1321" s="7" t="s">
        <v>16</v>
      </c>
      <c r="F1321" s="7" t="s">
        <v>16</v>
      </c>
    </row>
    <row r="1322" ht="22.5" customHeight="1">
      <c r="A1322" s="7" t="s">
        <v>67</v>
      </c>
      <c r="B1322" s="8" t="s">
        <v>1594</v>
      </c>
      <c r="C1322" s="7" t="s">
        <v>30</v>
      </c>
      <c r="D1322" s="7" t="s">
        <v>1596</v>
      </c>
      <c r="E1322" s="7" t="s">
        <v>16</v>
      </c>
      <c r="F1322" s="7" t="s">
        <v>16</v>
      </c>
    </row>
    <row r="1323" ht="22.5" customHeight="1">
      <c r="A1323" s="7" t="s">
        <v>67</v>
      </c>
      <c r="B1323" s="8" t="s">
        <v>1594</v>
      </c>
      <c r="C1323" s="7" t="s">
        <v>30</v>
      </c>
      <c r="D1323" s="7" t="s">
        <v>1597</v>
      </c>
      <c r="E1323" s="7" t="s">
        <v>26</v>
      </c>
      <c r="F1323" s="7" t="s">
        <v>16</v>
      </c>
    </row>
    <row r="1324" ht="22.5" customHeight="1">
      <c r="A1324" s="7" t="s">
        <v>67</v>
      </c>
      <c r="B1324" s="8" t="s">
        <v>1594</v>
      </c>
      <c r="C1324" s="7" t="s">
        <v>30</v>
      </c>
      <c r="D1324" s="7" t="s">
        <v>1598</v>
      </c>
      <c r="E1324" s="7" t="s">
        <v>26</v>
      </c>
      <c r="F1324" s="7" t="s">
        <v>16</v>
      </c>
    </row>
    <row r="1325" ht="22.5" customHeight="1">
      <c r="A1325" s="7" t="s">
        <v>67</v>
      </c>
      <c r="B1325" s="8" t="s">
        <v>1594</v>
      </c>
      <c r="C1325" s="7" t="s">
        <v>30</v>
      </c>
      <c r="D1325" s="7" t="s">
        <v>1599</v>
      </c>
      <c r="E1325" s="7" t="s">
        <v>26</v>
      </c>
      <c r="F1325" s="7" t="s">
        <v>16</v>
      </c>
    </row>
    <row r="1326" ht="22.5" customHeight="1">
      <c r="A1326" s="7" t="s">
        <v>67</v>
      </c>
      <c r="B1326" s="8" t="s">
        <v>1594</v>
      </c>
      <c r="C1326" s="7" t="s">
        <v>43</v>
      </c>
      <c r="D1326" s="7" t="s">
        <v>1600</v>
      </c>
      <c r="E1326" s="7" t="s">
        <v>26</v>
      </c>
      <c r="F1326" s="7" t="s">
        <v>16</v>
      </c>
    </row>
    <row r="1327" ht="22.5" customHeight="1">
      <c r="A1327" s="7" t="s">
        <v>152</v>
      </c>
      <c r="B1327" s="8" t="s">
        <v>1601</v>
      </c>
      <c r="C1327" s="7" t="s">
        <v>30</v>
      </c>
      <c r="D1327" s="7" t="s">
        <v>1602</v>
      </c>
      <c r="E1327" s="7" t="s">
        <v>16</v>
      </c>
      <c r="F1327" s="7" t="s">
        <v>16</v>
      </c>
    </row>
    <row r="1328" ht="22.5" customHeight="1">
      <c r="A1328" s="7" t="s">
        <v>152</v>
      </c>
      <c r="B1328" s="8" t="s">
        <v>1601</v>
      </c>
      <c r="C1328" s="7" t="s">
        <v>30</v>
      </c>
      <c r="D1328" s="7" t="s">
        <v>1603</v>
      </c>
      <c r="E1328" s="7" t="s">
        <v>16</v>
      </c>
      <c r="F1328" s="7" t="s">
        <v>18</v>
      </c>
    </row>
    <row r="1329" ht="22.5" customHeight="1">
      <c r="A1329" s="7" t="s">
        <v>152</v>
      </c>
      <c r="B1329" s="8" t="s">
        <v>1601</v>
      </c>
      <c r="C1329" s="7" t="s">
        <v>36</v>
      </c>
      <c r="D1329" s="7" t="s">
        <v>1604</v>
      </c>
      <c r="E1329" s="7" t="s">
        <v>16</v>
      </c>
      <c r="F1329" s="7" t="s">
        <v>16</v>
      </c>
    </row>
    <row r="1330" ht="22.5" customHeight="1">
      <c r="A1330" s="7" t="s">
        <v>152</v>
      </c>
      <c r="B1330" s="8" t="s">
        <v>1601</v>
      </c>
      <c r="C1330" s="7" t="s">
        <v>38</v>
      </c>
      <c r="D1330" s="7" t="s">
        <v>1605</v>
      </c>
      <c r="E1330" s="7" t="s">
        <v>16</v>
      </c>
      <c r="F1330" s="7" t="s">
        <v>16</v>
      </c>
    </row>
    <row r="1331" ht="22.5" customHeight="1">
      <c r="A1331" s="7" t="s">
        <v>152</v>
      </c>
      <c r="B1331" s="8" t="s">
        <v>1601</v>
      </c>
      <c r="C1331" s="7" t="s">
        <v>40</v>
      </c>
      <c r="D1331" s="7" t="s">
        <v>1606</v>
      </c>
      <c r="E1331" s="7" t="s">
        <v>16</v>
      </c>
      <c r="F1331" s="7" t="s">
        <v>16</v>
      </c>
    </row>
    <row r="1332" ht="22.5" customHeight="1">
      <c r="A1332" s="7" t="s">
        <v>152</v>
      </c>
      <c r="B1332" s="8" t="s">
        <v>1601</v>
      </c>
      <c r="C1332" s="7" t="s">
        <v>43</v>
      </c>
      <c r="D1332" s="7" t="s">
        <v>1607</v>
      </c>
      <c r="E1332" s="7" t="s">
        <v>16</v>
      </c>
      <c r="F1332" s="7" t="s">
        <v>16</v>
      </c>
    </row>
    <row r="1333" ht="22.5" customHeight="1">
      <c r="A1333" s="7" t="s">
        <v>226</v>
      </c>
      <c r="B1333" s="8" t="s">
        <v>1608</v>
      </c>
      <c r="C1333" s="7" t="s">
        <v>30</v>
      </c>
      <c r="D1333" s="7" t="s">
        <v>1609</v>
      </c>
      <c r="E1333" s="7" t="s">
        <v>16</v>
      </c>
      <c r="F1333" s="7" t="s">
        <v>16</v>
      </c>
    </row>
    <row r="1334" ht="22.5" customHeight="1">
      <c r="A1334" s="7" t="s">
        <v>226</v>
      </c>
      <c r="B1334" s="8" t="s">
        <v>1608</v>
      </c>
      <c r="C1334" s="7" t="s">
        <v>30</v>
      </c>
      <c r="D1334" s="7" t="s">
        <v>1610</v>
      </c>
      <c r="E1334" s="7" t="s">
        <v>16</v>
      </c>
      <c r="F1334" s="7" t="s">
        <v>16</v>
      </c>
    </row>
    <row r="1335" ht="22.5" customHeight="1">
      <c r="A1335" s="7" t="s">
        <v>50</v>
      </c>
      <c r="B1335" s="8" t="s">
        <v>1611</v>
      </c>
      <c r="C1335" s="7" t="s">
        <v>30</v>
      </c>
      <c r="D1335" s="7" t="s">
        <v>1612</v>
      </c>
      <c r="E1335" s="7" t="s">
        <v>76</v>
      </c>
      <c r="F1335" s="7" t="s">
        <v>1613</v>
      </c>
    </row>
    <row r="1336" ht="22.5" customHeight="1">
      <c r="A1336" s="7" t="s">
        <v>50</v>
      </c>
      <c r="B1336" s="8" t="s">
        <v>1611</v>
      </c>
      <c r="C1336" s="7" t="s">
        <v>30</v>
      </c>
      <c r="D1336" s="7" t="s">
        <v>1614</v>
      </c>
      <c r="E1336" s="7" t="s">
        <v>16</v>
      </c>
      <c r="F1336" s="7" t="s">
        <v>48</v>
      </c>
    </row>
    <row r="1337" ht="22.5" customHeight="1">
      <c r="A1337" s="7" t="s">
        <v>50</v>
      </c>
      <c r="B1337" s="8" t="s">
        <v>1611</v>
      </c>
      <c r="C1337" s="7" t="s">
        <v>30</v>
      </c>
      <c r="D1337" s="7" t="s">
        <v>1615</v>
      </c>
      <c r="E1337" s="7" t="s">
        <v>26</v>
      </c>
      <c r="F1337" s="7" t="s">
        <v>48</v>
      </c>
    </row>
    <row r="1338" ht="22.5" customHeight="1">
      <c r="A1338" s="7" t="s">
        <v>50</v>
      </c>
      <c r="B1338" s="8" t="s">
        <v>1611</v>
      </c>
      <c r="C1338" s="7" t="s">
        <v>36</v>
      </c>
      <c r="D1338" s="7" t="s">
        <v>1616</v>
      </c>
      <c r="E1338" s="7" t="s">
        <v>26</v>
      </c>
      <c r="F1338" s="7" t="s">
        <v>48</v>
      </c>
    </row>
    <row r="1339" ht="22.5" customHeight="1">
      <c r="A1339" s="7" t="s">
        <v>50</v>
      </c>
      <c r="B1339" s="8" t="s">
        <v>1611</v>
      </c>
      <c r="C1339" s="7" t="s">
        <v>38</v>
      </c>
      <c r="D1339" s="7" t="s">
        <v>1617</v>
      </c>
      <c r="E1339" s="7" t="s">
        <v>26</v>
      </c>
      <c r="F1339" s="7" t="s">
        <v>48</v>
      </c>
    </row>
    <row r="1340" ht="22.5" customHeight="1">
      <c r="A1340" s="7" t="s">
        <v>50</v>
      </c>
      <c r="B1340" s="8" t="s">
        <v>1611</v>
      </c>
      <c r="C1340" s="7" t="s">
        <v>40</v>
      </c>
      <c r="D1340" s="7" t="s">
        <v>1618</v>
      </c>
      <c r="E1340" s="7" t="s">
        <v>26</v>
      </c>
      <c r="F1340" s="7" t="s">
        <v>48</v>
      </c>
    </row>
    <row r="1341" ht="22.5" customHeight="1">
      <c r="A1341" s="7" t="s">
        <v>50</v>
      </c>
      <c r="B1341" s="8" t="s">
        <v>1611</v>
      </c>
      <c r="C1341" s="7" t="s">
        <v>43</v>
      </c>
      <c r="D1341" s="7" t="s">
        <v>1619</v>
      </c>
      <c r="E1341" s="7" t="s">
        <v>26</v>
      </c>
      <c r="F1341" s="7" t="s">
        <v>48</v>
      </c>
    </row>
    <row r="1342" ht="22.5" customHeight="1">
      <c r="A1342" s="7" t="s">
        <v>50</v>
      </c>
      <c r="B1342" s="8" t="s">
        <v>1611</v>
      </c>
      <c r="C1342" s="7" t="s">
        <v>43</v>
      </c>
      <c r="D1342" s="7" t="s">
        <v>1620</v>
      </c>
      <c r="E1342" s="7" t="s">
        <v>26</v>
      </c>
      <c r="F1342" s="7" t="s">
        <v>48</v>
      </c>
    </row>
    <row r="1343" ht="22.5" customHeight="1">
      <c r="A1343" s="7" t="s">
        <v>134</v>
      </c>
      <c r="B1343" s="8" t="s">
        <v>1621</v>
      </c>
      <c r="C1343" s="7" t="s">
        <v>14</v>
      </c>
      <c r="D1343" s="7" t="s">
        <v>1622</v>
      </c>
      <c r="E1343" s="7" t="s">
        <v>16</v>
      </c>
      <c r="F1343" s="7" t="s">
        <v>48</v>
      </c>
    </row>
    <row r="1344" ht="22.5" customHeight="1">
      <c r="A1344" s="7" t="s">
        <v>134</v>
      </c>
      <c r="B1344" s="8" t="s">
        <v>1621</v>
      </c>
      <c r="C1344" s="7" t="s">
        <v>14</v>
      </c>
      <c r="D1344" s="7" t="s">
        <v>1623</v>
      </c>
      <c r="E1344" s="7" t="s">
        <v>16</v>
      </c>
      <c r="F1344" s="7" t="s">
        <v>48</v>
      </c>
    </row>
    <row r="1345" ht="22.5" customHeight="1">
      <c r="A1345" s="7" t="s">
        <v>134</v>
      </c>
      <c r="B1345" s="8" t="s">
        <v>1621</v>
      </c>
      <c r="C1345" s="7" t="s">
        <v>14</v>
      </c>
      <c r="D1345" s="7" t="s">
        <v>1624</v>
      </c>
      <c r="E1345" s="7" t="s">
        <v>16</v>
      </c>
      <c r="F1345" s="7" t="s">
        <v>48</v>
      </c>
    </row>
    <row r="1346" ht="22.5" customHeight="1">
      <c r="A1346" s="7" t="s">
        <v>134</v>
      </c>
      <c r="B1346" s="8" t="s">
        <v>1621</v>
      </c>
      <c r="C1346" s="7" t="s">
        <v>30</v>
      </c>
      <c r="D1346" s="7" t="s">
        <v>1625</v>
      </c>
      <c r="E1346" s="7" t="s">
        <v>16</v>
      </c>
      <c r="F1346" s="7" t="s">
        <v>48</v>
      </c>
    </row>
    <row r="1347" ht="22.5" customHeight="1">
      <c r="A1347" s="7" t="s">
        <v>134</v>
      </c>
      <c r="B1347" s="8" t="s">
        <v>1626</v>
      </c>
      <c r="C1347" s="7" t="s">
        <v>30</v>
      </c>
      <c r="D1347" s="7" t="s">
        <v>1627</v>
      </c>
      <c r="E1347" s="7" t="s">
        <v>16</v>
      </c>
      <c r="F1347" s="7" t="s">
        <v>16</v>
      </c>
    </row>
    <row r="1348" ht="22.5" customHeight="1">
      <c r="A1348" s="7" t="s">
        <v>134</v>
      </c>
      <c r="B1348" s="8" t="s">
        <v>1626</v>
      </c>
      <c r="C1348" s="7" t="s">
        <v>30</v>
      </c>
      <c r="D1348" s="7" t="s">
        <v>1628</v>
      </c>
      <c r="E1348" s="7" t="s">
        <v>16</v>
      </c>
      <c r="F1348" s="7" t="s">
        <v>18</v>
      </c>
    </row>
    <row r="1349" ht="22.5" customHeight="1">
      <c r="A1349" s="7" t="s">
        <v>134</v>
      </c>
      <c r="B1349" s="8" t="s">
        <v>1626</v>
      </c>
      <c r="C1349" s="7" t="s">
        <v>36</v>
      </c>
      <c r="D1349" s="7" t="s">
        <v>1629</v>
      </c>
      <c r="E1349" s="7" t="s">
        <v>16</v>
      </c>
      <c r="F1349" s="7" t="s">
        <v>16</v>
      </c>
    </row>
    <row r="1350" ht="22.5" customHeight="1">
      <c r="A1350" s="7" t="s">
        <v>134</v>
      </c>
      <c r="B1350" s="8" t="s">
        <v>1626</v>
      </c>
      <c r="C1350" s="7" t="s">
        <v>38</v>
      </c>
      <c r="D1350" s="7" t="s">
        <v>1630</v>
      </c>
      <c r="E1350" s="7" t="s">
        <v>16</v>
      </c>
      <c r="F1350" s="7" t="s">
        <v>16</v>
      </c>
    </row>
    <row r="1351" ht="22.5" customHeight="1">
      <c r="A1351" s="7" t="s">
        <v>134</v>
      </c>
      <c r="B1351" s="8" t="s">
        <v>1626</v>
      </c>
      <c r="C1351" s="7" t="s">
        <v>40</v>
      </c>
      <c r="D1351" s="7" t="s">
        <v>1631</v>
      </c>
      <c r="E1351" s="7" t="s">
        <v>16</v>
      </c>
      <c r="F1351" s="7" t="s">
        <v>16</v>
      </c>
    </row>
    <row r="1352" ht="22.5" customHeight="1">
      <c r="A1352" s="7" t="s">
        <v>134</v>
      </c>
      <c r="B1352" s="8" t="s">
        <v>1626</v>
      </c>
      <c r="C1352" s="7" t="s">
        <v>43</v>
      </c>
      <c r="D1352" s="7" t="s">
        <v>1632</v>
      </c>
      <c r="E1352" s="7" t="s">
        <v>16</v>
      </c>
      <c r="F1352" s="7" t="s">
        <v>16</v>
      </c>
    </row>
    <row r="1353" ht="22.5" customHeight="1">
      <c r="A1353" s="7" t="s">
        <v>250</v>
      </c>
      <c r="B1353" s="8" t="s">
        <v>1633</v>
      </c>
      <c r="C1353" s="7" t="s">
        <v>14</v>
      </c>
      <c r="D1353" s="7" t="s">
        <v>1634</v>
      </c>
      <c r="E1353" s="7" t="s">
        <v>16</v>
      </c>
      <c r="F1353" s="7" t="s">
        <v>16</v>
      </c>
    </row>
    <row r="1354" ht="22.5" customHeight="1">
      <c r="A1354" s="7" t="s">
        <v>250</v>
      </c>
      <c r="B1354" s="8" t="s">
        <v>1633</v>
      </c>
      <c r="C1354" s="7" t="s">
        <v>30</v>
      </c>
      <c r="D1354" s="7" t="s">
        <v>1635</v>
      </c>
      <c r="E1354" s="7" t="s">
        <v>16</v>
      </c>
      <c r="F1354" s="7" t="s">
        <v>16</v>
      </c>
    </row>
    <row r="1355" ht="22.5" customHeight="1">
      <c r="A1355" s="7" t="s">
        <v>250</v>
      </c>
      <c r="B1355" s="8" t="s">
        <v>1633</v>
      </c>
      <c r="C1355" s="7" t="s">
        <v>30</v>
      </c>
      <c r="D1355" s="7" t="s">
        <v>1636</v>
      </c>
      <c r="E1355" s="7" t="s">
        <v>16</v>
      </c>
      <c r="F1355" s="7" t="s">
        <v>18</v>
      </c>
    </row>
    <row r="1356" ht="22.5" customHeight="1">
      <c r="A1356" s="7" t="s">
        <v>250</v>
      </c>
      <c r="B1356" s="8" t="s">
        <v>1633</v>
      </c>
      <c r="C1356" s="7" t="s">
        <v>30</v>
      </c>
      <c r="D1356" s="7" t="s">
        <v>1637</v>
      </c>
      <c r="E1356" s="7" t="s">
        <v>16</v>
      </c>
      <c r="F1356" s="7" t="s">
        <v>20</v>
      </c>
    </row>
    <row r="1357" ht="22.5" customHeight="1">
      <c r="A1357" s="7" t="s">
        <v>250</v>
      </c>
      <c r="B1357" s="8" t="s">
        <v>1633</v>
      </c>
      <c r="C1357" s="7" t="s">
        <v>30</v>
      </c>
      <c r="D1357" s="7" t="s">
        <v>1638</v>
      </c>
      <c r="E1357" s="7" t="s">
        <v>16</v>
      </c>
      <c r="F1357" s="7" t="s">
        <v>22</v>
      </c>
    </row>
    <row r="1358" ht="22.5" customHeight="1">
      <c r="A1358" s="7" t="s">
        <v>250</v>
      </c>
      <c r="B1358" s="8" t="s">
        <v>1633</v>
      </c>
      <c r="C1358" s="7" t="s">
        <v>30</v>
      </c>
      <c r="D1358" s="7" t="s">
        <v>1639</v>
      </c>
      <c r="E1358" s="7" t="s">
        <v>16</v>
      </c>
      <c r="F1358" s="7" t="s">
        <v>24</v>
      </c>
    </row>
    <row r="1359" ht="22.5" customHeight="1">
      <c r="A1359" s="7" t="s">
        <v>250</v>
      </c>
      <c r="B1359" s="8" t="s">
        <v>1633</v>
      </c>
      <c r="C1359" s="7" t="s">
        <v>30</v>
      </c>
      <c r="D1359" s="7" t="s">
        <v>1640</v>
      </c>
      <c r="E1359" s="7" t="s">
        <v>26</v>
      </c>
      <c r="F1359" s="7" t="s">
        <v>20</v>
      </c>
    </row>
    <row r="1360" ht="22.5" customHeight="1">
      <c r="A1360" s="7" t="s">
        <v>250</v>
      </c>
      <c r="B1360" s="8" t="s">
        <v>1633</v>
      </c>
      <c r="C1360" s="7" t="s">
        <v>36</v>
      </c>
      <c r="D1360" s="7" t="s">
        <v>1641</v>
      </c>
      <c r="E1360" s="7" t="s">
        <v>16</v>
      </c>
      <c r="F1360" s="7" t="s">
        <v>16</v>
      </c>
    </row>
    <row r="1361" ht="22.5" customHeight="1">
      <c r="A1361" s="7" t="s">
        <v>250</v>
      </c>
      <c r="B1361" s="8" t="s">
        <v>1633</v>
      </c>
      <c r="C1361" s="7" t="s">
        <v>38</v>
      </c>
      <c r="D1361" s="7" t="s">
        <v>1642</v>
      </c>
      <c r="E1361" s="7" t="s">
        <v>16</v>
      </c>
      <c r="F1361" s="7" t="s">
        <v>16</v>
      </c>
    </row>
    <row r="1362" ht="22.5" customHeight="1">
      <c r="A1362" s="7" t="s">
        <v>250</v>
      </c>
      <c r="B1362" s="8" t="s">
        <v>1633</v>
      </c>
      <c r="C1362" s="7" t="s">
        <v>40</v>
      </c>
      <c r="D1362" s="7" t="s">
        <v>1643</v>
      </c>
      <c r="E1362" s="7" t="s">
        <v>16</v>
      </c>
      <c r="F1362" s="7" t="s">
        <v>16</v>
      </c>
    </row>
    <row r="1363" ht="22.5" customHeight="1">
      <c r="A1363" s="7" t="s">
        <v>250</v>
      </c>
      <c r="B1363" s="8" t="s">
        <v>1633</v>
      </c>
      <c r="C1363" s="7" t="s">
        <v>43</v>
      </c>
      <c r="D1363" s="7" t="s">
        <v>1644</v>
      </c>
      <c r="E1363" s="7" t="s">
        <v>16</v>
      </c>
      <c r="F1363" s="7" t="s">
        <v>16</v>
      </c>
    </row>
    <row r="1364" ht="22.5" customHeight="1">
      <c r="A1364" s="7" t="s">
        <v>45</v>
      </c>
      <c r="B1364" s="8" t="s">
        <v>1645</v>
      </c>
      <c r="C1364" s="7" t="s">
        <v>30</v>
      </c>
      <c r="D1364" s="7" t="s">
        <v>1646</v>
      </c>
      <c r="E1364" s="7" t="s">
        <v>16</v>
      </c>
      <c r="F1364" s="7" t="s">
        <v>16</v>
      </c>
    </row>
    <row r="1365" ht="22.5" customHeight="1">
      <c r="A1365" s="7" t="s">
        <v>45</v>
      </c>
      <c r="B1365" s="8" t="s">
        <v>1645</v>
      </c>
      <c r="C1365" s="7" t="s">
        <v>30</v>
      </c>
      <c r="D1365" s="7" t="s">
        <v>1647</v>
      </c>
      <c r="E1365" s="7" t="s">
        <v>16</v>
      </c>
      <c r="F1365" s="7" t="s">
        <v>18</v>
      </c>
    </row>
    <row r="1366" ht="22.5" customHeight="1">
      <c r="A1366" s="7" t="s">
        <v>45</v>
      </c>
      <c r="B1366" s="8" t="s">
        <v>1645</v>
      </c>
      <c r="C1366" s="7" t="s">
        <v>36</v>
      </c>
      <c r="D1366" s="7" t="s">
        <v>1648</v>
      </c>
      <c r="E1366" s="7" t="s">
        <v>16</v>
      </c>
      <c r="F1366" s="7" t="s">
        <v>16</v>
      </c>
    </row>
    <row r="1367" ht="22.5" customHeight="1">
      <c r="A1367" s="7" t="s">
        <v>45</v>
      </c>
      <c r="B1367" s="8" t="s">
        <v>1645</v>
      </c>
      <c r="C1367" s="7" t="s">
        <v>38</v>
      </c>
      <c r="D1367" s="7" t="s">
        <v>1649</v>
      </c>
      <c r="E1367" s="7" t="s">
        <v>16</v>
      </c>
      <c r="F1367" s="7" t="s">
        <v>16</v>
      </c>
    </row>
    <row r="1368" ht="22.5" customHeight="1">
      <c r="A1368" s="7" t="s">
        <v>45</v>
      </c>
      <c r="B1368" s="8" t="s">
        <v>1645</v>
      </c>
      <c r="C1368" s="7" t="s">
        <v>40</v>
      </c>
      <c r="D1368" s="7" t="s">
        <v>1650</v>
      </c>
      <c r="E1368" s="7" t="s">
        <v>16</v>
      </c>
      <c r="F1368" s="7" t="s">
        <v>16</v>
      </c>
    </row>
    <row r="1369" ht="22.5" customHeight="1">
      <c r="A1369" s="7" t="s">
        <v>45</v>
      </c>
      <c r="B1369" s="8" t="s">
        <v>1645</v>
      </c>
      <c r="C1369" s="7" t="s">
        <v>43</v>
      </c>
      <c r="D1369" s="7" t="s">
        <v>1651</v>
      </c>
      <c r="E1369" s="7" t="s">
        <v>16</v>
      </c>
      <c r="F1369" s="7" t="s">
        <v>16</v>
      </c>
    </row>
    <row r="1370" ht="22.5" customHeight="1">
      <c r="A1370" s="7" t="s">
        <v>139</v>
      </c>
      <c r="B1370" s="8" t="s">
        <v>1652</v>
      </c>
      <c r="C1370" s="7" t="s">
        <v>14</v>
      </c>
      <c r="D1370" s="7" t="s">
        <v>1653</v>
      </c>
      <c r="E1370" s="7" t="s">
        <v>16</v>
      </c>
      <c r="F1370" s="7" t="s">
        <v>48</v>
      </c>
    </row>
    <row r="1371" ht="22.5" customHeight="1">
      <c r="A1371" s="7" t="s">
        <v>139</v>
      </c>
      <c r="B1371" s="8" t="s">
        <v>1652</v>
      </c>
      <c r="C1371" s="7" t="s">
        <v>14</v>
      </c>
      <c r="D1371" s="7" t="s">
        <v>1654</v>
      </c>
      <c r="E1371" s="7" t="s">
        <v>16</v>
      </c>
      <c r="F1371" s="7" t="s">
        <v>48</v>
      </c>
    </row>
    <row r="1372" ht="22.5" customHeight="1">
      <c r="A1372" s="7" t="s">
        <v>139</v>
      </c>
      <c r="B1372" s="8" t="s">
        <v>1652</v>
      </c>
      <c r="C1372" s="7" t="s">
        <v>14</v>
      </c>
      <c r="D1372" s="7" t="s">
        <v>1655</v>
      </c>
      <c r="E1372" s="7" t="s">
        <v>16</v>
      </c>
      <c r="F1372" s="7" t="s">
        <v>48</v>
      </c>
    </row>
    <row r="1373" ht="22.5" customHeight="1">
      <c r="A1373" s="7" t="s">
        <v>200</v>
      </c>
      <c r="B1373" s="8" t="s">
        <v>1656</v>
      </c>
      <c r="C1373" s="7" t="s">
        <v>30</v>
      </c>
      <c r="D1373" s="7" t="s">
        <v>1657</v>
      </c>
      <c r="E1373" s="7" t="s">
        <v>26</v>
      </c>
      <c r="F1373" s="7" t="s">
        <v>48</v>
      </c>
    </row>
    <row r="1374" ht="22.5" customHeight="1">
      <c r="A1374" s="7" t="s">
        <v>200</v>
      </c>
      <c r="B1374" s="8" t="s">
        <v>1656</v>
      </c>
      <c r="C1374" s="7" t="s">
        <v>43</v>
      </c>
      <c r="D1374" s="7" t="s">
        <v>1658</v>
      </c>
      <c r="E1374" s="7" t="s">
        <v>26</v>
      </c>
      <c r="F1374" s="7" t="s">
        <v>48</v>
      </c>
    </row>
    <row r="1375" ht="22.5" customHeight="1">
      <c r="A1375" s="7" t="s">
        <v>67</v>
      </c>
      <c r="B1375" s="8" t="s">
        <v>1659</v>
      </c>
      <c r="C1375" s="7" t="s">
        <v>30</v>
      </c>
      <c r="D1375" s="7" t="s">
        <v>1660</v>
      </c>
      <c r="E1375" s="7" t="s">
        <v>16</v>
      </c>
      <c r="F1375" s="7" t="s">
        <v>16</v>
      </c>
    </row>
    <row r="1376" ht="22.5" customHeight="1">
      <c r="A1376" s="7" t="s">
        <v>67</v>
      </c>
      <c r="B1376" s="8" t="s">
        <v>1659</v>
      </c>
      <c r="C1376" s="7" t="s">
        <v>30</v>
      </c>
      <c r="D1376" s="7" t="s">
        <v>1661</v>
      </c>
      <c r="E1376" s="7" t="s">
        <v>16</v>
      </c>
      <c r="F1376" s="7" t="s">
        <v>18</v>
      </c>
    </row>
    <row r="1377" ht="22.5" customHeight="1">
      <c r="A1377" s="7" t="s">
        <v>67</v>
      </c>
      <c r="B1377" s="8" t="s">
        <v>1659</v>
      </c>
      <c r="C1377" s="7" t="s">
        <v>30</v>
      </c>
      <c r="D1377" s="7" t="s">
        <v>1662</v>
      </c>
      <c r="E1377" s="7" t="s">
        <v>16</v>
      </c>
      <c r="F1377" s="7" t="s">
        <v>20</v>
      </c>
    </row>
    <row r="1378" ht="22.5" customHeight="1">
      <c r="A1378" s="7" t="s">
        <v>67</v>
      </c>
      <c r="B1378" s="8" t="s">
        <v>1659</v>
      </c>
      <c r="C1378" s="7" t="s">
        <v>30</v>
      </c>
      <c r="D1378" s="7" t="s">
        <v>1663</v>
      </c>
      <c r="E1378" s="7" t="s">
        <v>16</v>
      </c>
      <c r="F1378" s="7" t="s">
        <v>22</v>
      </c>
    </row>
    <row r="1379" ht="22.5" customHeight="1">
      <c r="A1379" s="7" t="s">
        <v>67</v>
      </c>
      <c r="B1379" s="8" t="s">
        <v>1659</v>
      </c>
      <c r="C1379" s="7" t="s">
        <v>30</v>
      </c>
      <c r="D1379" s="7" t="s">
        <v>1664</v>
      </c>
      <c r="E1379" s="7" t="s">
        <v>16</v>
      </c>
      <c r="F1379" s="7" t="s">
        <v>24</v>
      </c>
    </row>
    <row r="1380" ht="22.5" customHeight="1">
      <c r="A1380" s="7" t="s">
        <v>67</v>
      </c>
      <c r="B1380" s="8" t="s">
        <v>1659</v>
      </c>
      <c r="C1380" s="7" t="s">
        <v>30</v>
      </c>
      <c r="D1380" s="7" t="s">
        <v>1665</v>
      </c>
      <c r="E1380" s="7" t="s">
        <v>16</v>
      </c>
      <c r="F1380" s="7" t="s">
        <v>1666</v>
      </c>
    </row>
    <row r="1381" ht="22.5" customHeight="1">
      <c r="A1381" s="7" t="s">
        <v>67</v>
      </c>
      <c r="B1381" s="8" t="s">
        <v>1659</v>
      </c>
      <c r="C1381" s="7" t="s">
        <v>30</v>
      </c>
      <c r="D1381" s="7" t="s">
        <v>1667</v>
      </c>
      <c r="E1381" s="7" t="s">
        <v>26</v>
      </c>
      <c r="F1381" s="7" t="s">
        <v>16</v>
      </c>
    </row>
    <row r="1382" ht="22.5" customHeight="1">
      <c r="A1382" s="7" t="s">
        <v>67</v>
      </c>
      <c r="B1382" s="8" t="s">
        <v>1659</v>
      </c>
      <c r="C1382" s="7" t="s">
        <v>30</v>
      </c>
      <c r="D1382" s="7" t="s">
        <v>1668</v>
      </c>
      <c r="E1382" s="7" t="s">
        <v>26</v>
      </c>
      <c r="F1382" s="7" t="s">
        <v>18</v>
      </c>
    </row>
    <row r="1383" ht="22.5" customHeight="1">
      <c r="A1383" s="7" t="s">
        <v>67</v>
      </c>
      <c r="B1383" s="8" t="s">
        <v>1659</v>
      </c>
      <c r="C1383" s="7" t="s">
        <v>30</v>
      </c>
      <c r="D1383" s="7" t="s">
        <v>1669</v>
      </c>
      <c r="E1383" s="7" t="s">
        <v>26</v>
      </c>
      <c r="F1383" s="7" t="s">
        <v>18</v>
      </c>
    </row>
    <row r="1384" ht="22.5" customHeight="1">
      <c r="A1384" s="7" t="s">
        <v>67</v>
      </c>
      <c r="B1384" s="8" t="s">
        <v>1659</v>
      </c>
      <c r="C1384" s="7" t="s">
        <v>30</v>
      </c>
      <c r="D1384" s="7" t="s">
        <v>1670</v>
      </c>
      <c r="E1384" s="7" t="s">
        <v>26</v>
      </c>
      <c r="F1384" s="7" t="s">
        <v>18</v>
      </c>
    </row>
    <row r="1385" ht="22.5" customHeight="1">
      <c r="A1385" s="7" t="s">
        <v>67</v>
      </c>
      <c r="B1385" s="8" t="s">
        <v>1659</v>
      </c>
      <c r="C1385" s="7" t="s">
        <v>30</v>
      </c>
      <c r="D1385" s="7" t="s">
        <v>1671</v>
      </c>
      <c r="E1385" s="7" t="s">
        <v>26</v>
      </c>
      <c r="F1385" s="7" t="s">
        <v>20</v>
      </c>
    </row>
    <row r="1386" ht="22.5" customHeight="1">
      <c r="A1386" s="7" t="s">
        <v>67</v>
      </c>
      <c r="B1386" s="8" t="s">
        <v>1659</v>
      </c>
      <c r="C1386" s="7" t="s">
        <v>30</v>
      </c>
      <c r="D1386" s="7" t="s">
        <v>1672</v>
      </c>
      <c r="E1386" s="7" t="s">
        <v>26</v>
      </c>
      <c r="F1386" s="7" t="s">
        <v>20</v>
      </c>
    </row>
    <row r="1387" ht="22.5" customHeight="1">
      <c r="A1387" s="7" t="s">
        <v>67</v>
      </c>
      <c r="B1387" s="8" t="s">
        <v>1659</v>
      </c>
      <c r="C1387" s="7" t="s">
        <v>30</v>
      </c>
      <c r="D1387" s="7" t="s">
        <v>1673</v>
      </c>
      <c r="E1387" s="7" t="s">
        <v>26</v>
      </c>
      <c r="F1387" s="7" t="s">
        <v>20</v>
      </c>
    </row>
    <row r="1388" ht="22.5" customHeight="1">
      <c r="A1388" s="7" t="s">
        <v>67</v>
      </c>
      <c r="B1388" s="8" t="s">
        <v>1659</v>
      </c>
      <c r="C1388" s="7" t="s">
        <v>30</v>
      </c>
      <c r="D1388" s="7" t="s">
        <v>1674</v>
      </c>
      <c r="E1388" s="7" t="s">
        <v>26</v>
      </c>
      <c r="F1388" s="7" t="s">
        <v>22</v>
      </c>
    </row>
    <row r="1389" ht="22.5" customHeight="1">
      <c r="A1389" s="7" t="s">
        <v>67</v>
      </c>
      <c r="B1389" s="8" t="s">
        <v>1659</v>
      </c>
      <c r="C1389" s="7" t="s">
        <v>30</v>
      </c>
      <c r="D1389" s="7" t="s">
        <v>1675</v>
      </c>
      <c r="E1389" s="7" t="s">
        <v>26</v>
      </c>
      <c r="F1389" s="7" t="s">
        <v>22</v>
      </c>
    </row>
    <row r="1390" ht="22.5" customHeight="1">
      <c r="A1390" s="7" t="s">
        <v>67</v>
      </c>
      <c r="B1390" s="8" t="s">
        <v>1659</v>
      </c>
      <c r="C1390" s="7" t="s">
        <v>30</v>
      </c>
      <c r="D1390" s="7" t="s">
        <v>1676</v>
      </c>
      <c r="E1390" s="7" t="s">
        <v>26</v>
      </c>
      <c r="F1390" s="7" t="s">
        <v>22</v>
      </c>
    </row>
    <row r="1391" ht="22.5" customHeight="1">
      <c r="A1391" s="7" t="s">
        <v>67</v>
      </c>
      <c r="B1391" s="8" t="s">
        <v>1659</v>
      </c>
      <c r="C1391" s="7" t="s">
        <v>30</v>
      </c>
      <c r="D1391" s="7" t="s">
        <v>1677</v>
      </c>
      <c r="E1391" s="7" t="s">
        <v>26</v>
      </c>
      <c r="F1391" s="7" t="s">
        <v>24</v>
      </c>
    </row>
    <row r="1392" ht="22.5" customHeight="1">
      <c r="A1392" s="7" t="s">
        <v>67</v>
      </c>
      <c r="B1392" s="8" t="s">
        <v>1659</v>
      </c>
      <c r="C1392" s="7" t="s">
        <v>30</v>
      </c>
      <c r="D1392" s="7" t="s">
        <v>1678</v>
      </c>
      <c r="E1392" s="7" t="s">
        <v>26</v>
      </c>
      <c r="F1392" s="7" t="s">
        <v>24</v>
      </c>
    </row>
    <row r="1393" ht="22.5" customHeight="1">
      <c r="A1393" s="7" t="s">
        <v>67</v>
      </c>
      <c r="B1393" s="8" t="s">
        <v>1659</v>
      </c>
      <c r="C1393" s="7" t="s">
        <v>30</v>
      </c>
      <c r="D1393" s="7" t="s">
        <v>1679</v>
      </c>
      <c r="E1393" s="7" t="s">
        <v>26</v>
      </c>
      <c r="F1393" s="7" t="s">
        <v>24</v>
      </c>
    </row>
    <row r="1394" ht="22.5" customHeight="1">
      <c r="A1394" s="7" t="s">
        <v>67</v>
      </c>
      <c r="B1394" s="8" t="s">
        <v>1659</v>
      </c>
      <c r="C1394" s="7" t="s">
        <v>30</v>
      </c>
      <c r="D1394" s="7" t="s">
        <v>1680</v>
      </c>
      <c r="E1394" s="7" t="s">
        <v>26</v>
      </c>
      <c r="F1394" s="7" t="s">
        <v>24</v>
      </c>
    </row>
    <row r="1395" ht="22.5" customHeight="1">
      <c r="A1395" s="7" t="s">
        <v>67</v>
      </c>
      <c r="B1395" s="8" t="s">
        <v>1659</v>
      </c>
      <c r="C1395" s="7" t="s">
        <v>36</v>
      </c>
      <c r="D1395" s="7" t="s">
        <v>1681</v>
      </c>
      <c r="E1395" s="7" t="s">
        <v>16</v>
      </c>
      <c r="F1395" s="7" t="s">
        <v>16</v>
      </c>
    </row>
    <row r="1396" ht="22.5" customHeight="1">
      <c r="A1396" s="7" t="s">
        <v>67</v>
      </c>
      <c r="B1396" s="8" t="s">
        <v>1659</v>
      </c>
      <c r="C1396" s="7" t="s">
        <v>38</v>
      </c>
      <c r="D1396" s="7" t="s">
        <v>1682</v>
      </c>
      <c r="E1396" s="7" t="s">
        <v>16</v>
      </c>
      <c r="F1396" s="7" t="s">
        <v>16</v>
      </c>
    </row>
    <row r="1397" ht="22.5" customHeight="1">
      <c r="A1397" s="7" t="s">
        <v>67</v>
      </c>
      <c r="B1397" s="8" t="s">
        <v>1659</v>
      </c>
      <c r="C1397" s="7" t="s">
        <v>40</v>
      </c>
      <c r="D1397" s="7" t="s">
        <v>1683</v>
      </c>
      <c r="E1397" s="7" t="s">
        <v>16</v>
      </c>
      <c r="F1397" s="7" t="s">
        <v>16</v>
      </c>
    </row>
    <row r="1398" ht="22.5" customHeight="1">
      <c r="A1398" s="7" t="s">
        <v>67</v>
      </c>
      <c r="B1398" s="8" t="s">
        <v>1659</v>
      </c>
      <c r="C1398" s="7" t="s">
        <v>43</v>
      </c>
      <c r="D1398" s="7" t="s">
        <v>1684</v>
      </c>
      <c r="E1398" s="7" t="s">
        <v>16</v>
      </c>
      <c r="F1398" s="7" t="s">
        <v>16</v>
      </c>
    </row>
    <row r="1399" ht="22.5" customHeight="1">
      <c r="A1399" s="7" t="s">
        <v>889</v>
      </c>
      <c r="B1399" s="8" t="s">
        <v>1685</v>
      </c>
      <c r="C1399" s="7" t="s">
        <v>30</v>
      </c>
      <c r="D1399" s="7" t="s">
        <v>1686</v>
      </c>
      <c r="E1399" s="7" t="s">
        <v>26</v>
      </c>
      <c r="F1399" s="7" t="s">
        <v>48</v>
      </c>
    </row>
    <row r="1400" ht="22.5" customHeight="1">
      <c r="A1400" s="7" t="s">
        <v>889</v>
      </c>
      <c r="B1400" s="8" t="s">
        <v>1685</v>
      </c>
      <c r="C1400" s="7" t="s">
        <v>103</v>
      </c>
      <c r="D1400" s="7" t="s">
        <v>1687</v>
      </c>
      <c r="E1400" s="7" t="s">
        <v>105</v>
      </c>
      <c r="F1400" s="7" t="s">
        <v>48</v>
      </c>
    </row>
    <row r="1401" ht="22.5" customHeight="1">
      <c r="A1401" s="7" t="s">
        <v>50</v>
      </c>
      <c r="B1401" s="8" t="s">
        <v>1688</v>
      </c>
      <c r="C1401" s="7" t="s">
        <v>30</v>
      </c>
      <c r="D1401" s="7" t="s">
        <v>1689</v>
      </c>
      <c r="E1401" s="7" t="s">
        <v>151</v>
      </c>
      <c r="F1401" s="7" t="s">
        <v>16</v>
      </c>
    </row>
    <row r="1402" ht="22.5" customHeight="1">
      <c r="A1402" s="7" t="s">
        <v>50</v>
      </c>
      <c r="B1402" s="8" t="s">
        <v>1688</v>
      </c>
      <c r="C1402" s="7" t="s">
        <v>30</v>
      </c>
      <c r="D1402" s="7" t="s">
        <v>1690</v>
      </c>
      <c r="E1402" s="7" t="s">
        <v>151</v>
      </c>
      <c r="F1402" s="7" t="s">
        <v>18</v>
      </c>
    </row>
    <row r="1403" ht="22.5" customHeight="1">
      <c r="A1403" s="7" t="s">
        <v>50</v>
      </c>
      <c r="B1403" s="8" t="s">
        <v>1688</v>
      </c>
      <c r="C1403" s="7" t="s">
        <v>30</v>
      </c>
      <c r="D1403" s="7" t="s">
        <v>1691</v>
      </c>
      <c r="E1403" s="7" t="s">
        <v>151</v>
      </c>
      <c r="F1403" s="7" t="s">
        <v>20</v>
      </c>
    </row>
    <row r="1404" ht="22.5" customHeight="1">
      <c r="A1404" s="7" t="s">
        <v>50</v>
      </c>
      <c r="B1404" s="8" t="s">
        <v>1688</v>
      </c>
      <c r="C1404" s="7" t="s">
        <v>30</v>
      </c>
      <c r="D1404" s="7" t="s">
        <v>1692</v>
      </c>
      <c r="E1404" s="7" t="s">
        <v>151</v>
      </c>
      <c r="F1404" s="7" t="s">
        <v>22</v>
      </c>
    </row>
    <row r="1405" ht="22.5" customHeight="1">
      <c r="A1405" s="7" t="s">
        <v>50</v>
      </c>
      <c r="B1405" s="8" t="s">
        <v>1688</v>
      </c>
      <c r="C1405" s="7" t="s">
        <v>30</v>
      </c>
      <c r="D1405" s="7" t="s">
        <v>1693</v>
      </c>
      <c r="E1405" s="7" t="s">
        <v>151</v>
      </c>
      <c r="F1405" s="7" t="s">
        <v>24</v>
      </c>
    </row>
    <row r="1406" ht="22.5" customHeight="1">
      <c r="A1406" s="7" t="s">
        <v>50</v>
      </c>
      <c r="B1406" s="8" t="s">
        <v>1688</v>
      </c>
      <c r="C1406" s="7" t="s">
        <v>36</v>
      </c>
      <c r="D1406" s="7" t="s">
        <v>1694</v>
      </c>
      <c r="E1406" s="7" t="s">
        <v>151</v>
      </c>
      <c r="F1406" s="7" t="s">
        <v>16</v>
      </c>
    </row>
    <row r="1407" ht="22.5" customHeight="1">
      <c r="A1407" s="7" t="s">
        <v>50</v>
      </c>
      <c r="B1407" s="8" t="s">
        <v>1688</v>
      </c>
      <c r="C1407" s="7" t="s">
        <v>38</v>
      </c>
      <c r="D1407" s="7" t="s">
        <v>1695</v>
      </c>
      <c r="E1407" s="7" t="s">
        <v>151</v>
      </c>
      <c r="F1407" s="7" t="s">
        <v>16</v>
      </c>
    </row>
    <row r="1408" ht="22.5" customHeight="1">
      <c r="A1408" s="7" t="s">
        <v>50</v>
      </c>
      <c r="B1408" s="8" t="s">
        <v>1688</v>
      </c>
      <c r="C1408" s="7" t="s">
        <v>40</v>
      </c>
      <c r="D1408" s="7" t="s">
        <v>1696</v>
      </c>
      <c r="E1408" s="7" t="s">
        <v>151</v>
      </c>
      <c r="F1408" s="7" t="s">
        <v>16</v>
      </c>
    </row>
    <row r="1409" ht="22.5" customHeight="1">
      <c r="A1409" s="7" t="s">
        <v>50</v>
      </c>
      <c r="B1409" s="8" t="s">
        <v>1688</v>
      </c>
      <c r="C1409" s="7" t="s">
        <v>43</v>
      </c>
      <c r="D1409" s="7" t="s">
        <v>1697</v>
      </c>
      <c r="E1409" s="7" t="s">
        <v>151</v>
      </c>
      <c r="F1409" s="7" t="s">
        <v>16</v>
      </c>
    </row>
    <row r="1410" ht="22.5" customHeight="1">
      <c r="A1410" s="7" t="s">
        <v>250</v>
      </c>
      <c r="B1410" s="8" t="s">
        <v>1698</v>
      </c>
      <c r="C1410" s="7" t="s">
        <v>30</v>
      </c>
      <c r="D1410" s="7" t="s">
        <v>1699</v>
      </c>
      <c r="E1410" s="7" t="s">
        <v>26</v>
      </c>
      <c r="F1410" s="7" t="s">
        <v>16</v>
      </c>
    </row>
    <row r="1411" ht="22.5" customHeight="1">
      <c r="A1411" s="7" t="s">
        <v>250</v>
      </c>
      <c r="B1411" s="8" t="s">
        <v>1698</v>
      </c>
      <c r="C1411" s="7" t="s">
        <v>30</v>
      </c>
      <c r="D1411" s="7" t="s">
        <v>1700</v>
      </c>
      <c r="E1411" s="7" t="s">
        <v>26</v>
      </c>
      <c r="F1411" s="7" t="s">
        <v>16</v>
      </c>
    </row>
    <row r="1412" ht="22.5" customHeight="1">
      <c r="A1412" s="7" t="s">
        <v>250</v>
      </c>
      <c r="B1412" s="8" t="s">
        <v>1698</v>
      </c>
      <c r="C1412" s="7" t="s">
        <v>30</v>
      </c>
      <c r="D1412" s="7" t="s">
        <v>1701</v>
      </c>
      <c r="E1412" s="7" t="s">
        <v>26</v>
      </c>
      <c r="F1412" s="7" t="s">
        <v>16</v>
      </c>
    </row>
    <row r="1413" ht="22.5" customHeight="1">
      <c r="A1413" s="7" t="s">
        <v>250</v>
      </c>
      <c r="B1413" s="8" t="s">
        <v>1698</v>
      </c>
      <c r="C1413" s="7" t="s">
        <v>30</v>
      </c>
      <c r="D1413" s="7" t="s">
        <v>1702</v>
      </c>
      <c r="E1413" s="7" t="s">
        <v>26</v>
      </c>
      <c r="F1413" s="7" t="s">
        <v>18</v>
      </c>
    </row>
    <row r="1414" ht="22.5" customHeight="1">
      <c r="A1414" s="7" t="s">
        <v>250</v>
      </c>
      <c r="B1414" s="8" t="s">
        <v>1698</v>
      </c>
      <c r="C1414" s="7" t="s">
        <v>30</v>
      </c>
      <c r="D1414" s="7" t="s">
        <v>1703</v>
      </c>
      <c r="E1414" s="7" t="s">
        <v>26</v>
      </c>
      <c r="F1414" s="7" t="s">
        <v>20</v>
      </c>
    </row>
    <row r="1415" ht="22.5" customHeight="1">
      <c r="A1415" s="7" t="s">
        <v>250</v>
      </c>
      <c r="B1415" s="8" t="s">
        <v>1698</v>
      </c>
      <c r="C1415" s="7" t="s">
        <v>30</v>
      </c>
      <c r="D1415" s="7" t="s">
        <v>1704</v>
      </c>
      <c r="E1415" s="7" t="s">
        <v>26</v>
      </c>
      <c r="F1415" s="7" t="s">
        <v>22</v>
      </c>
    </row>
    <row r="1416" ht="22.5" customHeight="1">
      <c r="A1416" s="7" t="s">
        <v>250</v>
      </c>
      <c r="B1416" s="8" t="s">
        <v>1698</v>
      </c>
      <c r="C1416" s="7" t="s">
        <v>30</v>
      </c>
      <c r="D1416" s="7" t="s">
        <v>1705</v>
      </c>
      <c r="E1416" s="7" t="s">
        <v>26</v>
      </c>
      <c r="F1416" s="7" t="s">
        <v>24</v>
      </c>
    </row>
    <row r="1417" ht="22.5" customHeight="1">
      <c r="A1417" s="7" t="s">
        <v>250</v>
      </c>
      <c r="B1417" s="8" t="s">
        <v>1698</v>
      </c>
      <c r="C1417" s="7" t="s">
        <v>36</v>
      </c>
      <c r="D1417" s="7" t="s">
        <v>1706</v>
      </c>
      <c r="E1417" s="7" t="s">
        <v>26</v>
      </c>
      <c r="F1417" s="7" t="s">
        <v>16</v>
      </c>
    </row>
    <row r="1418" ht="22.5" customHeight="1">
      <c r="A1418" s="7" t="s">
        <v>250</v>
      </c>
      <c r="B1418" s="8" t="s">
        <v>1698</v>
      </c>
      <c r="C1418" s="7" t="s">
        <v>38</v>
      </c>
      <c r="D1418" s="7" t="s">
        <v>1707</v>
      </c>
      <c r="E1418" s="7" t="s">
        <v>26</v>
      </c>
      <c r="F1418" s="7" t="s">
        <v>16</v>
      </c>
    </row>
    <row r="1419" ht="22.5" customHeight="1">
      <c r="A1419" s="7" t="s">
        <v>250</v>
      </c>
      <c r="B1419" s="8" t="s">
        <v>1698</v>
      </c>
      <c r="C1419" s="7" t="s">
        <v>40</v>
      </c>
      <c r="D1419" s="7" t="s">
        <v>1708</v>
      </c>
      <c r="E1419" s="7" t="s">
        <v>26</v>
      </c>
      <c r="F1419" s="7" t="s">
        <v>16</v>
      </c>
    </row>
    <row r="1420" ht="22.5" customHeight="1">
      <c r="A1420" s="7" t="s">
        <v>250</v>
      </c>
      <c r="B1420" s="8" t="s">
        <v>1698</v>
      </c>
      <c r="C1420" s="7" t="s">
        <v>43</v>
      </c>
      <c r="D1420" s="7" t="s">
        <v>1709</v>
      </c>
      <c r="E1420" s="7" t="s">
        <v>26</v>
      </c>
      <c r="F1420" s="7" t="s">
        <v>16</v>
      </c>
    </row>
    <row r="1421" ht="22.5" customHeight="1">
      <c r="A1421" s="7" t="s">
        <v>994</v>
      </c>
      <c r="B1421" s="8" t="s">
        <v>1710</v>
      </c>
      <c r="C1421" s="7" t="s">
        <v>14</v>
      </c>
      <c r="D1421" s="7" t="s">
        <v>1711</v>
      </c>
      <c r="E1421" s="7" t="s">
        <v>16</v>
      </c>
      <c r="F1421" s="7" t="s">
        <v>48</v>
      </c>
    </row>
    <row r="1422" ht="22.5" customHeight="1">
      <c r="A1422" s="7" t="s">
        <v>994</v>
      </c>
      <c r="B1422" s="8" t="s">
        <v>1710</v>
      </c>
      <c r="C1422" s="7" t="s">
        <v>43</v>
      </c>
      <c r="D1422" s="7" t="s">
        <v>1712</v>
      </c>
      <c r="E1422" s="7" t="s">
        <v>26</v>
      </c>
      <c r="F1422" s="7" t="s">
        <v>48</v>
      </c>
    </row>
    <row r="1423" ht="22.5" customHeight="1">
      <c r="A1423" s="7" t="s">
        <v>994</v>
      </c>
      <c r="B1423" s="8" t="s">
        <v>1710</v>
      </c>
      <c r="C1423" s="7" t="s">
        <v>43</v>
      </c>
      <c r="D1423" s="7" t="s">
        <v>1713</v>
      </c>
      <c r="E1423" s="7" t="s">
        <v>26</v>
      </c>
      <c r="F1423" s="7" t="s">
        <v>48</v>
      </c>
    </row>
    <row r="1424" ht="22.5" customHeight="1">
      <c r="A1424" s="7" t="s">
        <v>994</v>
      </c>
      <c r="B1424" s="8" t="s">
        <v>1714</v>
      </c>
      <c r="C1424" s="7" t="s">
        <v>14</v>
      </c>
      <c r="D1424" s="7" t="s">
        <v>1715</v>
      </c>
      <c r="E1424" s="7" t="s">
        <v>16</v>
      </c>
      <c r="F1424" s="7" t="s">
        <v>48</v>
      </c>
    </row>
    <row r="1425" ht="22.5" customHeight="1">
      <c r="A1425" s="7" t="s">
        <v>994</v>
      </c>
      <c r="B1425" s="8" t="s">
        <v>1714</v>
      </c>
      <c r="C1425" s="7" t="s">
        <v>14</v>
      </c>
      <c r="D1425" s="7" t="s">
        <v>1716</v>
      </c>
      <c r="E1425" s="7" t="s">
        <v>16</v>
      </c>
      <c r="F1425" s="7" t="s">
        <v>48</v>
      </c>
    </row>
    <row r="1426" ht="22.5" customHeight="1">
      <c r="A1426" s="7" t="s">
        <v>461</v>
      </c>
      <c r="B1426" s="8" t="s">
        <v>1717</v>
      </c>
      <c r="C1426" s="7" t="s">
        <v>14</v>
      </c>
      <c r="D1426" s="7" t="s">
        <v>1718</v>
      </c>
      <c r="E1426" s="7" t="s">
        <v>26</v>
      </c>
      <c r="F1426" s="7" t="s">
        <v>48</v>
      </c>
    </row>
    <row r="1427" ht="22.5" customHeight="1">
      <c r="A1427" s="7" t="s">
        <v>226</v>
      </c>
      <c r="B1427" s="8" t="s">
        <v>1719</v>
      </c>
      <c r="C1427" s="7" t="s">
        <v>30</v>
      </c>
      <c r="D1427" s="7" t="s">
        <v>1720</v>
      </c>
      <c r="E1427" s="7" t="s">
        <v>16</v>
      </c>
      <c r="F1427" s="7" t="s">
        <v>16</v>
      </c>
    </row>
    <row r="1428" ht="22.5" customHeight="1">
      <c r="A1428" s="7" t="s">
        <v>226</v>
      </c>
      <c r="B1428" s="8" t="s">
        <v>1719</v>
      </c>
      <c r="C1428" s="7" t="s">
        <v>598</v>
      </c>
      <c r="D1428" s="7" t="s">
        <v>1721</v>
      </c>
      <c r="E1428" s="7" t="s">
        <v>16</v>
      </c>
      <c r="F1428" s="7" t="s">
        <v>16</v>
      </c>
    </row>
    <row r="1429" ht="22.5" customHeight="1">
      <c r="A1429" s="7" t="s">
        <v>226</v>
      </c>
      <c r="B1429" s="8" t="s">
        <v>1719</v>
      </c>
      <c r="C1429" s="7" t="s">
        <v>36</v>
      </c>
      <c r="D1429" s="7" t="s">
        <v>1722</v>
      </c>
      <c r="E1429" s="7" t="s">
        <v>16</v>
      </c>
      <c r="F1429" s="7" t="s">
        <v>16</v>
      </c>
    </row>
    <row r="1430" ht="22.5" customHeight="1">
      <c r="A1430" s="7" t="s">
        <v>226</v>
      </c>
      <c r="B1430" s="8" t="s">
        <v>1719</v>
      </c>
      <c r="C1430" s="7" t="s">
        <v>230</v>
      </c>
      <c r="D1430" s="7" t="s">
        <v>1723</v>
      </c>
      <c r="E1430" s="7" t="s">
        <v>16</v>
      </c>
      <c r="F1430" s="7" t="s">
        <v>16</v>
      </c>
    </row>
    <row r="1431" ht="22.5" customHeight="1">
      <c r="A1431" s="7" t="s">
        <v>226</v>
      </c>
      <c r="B1431" s="8" t="s">
        <v>1719</v>
      </c>
      <c r="C1431" s="7" t="s">
        <v>38</v>
      </c>
      <c r="D1431" s="7" t="s">
        <v>1724</v>
      </c>
      <c r="E1431" s="7" t="s">
        <v>16</v>
      </c>
      <c r="F1431" s="7" t="s">
        <v>16</v>
      </c>
    </row>
    <row r="1432" ht="22.5" customHeight="1">
      <c r="A1432" s="7" t="s">
        <v>226</v>
      </c>
      <c r="B1432" s="8" t="s">
        <v>1719</v>
      </c>
      <c r="C1432" s="7" t="s">
        <v>233</v>
      </c>
      <c r="D1432" s="7" t="s">
        <v>1725</v>
      </c>
      <c r="E1432" s="7" t="s">
        <v>16</v>
      </c>
      <c r="F1432" s="7" t="s">
        <v>16</v>
      </c>
    </row>
    <row r="1433" ht="22.5" customHeight="1">
      <c r="A1433" s="7" t="s">
        <v>226</v>
      </c>
      <c r="B1433" s="8" t="s">
        <v>1719</v>
      </c>
      <c r="C1433" s="7" t="s">
        <v>40</v>
      </c>
      <c r="D1433" s="7" t="s">
        <v>1726</v>
      </c>
      <c r="E1433" s="7" t="s">
        <v>16</v>
      </c>
      <c r="F1433" s="7" t="s">
        <v>16</v>
      </c>
    </row>
    <row r="1434" ht="22.5" customHeight="1">
      <c r="A1434" s="7" t="s">
        <v>226</v>
      </c>
      <c r="B1434" s="8" t="s">
        <v>1719</v>
      </c>
      <c r="C1434" s="7" t="s">
        <v>236</v>
      </c>
      <c r="D1434" s="7" t="s">
        <v>1727</v>
      </c>
      <c r="E1434" s="7" t="s">
        <v>16</v>
      </c>
      <c r="F1434" s="7" t="s">
        <v>16</v>
      </c>
    </row>
    <row r="1435" ht="22.5" customHeight="1">
      <c r="A1435" s="7" t="s">
        <v>226</v>
      </c>
      <c r="B1435" s="8" t="s">
        <v>1719</v>
      </c>
      <c r="C1435" s="7" t="s">
        <v>43</v>
      </c>
      <c r="D1435" s="7" t="s">
        <v>1728</v>
      </c>
      <c r="E1435" s="7" t="s">
        <v>16</v>
      </c>
      <c r="F1435" s="7" t="s">
        <v>16</v>
      </c>
    </row>
    <row r="1436" ht="22.5" customHeight="1">
      <c r="A1436" s="7" t="s">
        <v>226</v>
      </c>
      <c r="B1436" s="8" t="s">
        <v>1719</v>
      </c>
      <c r="C1436" s="7" t="s">
        <v>239</v>
      </c>
      <c r="D1436" s="7" t="s">
        <v>1729</v>
      </c>
      <c r="E1436" s="7" t="s">
        <v>16</v>
      </c>
      <c r="F1436" s="7" t="s">
        <v>16</v>
      </c>
    </row>
    <row r="1437" ht="22.5" customHeight="1">
      <c r="A1437" s="7" t="s">
        <v>78</v>
      </c>
      <c r="B1437" s="8" t="s">
        <v>1730</v>
      </c>
      <c r="C1437" s="7" t="s">
        <v>14</v>
      </c>
      <c r="D1437" s="7" t="s">
        <v>1731</v>
      </c>
      <c r="E1437" s="7" t="s">
        <v>26</v>
      </c>
      <c r="F1437" s="7" t="s">
        <v>48</v>
      </c>
    </row>
    <row r="1438" ht="22.5" customHeight="1">
      <c r="A1438" s="7" t="s">
        <v>78</v>
      </c>
      <c r="B1438" s="8" t="s">
        <v>1730</v>
      </c>
      <c r="C1438" s="7" t="s">
        <v>43</v>
      </c>
      <c r="D1438" s="7" t="s">
        <v>1732</v>
      </c>
      <c r="E1438" s="7" t="s">
        <v>26</v>
      </c>
      <c r="F1438" s="7" t="s">
        <v>48</v>
      </c>
    </row>
    <row r="1439" ht="22.5" customHeight="1">
      <c r="A1439" s="7" t="s">
        <v>78</v>
      </c>
      <c r="B1439" s="8" t="s">
        <v>1730</v>
      </c>
      <c r="C1439" s="7" t="s">
        <v>43</v>
      </c>
      <c r="D1439" s="7" t="s">
        <v>1733</v>
      </c>
      <c r="E1439" s="7" t="s">
        <v>26</v>
      </c>
      <c r="F1439" s="7" t="s">
        <v>48</v>
      </c>
    </row>
    <row r="1440" ht="22.5" customHeight="1">
      <c r="A1440" s="7" t="s">
        <v>250</v>
      </c>
      <c r="B1440" s="8" t="s">
        <v>1734</v>
      </c>
      <c r="C1440" s="7" t="s">
        <v>14</v>
      </c>
      <c r="D1440" s="7" t="s">
        <v>1735</v>
      </c>
      <c r="E1440" s="7" t="s">
        <v>76</v>
      </c>
      <c r="F1440" s="7" t="s">
        <v>1736</v>
      </c>
    </row>
    <row r="1441" ht="22.5" customHeight="1">
      <c r="A1441" s="7" t="s">
        <v>250</v>
      </c>
      <c r="B1441" s="8" t="s">
        <v>1734</v>
      </c>
      <c r="C1441" s="7" t="s">
        <v>30</v>
      </c>
      <c r="D1441" s="7" t="s">
        <v>1737</v>
      </c>
      <c r="E1441" s="7" t="s">
        <v>26</v>
      </c>
      <c r="F1441" s="7" t="s">
        <v>48</v>
      </c>
    </row>
    <row r="1442" ht="22.5" customHeight="1">
      <c r="A1442" s="7" t="s">
        <v>250</v>
      </c>
      <c r="B1442" s="8" t="s">
        <v>1734</v>
      </c>
      <c r="C1442" s="7" t="s">
        <v>36</v>
      </c>
      <c r="D1442" s="7" t="s">
        <v>1738</v>
      </c>
      <c r="E1442" s="7" t="s">
        <v>26</v>
      </c>
      <c r="F1442" s="7" t="s">
        <v>48</v>
      </c>
    </row>
    <row r="1443" ht="22.5" customHeight="1">
      <c r="A1443" s="7" t="s">
        <v>250</v>
      </c>
      <c r="B1443" s="8" t="s">
        <v>1734</v>
      </c>
      <c r="C1443" s="7" t="s">
        <v>38</v>
      </c>
      <c r="D1443" s="7" t="s">
        <v>1739</v>
      </c>
      <c r="E1443" s="7" t="s">
        <v>26</v>
      </c>
      <c r="F1443" s="7" t="s">
        <v>48</v>
      </c>
    </row>
    <row r="1444" ht="22.5" customHeight="1">
      <c r="A1444" s="7" t="s">
        <v>250</v>
      </c>
      <c r="B1444" s="8" t="s">
        <v>1734</v>
      </c>
      <c r="C1444" s="7" t="s">
        <v>40</v>
      </c>
      <c r="D1444" s="7" t="s">
        <v>1740</v>
      </c>
      <c r="E1444" s="7" t="s">
        <v>26</v>
      </c>
      <c r="F1444" s="7" t="s">
        <v>48</v>
      </c>
    </row>
    <row r="1445" ht="22.5" customHeight="1">
      <c r="A1445" s="7" t="s">
        <v>250</v>
      </c>
      <c r="B1445" s="8" t="s">
        <v>1734</v>
      </c>
      <c r="C1445" s="7" t="s">
        <v>43</v>
      </c>
      <c r="D1445" s="7" t="s">
        <v>1741</v>
      </c>
      <c r="E1445" s="7" t="s">
        <v>26</v>
      </c>
      <c r="F1445" s="7" t="s">
        <v>48</v>
      </c>
    </row>
    <row r="1446" ht="22.5" customHeight="1">
      <c r="A1446" s="7" t="s">
        <v>250</v>
      </c>
      <c r="B1446" s="8" t="s">
        <v>1734</v>
      </c>
      <c r="C1446" s="7" t="s">
        <v>43</v>
      </c>
      <c r="D1446" s="7" t="s">
        <v>1742</v>
      </c>
      <c r="E1446" s="7" t="s">
        <v>26</v>
      </c>
      <c r="F1446" s="7" t="s">
        <v>48</v>
      </c>
    </row>
    <row r="1447" ht="22.5" customHeight="1">
      <c r="A1447" s="20" t="s">
        <v>1743</v>
      </c>
      <c r="B1447" s="20" t="s">
        <v>1744</v>
      </c>
      <c r="C1447" s="20" t="s">
        <v>1745</v>
      </c>
      <c r="D1447" s="20" t="s">
        <v>1746</v>
      </c>
      <c r="E1447" s="20" t="s">
        <v>1745</v>
      </c>
      <c r="F1447" s="20" t="s">
        <v>1747</v>
      </c>
    </row>
    <row r="1448" ht="22.5" customHeight="1">
      <c r="A1448" s="20" t="s">
        <v>1743</v>
      </c>
      <c r="B1448" s="20" t="s">
        <v>1744</v>
      </c>
      <c r="C1448" s="20" t="s">
        <v>1745</v>
      </c>
      <c r="D1448" s="20" t="s">
        <v>1748</v>
      </c>
      <c r="E1448" s="20" t="s">
        <v>1745</v>
      </c>
      <c r="F1448" s="20" t="s">
        <v>1747</v>
      </c>
    </row>
    <row r="1449" ht="22.5" customHeight="1">
      <c r="A1449" s="20" t="s">
        <v>1743</v>
      </c>
      <c r="B1449" s="20" t="s">
        <v>1749</v>
      </c>
      <c r="C1449" s="20" t="s">
        <v>1745</v>
      </c>
      <c r="D1449" s="20" t="s">
        <v>1750</v>
      </c>
      <c r="E1449" s="20" t="s">
        <v>1745</v>
      </c>
      <c r="F1449" s="20" t="s">
        <v>1747</v>
      </c>
    </row>
    <row r="1450" ht="22.5" customHeight="1">
      <c r="A1450" s="20" t="s">
        <v>1743</v>
      </c>
      <c r="B1450" s="20" t="s">
        <v>1749</v>
      </c>
      <c r="C1450" s="20" t="s">
        <v>1745</v>
      </c>
      <c r="D1450" s="20" t="s">
        <v>1751</v>
      </c>
      <c r="E1450" s="20" t="s">
        <v>1745</v>
      </c>
      <c r="F1450" s="20" t="s">
        <v>1747</v>
      </c>
    </row>
    <row r="1451" ht="22.5" customHeight="1">
      <c r="A1451" s="20" t="s">
        <v>1743</v>
      </c>
      <c r="B1451" s="20" t="s">
        <v>1752</v>
      </c>
      <c r="C1451" s="20" t="s">
        <v>1745</v>
      </c>
      <c r="D1451" s="20" t="s">
        <v>1753</v>
      </c>
      <c r="E1451" s="20" t="s">
        <v>1745</v>
      </c>
      <c r="F1451" s="20" t="s">
        <v>1747</v>
      </c>
    </row>
    <row r="1452" ht="22.5" customHeight="1">
      <c r="A1452" s="20" t="s">
        <v>1743</v>
      </c>
      <c r="B1452" s="20" t="s">
        <v>1752</v>
      </c>
      <c r="C1452" s="20" t="s">
        <v>1745</v>
      </c>
      <c r="D1452" s="20" t="s">
        <v>1754</v>
      </c>
      <c r="E1452" s="20" t="s">
        <v>1745</v>
      </c>
      <c r="F1452" s="20" t="s">
        <v>1747</v>
      </c>
    </row>
    <row r="1453" ht="22.5" customHeight="1">
      <c r="A1453" s="20" t="s">
        <v>1743</v>
      </c>
      <c r="B1453" s="20" t="s">
        <v>1755</v>
      </c>
      <c r="C1453" s="20" t="s">
        <v>1745</v>
      </c>
      <c r="D1453" s="20" t="s">
        <v>1756</v>
      </c>
      <c r="E1453" s="20" t="s">
        <v>1745</v>
      </c>
      <c r="F1453" s="20" t="s">
        <v>1757</v>
      </c>
    </row>
    <row r="1454" ht="22.5" customHeight="1">
      <c r="A1454" s="20" t="s">
        <v>1743</v>
      </c>
      <c r="B1454" s="20" t="s">
        <v>1758</v>
      </c>
      <c r="C1454" s="20" t="s">
        <v>1745</v>
      </c>
      <c r="D1454" s="20" t="s">
        <v>1759</v>
      </c>
      <c r="E1454" s="20" t="s">
        <v>1745</v>
      </c>
      <c r="F1454" s="20" t="s">
        <v>1760</v>
      </c>
    </row>
    <row r="1455" ht="22.5" customHeight="1">
      <c r="A1455" s="20" t="s">
        <v>1743</v>
      </c>
      <c r="B1455" s="20" t="s">
        <v>1761</v>
      </c>
      <c r="C1455" s="20" t="s">
        <v>1745</v>
      </c>
      <c r="D1455" s="20" t="s">
        <v>1762</v>
      </c>
      <c r="E1455" s="20" t="s">
        <v>1745</v>
      </c>
      <c r="F1455" s="20" t="s">
        <v>1757</v>
      </c>
    </row>
    <row r="1456" ht="22.5" customHeight="1">
      <c r="A1456" s="20" t="s">
        <v>1743</v>
      </c>
      <c r="B1456" s="20" t="s">
        <v>1761</v>
      </c>
      <c r="C1456" s="20" t="s">
        <v>1745</v>
      </c>
      <c r="D1456" s="20" t="s">
        <v>1763</v>
      </c>
      <c r="E1456" s="20" t="s">
        <v>1745</v>
      </c>
      <c r="F1456" s="20" t="s">
        <v>1760</v>
      </c>
    </row>
    <row r="1457" ht="22.5" customHeight="1">
      <c r="A1457" s="20" t="s">
        <v>1743</v>
      </c>
      <c r="B1457" s="20" t="s">
        <v>1761</v>
      </c>
      <c r="C1457" s="20" t="s">
        <v>1745</v>
      </c>
      <c r="D1457" s="20" t="s">
        <v>1764</v>
      </c>
      <c r="E1457" s="20" t="s">
        <v>1745</v>
      </c>
      <c r="F1457" s="20" t="s">
        <v>1765</v>
      </c>
    </row>
    <row r="1458" ht="22.5" customHeight="1">
      <c r="A1458" s="20" t="s">
        <v>1743</v>
      </c>
      <c r="B1458" s="20" t="s">
        <v>1761</v>
      </c>
      <c r="C1458" s="20" t="s">
        <v>1745</v>
      </c>
      <c r="D1458" s="20" t="s">
        <v>1766</v>
      </c>
      <c r="E1458" s="20" t="s">
        <v>1745</v>
      </c>
      <c r="F1458" s="20" t="s">
        <v>1767</v>
      </c>
    </row>
    <row r="1459" ht="22.5" customHeight="1">
      <c r="A1459" s="20" t="s">
        <v>1743</v>
      </c>
      <c r="B1459" s="20" t="s">
        <v>1768</v>
      </c>
      <c r="C1459" s="20" t="s">
        <v>1745</v>
      </c>
      <c r="D1459" s="20" t="s">
        <v>1769</v>
      </c>
      <c r="E1459" s="20" t="s">
        <v>1745</v>
      </c>
      <c r="F1459" s="20" t="s">
        <v>1757</v>
      </c>
    </row>
    <row r="1460" ht="22.5" customHeight="1">
      <c r="A1460" s="20" t="s">
        <v>1743</v>
      </c>
      <c r="B1460" s="20" t="s">
        <v>1770</v>
      </c>
      <c r="C1460" s="20" t="s">
        <v>1745</v>
      </c>
      <c r="D1460" s="20" t="s">
        <v>1771</v>
      </c>
      <c r="E1460" s="20" t="s">
        <v>1745</v>
      </c>
      <c r="F1460" s="20" t="s">
        <v>1772</v>
      </c>
    </row>
    <row r="1461" ht="22.5" customHeight="1">
      <c r="A1461" s="20" t="s">
        <v>1743</v>
      </c>
      <c r="B1461" s="20" t="s">
        <v>1773</v>
      </c>
      <c r="C1461" s="20" t="s">
        <v>1745</v>
      </c>
      <c r="D1461" s="20" t="s">
        <v>1774</v>
      </c>
      <c r="E1461" s="20" t="s">
        <v>1745</v>
      </c>
      <c r="F1461" s="20" t="s">
        <v>1747</v>
      </c>
    </row>
    <row r="1462" ht="22.5" customHeight="1">
      <c r="A1462" s="20" t="s">
        <v>1743</v>
      </c>
      <c r="B1462" s="20" t="s">
        <v>1773</v>
      </c>
      <c r="C1462" s="20" t="s">
        <v>1745</v>
      </c>
      <c r="D1462" s="20" t="s">
        <v>1775</v>
      </c>
      <c r="E1462" s="20" t="s">
        <v>1745</v>
      </c>
      <c r="F1462" s="20" t="s">
        <v>1747</v>
      </c>
    </row>
    <row r="1463" ht="22.5" customHeight="1">
      <c r="A1463" s="20" t="s">
        <v>1743</v>
      </c>
      <c r="B1463" s="20" t="s">
        <v>1776</v>
      </c>
      <c r="C1463" s="20" t="s">
        <v>1745</v>
      </c>
      <c r="D1463" s="20" t="s">
        <v>1777</v>
      </c>
      <c r="E1463" s="20" t="s">
        <v>1745</v>
      </c>
      <c r="F1463" s="20" t="s">
        <v>1747</v>
      </c>
    </row>
    <row r="1464" ht="22.5" customHeight="1">
      <c r="A1464" s="20" t="s">
        <v>1743</v>
      </c>
      <c r="B1464" s="20" t="s">
        <v>1778</v>
      </c>
      <c r="C1464" s="20" t="s">
        <v>1745</v>
      </c>
      <c r="D1464" s="20" t="s">
        <v>1779</v>
      </c>
      <c r="E1464" s="20" t="s">
        <v>1745</v>
      </c>
      <c r="F1464" s="20" t="s">
        <v>1747</v>
      </c>
    </row>
    <row r="1465" ht="22.5" customHeight="1">
      <c r="A1465" s="20" t="s">
        <v>1743</v>
      </c>
      <c r="B1465" s="20" t="s">
        <v>1778</v>
      </c>
      <c r="C1465" s="20" t="s">
        <v>1745</v>
      </c>
      <c r="D1465" s="20" t="s">
        <v>1780</v>
      </c>
      <c r="E1465" s="20" t="s">
        <v>1745</v>
      </c>
      <c r="F1465" s="20" t="s">
        <v>1747</v>
      </c>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20.38"/>
    <col customWidth="1" min="4" max="4" width="53.5"/>
    <col customWidth="1" min="5" max="5" width="14.13"/>
  </cols>
  <sheetData>
    <row r="1" ht="30.0" customHeight="1">
      <c r="A1" s="5" t="s">
        <v>1781</v>
      </c>
      <c r="B1" s="6" t="s">
        <v>7</v>
      </c>
      <c r="C1" s="5" t="s">
        <v>8</v>
      </c>
      <c r="D1" s="5" t="s">
        <v>9</v>
      </c>
      <c r="E1" s="5" t="s">
        <v>11</v>
      </c>
    </row>
    <row r="2" ht="22.5" customHeight="1">
      <c r="A2" s="7" t="s">
        <v>226</v>
      </c>
      <c r="B2" s="8" t="s">
        <v>227</v>
      </c>
      <c r="C2" s="7" t="s">
        <v>30</v>
      </c>
      <c r="D2" s="7" t="s">
        <v>228</v>
      </c>
      <c r="E2" s="7" t="s">
        <v>16</v>
      </c>
    </row>
    <row r="3" ht="22.5" customHeight="1">
      <c r="A3" s="7" t="s">
        <v>226</v>
      </c>
      <c r="B3" s="8" t="s">
        <v>227</v>
      </c>
      <c r="C3" s="7" t="s">
        <v>36</v>
      </c>
      <c r="D3" s="7" t="s">
        <v>229</v>
      </c>
      <c r="E3" s="7" t="s">
        <v>16</v>
      </c>
    </row>
    <row r="4" ht="22.5" customHeight="1">
      <c r="A4" s="7" t="s">
        <v>226</v>
      </c>
      <c r="B4" s="8" t="s">
        <v>227</v>
      </c>
      <c r="C4" s="7" t="s">
        <v>230</v>
      </c>
      <c r="D4" s="7" t="s">
        <v>231</v>
      </c>
      <c r="E4" s="7" t="s">
        <v>16</v>
      </c>
    </row>
    <row r="5" ht="22.5" customHeight="1">
      <c r="A5" s="7" t="s">
        <v>226</v>
      </c>
      <c r="B5" s="8" t="s">
        <v>227</v>
      </c>
      <c r="C5" s="7" t="s">
        <v>38</v>
      </c>
      <c r="D5" s="7" t="s">
        <v>232</v>
      </c>
      <c r="E5" s="7" t="s">
        <v>16</v>
      </c>
    </row>
    <row r="6" ht="22.5" customHeight="1">
      <c r="A6" s="7" t="s">
        <v>226</v>
      </c>
      <c r="B6" s="8" t="s">
        <v>227</v>
      </c>
      <c r="C6" s="7" t="s">
        <v>233</v>
      </c>
      <c r="D6" s="7" t="s">
        <v>234</v>
      </c>
      <c r="E6" s="7" t="s">
        <v>16</v>
      </c>
    </row>
    <row r="7" ht="22.5" customHeight="1">
      <c r="A7" s="7" t="s">
        <v>226</v>
      </c>
      <c r="B7" s="8" t="s">
        <v>227</v>
      </c>
      <c r="C7" s="7" t="s">
        <v>40</v>
      </c>
      <c r="D7" s="7" t="s">
        <v>235</v>
      </c>
      <c r="E7" s="7" t="s">
        <v>16</v>
      </c>
    </row>
    <row r="8" ht="22.5" customHeight="1">
      <c r="A8" s="7" t="s">
        <v>226</v>
      </c>
      <c r="B8" s="8" t="s">
        <v>227</v>
      </c>
      <c r="C8" s="7" t="s">
        <v>236</v>
      </c>
      <c r="D8" s="7" t="s">
        <v>237</v>
      </c>
      <c r="E8" s="7" t="s">
        <v>16</v>
      </c>
    </row>
    <row r="9" ht="22.5" customHeight="1">
      <c r="A9" s="7" t="s">
        <v>226</v>
      </c>
      <c r="B9" s="8" t="s">
        <v>227</v>
      </c>
      <c r="C9" s="7" t="s">
        <v>43</v>
      </c>
      <c r="D9" s="7" t="s">
        <v>238</v>
      </c>
      <c r="E9" s="7" t="s">
        <v>16</v>
      </c>
    </row>
    <row r="10" ht="22.5" customHeight="1">
      <c r="A10" s="7" t="s">
        <v>226</v>
      </c>
      <c r="B10" s="8" t="s">
        <v>227</v>
      </c>
      <c r="C10" s="7" t="s">
        <v>239</v>
      </c>
      <c r="D10" s="7" t="s">
        <v>240</v>
      </c>
      <c r="E10" s="7" t="s">
        <v>16</v>
      </c>
    </row>
    <row r="11" ht="22.5" customHeight="1">
      <c r="A11" s="7" t="s">
        <v>226</v>
      </c>
      <c r="B11" s="8" t="s">
        <v>255</v>
      </c>
      <c r="C11" s="7" t="s">
        <v>30</v>
      </c>
      <c r="D11" s="7" t="s">
        <v>256</v>
      </c>
      <c r="E11" s="7" t="s">
        <v>16</v>
      </c>
    </row>
    <row r="12" ht="22.5" customHeight="1">
      <c r="A12" s="7" t="s">
        <v>226</v>
      </c>
      <c r="B12" s="8" t="s">
        <v>255</v>
      </c>
      <c r="C12" s="7" t="s">
        <v>30</v>
      </c>
      <c r="D12" s="7" t="s">
        <v>257</v>
      </c>
      <c r="E12" s="7" t="s">
        <v>16</v>
      </c>
    </row>
    <row r="13" ht="22.5" customHeight="1">
      <c r="A13" s="7" t="s">
        <v>226</v>
      </c>
      <c r="B13" s="8" t="s">
        <v>255</v>
      </c>
      <c r="C13" s="7" t="s">
        <v>30</v>
      </c>
      <c r="D13" s="7" t="s">
        <v>258</v>
      </c>
      <c r="E13" s="7" t="s">
        <v>16</v>
      </c>
    </row>
    <row r="14" ht="22.5" customHeight="1">
      <c r="A14" s="7" t="s">
        <v>226</v>
      </c>
      <c r="B14" s="8" t="s">
        <v>595</v>
      </c>
      <c r="C14" s="7" t="s">
        <v>30</v>
      </c>
      <c r="D14" s="7" t="s">
        <v>596</v>
      </c>
      <c r="E14" s="7" t="s">
        <v>16</v>
      </c>
    </row>
    <row r="15" ht="22.5" customHeight="1">
      <c r="A15" s="7" t="s">
        <v>226</v>
      </c>
      <c r="B15" s="8" t="s">
        <v>595</v>
      </c>
      <c r="C15" s="7" t="s">
        <v>30</v>
      </c>
      <c r="D15" s="7" t="s">
        <v>597</v>
      </c>
      <c r="E15" s="7" t="s">
        <v>16</v>
      </c>
    </row>
    <row r="16" ht="22.5" customHeight="1">
      <c r="A16" s="7" t="s">
        <v>226</v>
      </c>
      <c r="B16" s="8" t="s">
        <v>595</v>
      </c>
      <c r="C16" s="7" t="s">
        <v>598</v>
      </c>
      <c r="D16" s="7" t="s">
        <v>599</v>
      </c>
      <c r="E16" s="7" t="s">
        <v>16</v>
      </c>
    </row>
    <row r="17" ht="22.5" customHeight="1">
      <c r="A17" s="7" t="s">
        <v>226</v>
      </c>
      <c r="B17" s="8" t="s">
        <v>595</v>
      </c>
      <c r="C17" s="7" t="s">
        <v>36</v>
      </c>
      <c r="D17" s="7" t="s">
        <v>600</v>
      </c>
      <c r="E17" s="7" t="s">
        <v>16</v>
      </c>
    </row>
    <row r="18" ht="22.5" customHeight="1">
      <c r="A18" s="7" t="s">
        <v>226</v>
      </c>
      <c r="B18" s="8" t="s">
        <v>595</v>
      </c>
      <c r="C18" s="7" t="s">
        <v>230</v>
      </c>
      <c r="D18" s="7" t="s">
        <v>601</v>
      </c>
      <c r="E18" s="7" t="s">
        <v>16</v>
      </c>
    </row>
    <row r="19" ht="22.5" customHeight="1">
      <c r="A19" s="7" t="s">
        <v>226</v>
      </c>
      <c r="B19" s="8" t="s">
        <v>595</v>
      </c>
      <c r="C19" s="7" t="s">
        <v>38</v>
      </c>
      <c r="D19" s="7" t="s">
        <v>602</v>
      </c>
      <c r="E19" s="7" t="s">
        <v>16</v>
      </c>
    </row>
    <row r="20" ht="22.5" customHeight="1">
      <c r="A20" s="7" t="s">
        <v>226</v>
      </c>
      <c r="B20" s="8" t="s">
        <v>595</v>
      </c>
      <c r="C20" s="7" t="s">
        <v>233</v>
      </c>
      <c r="D20" s="7" t="s">
        <v>603</v>
      </c>
      <c r="E20" s="7" t="s">
        <v>16</v>
      </c>
    </row>
    <row r="21" ht="22.5" customHeight="1">
      <c r="A21" s="7" t="s">
        <v>226</v>
      </c>
      <c r="B21" s="8" t="s">
        <v>595</v>
      </c>
      <c r="C21" s="7" t="s">
        <v>40</v>
      </c>
      <c r="D21" s="7" t="s">
        <v>604</v>
      </c>
      <c r="E21" s="7" t="s">
        <v>16</v>
      </c>
    </row>
    <row r="22" ht="22.5" customHeight="1">
      <c r="A22" s="7" t="s">
        <v>226</v>
      </c>
      <c r="B22" s="8" t="s">
        <v>595</v>
      </c>
      <c r="C22" s="7" t="s">
        <v>236</v>
      </c>
      <c r="D22" s="7" t="s">
        <v>605</v>
      </c>
      <c r="E22" s="7" t="s">
        <v>16</v>
      </c>
    </row>
    <row r="23" ht="22.5" customHeight="1">
      <c r="A23" s="7" t="s">
        <v>226</v>
      </c>
      <c r="B23" s="8" t="s">
        <v>595</v>
      </c>
      <c r="C23" s="7" t="s">
        <v>43</v>
      </c>
      <c r="D23" s="7" t="s">
        <v>606</v>
      </c>
      <c r="E23" s="7" t="s">
        <v>16</v>
      </c>
    </row>
    <row r="24" ht="22.5" customHeight="1">
      <c r="A24" s="7" t="s">
        <v>226</v>
      </c>
      <c r="B24" s="8" t="s">
        <v>595</v>
      </c>
      <c r="C24" s="7" t="s">
        <v>239</v>
      </c>
      <c r="D24" s="7" t="s">
        <v>607</v>
      </c>
      <c r="E24" s="7" t="s">
        <v>16</v>
      </c>
    </row>
    <row r="25" ht="22.5" customHeight="1">
      <c r="A25" s="7" t="s">
        <v>226</v>
      </c>
      <c r="B25" s="8" t="s">
        <v>622</v>
      </c>
      <c r="C25" s="7" t="s">
        <v>30</v>
      </c>
      <c r="D25" s="7" t="s">
        <v>623</v>
      </c>
      <c r="E25" s="7" t="s">
        <v>16</v>
      </c>
    </row>
    <row r="26" ht="22.5" customHeight="1">
      <c r="A26" s="7" t="s">
        <v>226</v>
      </c>
      <c r="B26" s="8" t="s">
        <v>622</v>
      </c>
      <c r="C26" s="7" t="s">
        <v>30</v>
      </c>
      <c r="D26" s="7" t="s">
        <v>624</v>
      </c>
      <c r="E26" s="7" t="s">
        <v>16</v>
      </c>
    </row>
    <row r="27" ht="22.5" customHeight="1">
      <c r="A27" s="7" t="s">
        <v>226</v>
      </c>
      <c r="B27" s="8" t="s">
        <v>622</v>
      </c>
      <c r="C27" s="7" t="s">
        <v>598</v>
      </c>
      <c r="D27" s="7" t="s">
        <v>625</v>
      </c>
      <c r="E27" s="7" t="s">
        <v>16</v>
      </c>
    </row>
    <row r="28" ht="22.5" customHeight="1">
      <c r="A28" s="7" t="s">
        <v>226</v>
      </c>
      <c r="B28" s="8" t="s">
        <v>622</v>
      </c>
      <c r="C28" s="7" t="s">
        <v>36</v>
      </c>
      <c r="D28" s="7" t="s">
        <v>626</v>
      </c>
      <c r="E28" s="7" t="s">
        <v>16</v>
      </c>
    </row>
    <row r="29" ht="22.5" customHeight="1">
      <c r="A29" s="7" t="s">
        <v>226</v>
      </c>
      <c r="B29" s="8" t="s">
        <v>622</v>
      </c>
      <c r="C29" s="7" t="s">
        <v>230</v>
      </c>
      <c r="D29" s="7" t="s">
        <v>627</v>
      </c>
      <c r="E29" s="7" t="s">
        <v>16</v>
      </c>
    </row>
    <row r="30" ht="22.5" customHeight="1">
      <c r="A30" s="7" t="s">
        <v>226</v>
      </c>
      <c r="B30" s="8" t="s">
        <v>622</v>
      </c>
      <c r="C30" s="7" t="s">
        <v>38</v>
      </c>
      <c r="D30" s="7" t="s">
        <v>628</v>
      </c>
      <c r="E30" s="7" t="s">
        <v>16</v>
      </c>
    </row>
    <row r="31" ht="22.5" customHeight="1">
      <c r="A31" s="7" t="s">
        <v>226</v>
      </c>
      <c r="B31" s="8" t="s">
        <v>622</v>
      </c>
      <c r="C31" s="7" t="s">
        <v>233</v>
      </c>
      <c r="D31" s="7" t="s">
        <v>629</v>
      </c>
      <c r="E31" s="7" t="s">
        <v>16</v>
      </c>
    </row>
    <row r="32" ht="22.5" customHeight="1">
      <c r="A32" s="7" t="s">
        <v>226</v>
      </c>
      <c r="B32" s="8" t="s">
        <v>622</v>
      </c>
      <c r="C32" s="7" t="s">
        <v>40</v>
      </c>
      <c r="D32" s="7" t="s">
        <v>630</v>
      </c>
      <c r="E32" s="7" t="s">
        <v>16</v>
      </c>
    </row>
    <row r="33" ht="22.5" customHeight="1">
      <c r="A33" s="7" t="s">
        <v>226</v>
      </c>
      <c r="B33" s="8" t="s">
        <v>622</v>
      </c>
      <c r="C33" s="7" t="s">
        <v>236</v>
      </c>
      <c r="D33" s="7" t="s">
        <v>631</v>
      </c>
      <c r="E33" s="7" t="s">
        <v>16</v>
      </c>
    </row>
    <row r="34" ht="22.5" customHeight="1">
      <c r="A34" s="7" t="s">
        <v>226</v>
      </c>
      <c r="B34" s="8" t="s">
        <v>622</v>
      </c>
      <c r="C34" s="7" t="s">
        <v>43</v>
      </c>
      <c r="D34" s="7" t="s">
        <v>632</v>
      </c>
      <c r="E34" s="7" t="s">
        <v>16</v>
      </c>
    </row>
    <row r="35" ht="22.5" customHeight="1">
      <c r="A35" s="7" t="s">
        <v>226</v>
      </c>
      <c r="B35" s="8" t="s">
        <v>622</v>
      </c>
      <c r="C35" s="7" t="s">
        <v>239</v>
      </c>
      <c r="D35" s="7" t="s">
        <v>633</v>
      </c>
      <c r="E35" s="7" t="s">
        <v>16</v>
      </c>
    </row>
    <row r="36" ht="22.5" customHeight="1">
      <c r="A36" s="7" t="s">
        <v>226</v>
      </c>
      <c r="B36" s="8" t="s">
        <v>660</v>
      </c>
      <c r="C36" s="7" t="s">
        <v>43</v>
      </c>
      <c r="D36" s="7" t="s">
        <v>661</v>
      </c>
      <c r="E36" s="7" t="s">
        <v>16</v>
      </c>
    </row>
    <row r="37" ht="22.5" customHeight="1">
      <c r="A37" s="7" t="s">
        <v>226</v>
      </c>
      <c r="B37" s="8" t="s">
        <v>660</v>
      </c>
      <c r="C37" s="7" t="s">
        <v>239</v>
      </c>
      <c r="D37" s="7" t="s">
        <v>662</v>
      </c>
      <c r="E37" s="7" t="s">
        <v>16</v>
      </c>
    </row>
    <row r="38" ht="22.5" customHeight="1">
      <c r="A38" s="7" t="s">
        <v>226</v>
      </c>
      <c r="B38" s="8" t="s">
        <v>1182</v>
      </c>
      <c r="C38" s="7" t="s">
        <v>30</v>
      </c>
      <c r="D38" s="7" t="s">
        <v>1183</v>
      </c>
      <c r="E38" s="7" t="s">
        <v>16</v>
      </c>
    </row>
    <row r="39" ht="22.5" customHeight="1">
      <c r="A39" s="7" t="s">
        <v>226</v>
      </c>
      <c r="B39" s="8" t="s">
        <v>1182</v>
      </c>
      <c r="C39" s="7" t="s">
        <v>38</v>
      </c>
      <c r="D39" s="7" t="s">
        <v>1184</v>
      </c>
      <c r="E39" s="7" t="s">
        <v>16</v>
      </c>
    </row>
    <row r="40" ht="22.5" customHeight="1">
      <c r="A40" s="7" t="s">
        <v>226</v>
      </c>
      <c r="B40" s="8" t="s">
        <v>1182</v>
      </c>
      <c r="C40" s="7" t="s">
        <v>233</v>
      </c>
      <c r="D40" s="7" t="s">
        <v>1185</v>
      </c>
      <c r="E40" s="7" t="s">
        <v>16</v>
      </c>
    </row>
    <row r="41" ht="22.5" customHeight="1">
      <c r="A41" s="7" t="s">
        <v>226</v>
      </c>
      <c r="B41" s="8" t="s">
        <v>1182</v>
      </c>
      <c r="C41" s="7" t="s">
        <v>40</v>
      </c>
      <c r="D41" s="7" t="s">
        <v>1186</v>
      </c>
      <c r="E41" s="7" t="s">
        <v>16</v>
      </c>
    </row>
    <row r="42" ht="22.5" customHeight="1">
      <c r="A42" s="7" t="s">
        <v>226</v>
      </c>
      <c r="B42" s="8" t="s">
        <v>1182</v>
      </c>
      <c r="C42" s="7" t="s">
        <v>236</v>
      </c>
      <c r="D42" s="7" t="s">
        <v>1187</v>
      </c>
      <c r="E42" s="7" t="s">
        <v>16</v>
      </c>
    </row>
    <row r="43" ht="22.5" customHeight="1">
      <c r="A43" s="7" t="s">
        <v>226</v>
      </c>
      <c r="B43" s="8" t="s">
        <v>1182</v>
      </c>
      <c r="C43" s="7" t="s">
        <v>43</v>
      </c>
      <c r="D43" s="7" t="s">
        <v>1188</v>
      </c>
      <c r="E43" s="7" t="s">
        <v>16</v>
      </c>
    </row>
    <row r="44" ht="22.5" customHeight="1">
      <c r="A44" s="7" t="s">
        <v>226</v>
      </c>
      <c r="B44" s="8" t="s">
        <v>1182</v>
      </c>
      <c r="C44" s="7" t="s">
        <v>239</v>
      </c>
      <c r="D44" s="7" t="s">
        <v>1189</v>
      </c>
      <c r="E44" s="7" t="s">
        <v>16</v>
      </c>
    </row>
    <row r="45" ht="22.5" customHeight="1">
      <c r="A45" s="7" t="s">
        <v>226</v>
      </c>
      <c r="B45" s="8" t="s">
        <v>1341</v>
      </c>
      <c r="C45" s="7" t="s">
        <v>43</v>
      </c>
      <c r="D45" s="7" t="s">
        <v>1342</v>
      </c>
      <c r="E45" s="7" t="s">
        <v>48</v>
      </c>
    </row>
    <row r="46" ht="22.5" customHeight="1">
      <c r="A46" s="7" t="s">
        <v>226</v>
      </c>
      <c r="B46" s="8" t="s">
        <v>1424</v>
      </c>
      <c r="C46" s="7" t="s">
        <v>30</v>
      </c>
      <c r="D46" s="7" t="s">
        <v>1425</v>
      </c>
      <c r="E46" s="7" t="s">
        <v>16</v>
      </c>
    </row>
    <row r="47" ht="22.5" customHeight="1">
      <c r="A47" s="7" t="s">
        <v>226</v>
      </c>
      <c r="B47" s="8" t="s">
        <v>1424</v>
      </c>
      <c r="C47" s="7" t="s">
        <v>36</v>
      </c>
      <c r="D47" s="7" t="s">
        <v>1426</v>
      </c>
      <c r="E47" s="7" t="s">
        <v>16</v>
      </c>
    </row>
    <row r="48" ht="22.5" customHeight="1">
      <c r="A48" s="7" t="s">
        <v>226</v>
      </c>
      <c r="B48" s="8" t="s">
        <v>1424</v>
      </c>
      <c r="C48" s="7" t="s">
        <v>230</v>
      </c>
      <c r="D48" s="7" t="s">
        <v>1427</v>
      </c>
      <c r="E48" s="7" t="s">
        <v>16</v>
      </c>
    </row>
    <row r="49" ht="22.5" customHeight="1">
      <c r="A49" s="7" t="s">
        <v>226</v>
      </c>
      <c r="B49" s="8" t="s">
        <v>1424</v>
      </c>
      <c r="C49" s="7" t="s">
        <v>38</v>
      </c>
      <c r="D49" s="7" t="s">
        <v>1428</v>
      </c>
      <c r="E49" s="7" t="s">
        <v>16</v>
      </c>
    </row>
    <row r="50" ht="22.5" customHeight="1">
      <c r="A50" s="7" t="s">
        <v>226</v>
      </c>
      <c r="B50" s="8" t="s">
        <v>1424</v>
      </c>
      <c r="C50" s="7" t="s">
        <v>233</v>
      </c>
      <c r="D50" s="7" t="s">
        <v>1429</v>
      </c>
      <c r="E50" s="7" t="s">
        <v>16</v>
      </c>
    </row>
    <row r="51" ht="22.5" customHeight="1">
      <c r="A51" s="7" t="s">
        <v>226</v>
      </c>
      <c r="B51" s="8" t="s">
        <v>1424</v>
      </c>
      <c r="C51" s="7" t="s">
        <v>40</v>
      </c>
      <c r="D51" s="7" t="s">
        <v>1430</v>
      </c>
      <c r="E51" s="7" t="s">
        <v>16</v>
      </c>
    </row>
    <row r="52" ht="22.5" customHeight="1">
      <c r="A52" s="7" t="s">
        <v>226</v>
      </c>
      <c r="B52" s="8" t="s">
        <v>1424</v>
      </c>
      <c r="C52" s="7" t="s">
        <v>236</v>
      </c>
      <c r="D52" s="7" t="s">
        <v>1431</v>
      </c>
      <c r="E52" s="7" t="s">
        <v>16</v>
      </c>
    </row>
    <row r="53" ht="22.5" customHeight="1">
      <c r="A53" s="7" t="s">
        <v>226</v>
      </c>
      <c r="B53" s="8" t="s">
        <v>1424</v>
      </c>
      <c r="C53" s="7" t="s">
        <v>43</v>
      </c>
      <c r="D53" s="7" t="s">
        <v>1432</v>
      </c>
      <c r="E53" s="7" t="s">
        <v>16</v>
      </c>
    </row>
    <row r="54" ht="22.5" customHeight="1">
      <c r="A54" s="7" t="s">
        <v>226</v>
      </c>
      <c r="B54" s="8" t="s">
        <v>1424</v>
      </c>
      <c r="C54" s="7" t="s">
        <v>239</v>
      </c>
      <c r="D54" s="7" t="s">
        <v>1433</v>
      </c>
      <c r="E54" s="7" t="s">
        <v>16</v>
      </c>
    </row>
    <row r="55" ht="22.5" customHeight="1">
      <c r="A55" s="7" t="s">
        <v>226</v>
      </c>
      <c r="B55" s="8" t="s">
        <v>1479</v>
      </c>
      <c r="C55" s="7" t="s">
        <v>30</v>
      </c>
      <c r="D55" s="7" t="s">
        <v>1480</v>
      </c>
      <c r="E55" s="7" t="s">
        <v>16</v>
      </c>
    </row>
    <row r="56" ht="22.5" customHeight="1">
      <c r="A56" s="7" t="s">
        <v>226</v>
      </c>
      <c r="B56" s="8" t="s">
        <v>1516</v>
      </c>
      <c r="C56" s="7" t="s">
        <v>30</v>
      </c>
      <c r="D56" s="7" t="s">
        <v>1517</v>
      </c>
      <c r="E56" s="7" t="s">
        <v>16</v>
      </c>
    </row>
    <row r="57" ht="22.5" customHeight="1">
      <c r="A57" s="7" t="s">
        <v>226</v>
      </c>
      <c r="B57" s="8" t="s">
        <v>1516</v>
      </c>
      <c r="C57" s="7" t="s">
        <v>30</v>
      </c>
      <c r="D57" s="7" t="s">
        <v>1518</v>
      </c>
      <c r="E57" s="7" t="s">
        <v>16</v>
      </c>
    </row>
    <row r="58" ht="22.5" customHeight="1">
      <c r="A58" s="7" t="s">
        <v>226</v>
      </c>
      <c r="B58" s="8" t="s">
        <v>1516</v>
      </c>
      <c r="C58" s="7" t="s">
        <v>36</v>
      </c>
      <c r="D58" s="7" t="s">
        <v>1519</v>
      </c>
      <c r="E58" s="7" t="s">
        <v>16</v>
      </c>
    </row>
    <row r="59" ht="22.5" customHeight="1">
      <c r="A59" s="7" t="s">
        <v>226</v>
      </c>
      <c r="B59" s="8" t="s">
        <v>1516</v>
      </c>
      <c r="C59" s="7" t="s">
        <v>230</v>
      </c>
      <c r="D59" s="7" t="s">
        <v>1520</v>
      </c>
      <c r="E59" s="7" t="s">
        <v>16</v>
      </c>
    </row>
    <row r="60" ht="22.5" customHeight="1">
      <c r="A60" s="7" t="s">
        <v>226</v>
      </c>
      <c r="B60" s="8" t="s">
        <v>1516</v>
      </c>
      <c r="C60" s="7" t="s">
        <v>38</v>
      </c>
      <c r="D60" s="7" t="s">
        <v>1521</v>
      </c>
      <c r="E60" s="7" t="s">
        <v>16</v>
      </c>
    </row>
    <row r="61" ht="22.5" customHeight="1">
      <c r="A61" s="7" t="s">
        <v>226</v>
      </c>
      <c r="B61" s="8" t="s">
        <v>1516</v>
      </c>
      <c r="C61" s="7" t="s">
        <v>233</v>
      </c>
      <c r="D61" s="7" t="s">
        <v>1522</v>
      </c>
      <c r="E61" s="7" t="s">
        <v>16</v>
      </c>
    </row>
    <row r="62" ht="22.5" customHeight="1">
      <c r="A62" s="7" t="s">
        <v>226</v>
      </c>
      <c r="B62" s="8" t="s">
        <v>1516</v>
      </c>
      <c r="C62" s="7" t="s">
        <v>40</v>
      </c>
      <c r="D62" s="7" t="s">
        <v>1523</v>
      </c>
      <c r="E62" s="7" t="s">
        <v>16</v>
      </c>
    </row>
    <row r="63" ht="22.5" customHeight="1">
      <c r="A63" s="7" t="s">
        <v>226</v>
      </c>
      <c r="B63" s="8" t="s">
        <v>1516</v>
      </c>
      <c r="C63" s="7" t="s">
        <v>236</v>
      </c>
      <c r="D63" s="7" t="s">
        <v>1524</v>
      </c>
      <c r="E63" s="7" t="s">
        <v>16</v>
      </c>
    </row>
    <row r="64" ht="22.5" customHeight="1">
      <c r="A64" s="7" t="s">
        <v>226</v>
      </c>
      <c r="B64" s="8" t="s">
        <v>1516</v>
      </c>
      <c r="C64" s="7" t="s">
        <v>43</v>
      </c>
      <c r="D64" s="7" t="s">
        <v>1525</v>
      </c>
      <c r="E64" s="7" t="s">
        <v>16</v>
      </c>
    </row>
    <row r="65" ht="22.5" customHeight="1">
      <c r="A65" s="7" t="s">
        <v>226</v>
      </c>
      <c r="B65" s="8" t="s">
        <v>1516</v>
      </c>
      <c r="C65" s="7" t="s">
        <v>239</v>
      </c>
      <c r="D65" s="7" t="s">
        <v>1526</v>
      </c>
      <c r="E65" s="7" t="s">
        <v>16</v>
      </c>
    </row>
    <row r="66" ht="22.5" customHeight="1">
      <c r="A66" s="7" t="s">
        <v>226</v>
      </c>
      <c r="B66" s="8" t="s">
        <v>1608</v>
      </c>
      <c r="C66" s="7" t="s">
        <v>30</v>
      </c>
      <c r="D66" s="7" t="s">
        <v>1609</v>
      </c>
      <c r="E66" s="7" t="s">
        <v>16</v>
      </c>
    </row>
    <row r="67" ht="22.5" customHeight="1">
      <c r="A67" s="7" t="s">
        <v>226</v>
      </c>
      <c r="B67" s="8" t="s">
        <v>1608</v>
      </c>
      <c r="C67" s="7" t="s">
        <v>30</v>
      </c>
      <c r="D67" s="7" t="s">
        <v>1610</v>
      </c>
      <c r="E67" s="7" t="s">
        <v>16</v>
      </c>
    </row>
    <row r="68" ht="22.5" customHeight="1">
      <c r="A68" s="7" t="s">
        <v>226</v>
      </c>
      <c r="B68" s="8" t="s">
        <v>1719</v>
      </c>
      <c r="C68" s="7" t="s">
        <v>30</v>
      </c>
      <c r="D68" s="7" t="s">
        <v>1720</v>
      </c>
      <c r="E68" s="7" t="s">
        <v>16</v>
      </c>
    </row>
    <row r="69" ht="22.5" customHeight="1">
      <c r="A69" s="7" t="s">
        <v>226</v>
      </c>
      <c r="B69" s="8" t="s">
        <v>1719</v>
      </c>
      <c r="C69" s="7" t="s">
        <v>598</v>
      </c>
      <c r="D69" s="7" t="s">
        <v>1721</v>
      </c>
      <c r="E69" s="7" t="s">
        <v>16</v>
      </c>
    </row>
    <row r="70" ht="22.5" customHeight="1">
      <c r="A70" s="7" t="s">
        <v>226</v>
      </c>
      <c r="B70" s="8" t="s">
        <v>1719</v>
      </c>
      <c r="C70" s="7" t="s">
        <v>36</v>
      </c>
      <c r="D70" s="7" t="s">
        <v>1722</v>
      </c>
      <c r="E70" s="7" t="s">
        <v>16</v>
      </c>
    </row>
    <row r="71" ht="22.5" customHeight="1">
      <c r="A71" s="7" t="s">
        <v>226</v>
      </c>
      <c r="B71" s="8" t="s">
        <v>1719</v>
      </c>
      <c r="C71" s="7" t="s">
        <v>230</v>
      </c>
      <c r="D71" s="7" t="s">
        <v>1723</v>
      </c>
      <c r="E71" s="7" t="s">
        <v>16</v>
      </c>
    </row>
    <row r="72" ht="22.5" customHeight="1">
      <c r="A72" s="7" t="s">
        <v>226</v>
      </c>
      <c r="B72" s="8" t="s">
        <v>1719</v>
      </c>
      <c r="C72" s="7" t="s">
        <v>38</v>
      </c>
      <c r="D72" s="7" t="s">
        <v>1724</v>
      </c>
      <c r="E72" s="7" t="s">
        <v>16</v>
      </c>
    </row>
    <row r="73" ht="22.5" customHeight="1">
      <c r="A73" s="7" t="s">
        <v>226</v>
      </c>
      <c r="B73" s="8" t="s">
        <v>1719</v>
      </c>
      <c r="C73" s="7" t="s">
        <v>233</v>
      </c>
      <c r="D73" s="7" t="s">
        <v>1725</v>
      </c>
      <c r="E73" s="7" t="s">
        <v>16</v>
      </c>
    </row>
    <row r="74" ht="22.5" customHeight="1">
      <c r="A74" s="7" t="s">
        <v>226</v>
      </c>
      <c r="B74" s="8" t="s">
        <v>1719</v>
      </c>
      <c r="C74" s="7" t="s">
        <v>40</v>
      </c>
      <c r="D74" s="7" t="s">
        <v>1726</v>
      </c>
      <c r="E74" s="7" t="s">
        <v>16</v>
      </c>
    </row>
    <row r="75" ht="22.5" customHeight="1">
      <c r="A75" s="7" t="s">
        <v>226</v>
      </c>
      <c r="B75" s="8" t="s">
        <v>1719</v>
      </c>
      <c r="C75" s="7" t="s">
        <v>236</v>
      </c>
      <c r="D75" s="7" t="s">
        <v>1727</v>
      </c>
      <c r="E75" s="7" t="s">
        <v>16</v>
      </c>
    </row>
    <row r="76" ht="22.5" customHeight="1">
      <c r="A76" s="7" t="s">
        <v>226</v>
      </c>
      <c r="B76" s="8" t="s">
        <v>1719</v>
      </c>
      <c r="C76" s="7" t="s">
        <v>43</v>
      </c>
      <c r="D76" s="7" t="s">
        <v>1728</v>
      </c>
      <c r="E76" s="7" t="s">
        <v>16</v>
      </c>
    </row>
    <row r="77" ht="22.5" customHeight="1">
      <c r="A77" s="7" t="s">
        <v>226</v>
      </c>
      <c r="B77" s="8" t="s">
        <v>1719</v>
      </c>
      <c r="C77" s="7" t="s">
        <v>239</v>
      </c>
      <c r="D77" s="7" t="s">
        <v>1729</v>
      </c>
      <c r="E77" s="7" t="s">
        <v>16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1.0"/>
    <col customWidth="1" min="4" max="4" width="55.25"/>
    <col customWidth="1" min="5" max="5" width="94.38"/>
    <col customWidth="1" min="6" max="6" width="20.5"/>
  </cols>
  <sheetData>
    <row r="1" ht="30.0" customHeight="1">
      <c r="A1" s="21" t="s">
        <v>1781</v>
      </c>
      <c r="B1" s="22" t="s">
        <v>7</v>
      </c>
      <c r="C1" s="21" t="s">
        <v>8</v>
      </c>
      <c r="D1" s="21" t="s">
        <v>9</v>
      </c>
      <c r="E1" s="21" t="s">
        <v>1782</v>
      </c>
      <c r="F1" s="21" t="s">
        <v>11</v>
      </c>
      <c r="G1" s="1"/>
      <c r="H1" s="1"/>
      <c r="I1" s="1"/>
      <c r="J1" s="1"/>
      <c r="K1" s="1"/>
      <c r="L1" s="1"/>
      <c r="M1" s="1"/>
      <c r="N1" s="1"/>
      <c r="O1" s="1"/>
      <c r="P1" s="1"/>
      <c r="Q1" s="1"/>
      <c r="R1" s="1"/>
      <c r="S1" s="1"/>
      <c r="T1" s="1"/>
      <c r="U1" s="1"/>
      <c r="V1" s="1"/>
      <c r="W1" s="1"/>
      <c r="X1" s="1"/>
      <c r="Y1" s="1"/>
      <c r="Z1" s="1"/>
      <c r="AA1" s="1"/>
    </row>
    <row r="2" ht="22.5" customHeight="1">
      <c r="A2" s="23" t="s">
        <v>1783</v>
      </c>
      <c r="B2" s="24" t="s">
        <v>1784</v>
      </c>
      <c r="C2" s="23" t="s">
        <v>30</v>
      </c>
      <c r="D2" s="25" t="s">
        <v>1785</v>
      </c>
      <c r="E2" s="23" t="s">
        <v>1786</v>
      </c>
      <c r="F2" s="23"/>
    </row>
    <row r="3" ht="22.5" customHeight="1">
      <c r="A3" s="23" t="s">
        <v>1783</v>
      </c>
      <c r="B3" s="24" t="s">
        <v>1784</v>
      </c>
      <c r="C3" s="23" t="s">
        <v>30</v>
      </c>
      <c r="D3" s="25" t="s">
        <v>1787</v>
      </c>
      <c r="E3" s="23" t="s">
        <v>1786</v>
      </c>
      <c r="F3" s="23"/>
    </row>
    <row r="4" ht="22.5" customHeight="1">
      <c r="A4" s="23" t="s">
        <v>1783</v>
      </c>
      <c r="B4" s="24" t="s">
        <v>1784</v>
      </c>
      <c r="C4" s="23" t="s">
        <v>30</v>
      </c>
      <c r="D4" s="25" t="s">
        <v>1788</v>
      </c>
      <c r="E4" s="23" t="s">
        <v>1786</v>
      </c>
      <c r="F4" s="23"/>
    </row>
    <row r="5" ht="22.5" customHeight="1">
      <c r="A5" s="23" t="s">
        <v>1789</v>
      </c>
      <c r="B5" s="24" t="s">
        <v>1790</v>
      </c>
      <c r="C5" s="23" t="s">
        <v>30</v>
      </c>
      <c r="D5" s="25" t="s">
        <v>1791</v>
      </c>
      <c r="E5" s="23" t="s">
        <v>1792</v>
      </c>
      <c r="F5" s="23"/>
    </row>
    <row r="6" ht="22.5" customHeight="1">
      <c r="A6" s="23" t="s">
        <v>1789</v>
      </c>
      <c r="B6" s="24" t="s">
        <v>1790</v>
      </c>
      <c r="C6" s="23" t="s">
        <v>30</v>
      </c>
      <c r="D6" s="25" t="s">
        <v>1793</v>
      </c>
      <c r="E6" s="23" t="s">
        <v>1792</v>
      </c>
      <c r="F6" s="23"/>
    </row>
    <row r="7" ht="22.5" customHeight="1">
      <c r="A7" s="23" t="s">
        <v>1789</v>
      </c>
      <c r="B7" s="24" t="s">
        <v>1790</v>
      </c>
      <c r="C7" s="23" t="s">
        <v>40</v>
      </c>
      <c r="D7" s="25" t="s">
        <v>1794</v>
      </c>
      <c r="E7" s="23" t="s">
        <v>1792</v>
      </c>
      <c r="F7" s="23"/>
    </row>
    <row r="8" ht="22.5" customHeight="1">
      <c r="A8" s="23" t="s">
        <v>1789</v>
      </c>
      <c r="B8" s="24" t="s">
        <v>1790</v>
      </c>
      <c r="C8" s="23" t="s">
        <v>43</v>
      </c>
      <c r="D8" s="25" t="s">
        <v>1795</v>
      </c>
      <c r="E8" s="23" t="s">
        <v>1792</v>
      </c>
      <c r="F8" s="23"/>
    </row>
    <row r="9" ht="22.5" customHeight="1">
      <c r="A9" s="23" t="s">
        <v>1789</v>
      </c>
      <c r="B9" s="24" t="s">
        <v>1790</v>
      </c>
      <c r="C9" s="23" t="s">
        <v>38</v>
      </c>
      <c r="D9" s="25" t="s">
        <v>1796</v>
      </c>
      <c r="E9" s="23" t="s">
        <v>1792</v>
      </c>
      <c r="F9" s="23"/>
    </row>
    <row r="10" ht="22.5" customHeight="1">
      <c r="A10" s="23" t="s">
        <v>1789</v>
      </c>
      <c r="B10" s="24" t="s">
        <v>1790</v>
      </c>
      <c r="C10" s="23" t="s">
        <v>36</v>
      </c>
      <c r="D10" s="25" t="s">
        <v>1797</v>
      </c>
      <c r="E10" s="23" t="s">
        <v>1792</v>
      </c>
      <c r="F10" s="23"/>
    </row>
    <row r="11" ht="22.5" customHeight="1">
      <c r="A11" s="23" t="s">
        <v>1798</v>
      </c>
      <c r="B11" s="24" t="s">
        <v>1799</v>
      </c>
      <c r="C11" s="23" t="s">
        <v>30</v>
      </c>
      <c r="D11" s="25" t="s">
        <v>1800</v>
      </c>
      <c r="E11" s="23" t="s">
        <v>1801</v>
      </c>
      <c r="F11" s="23"/>
    </row>
    <row r="12" ht="22.5" customHeight="1">
      <c r="A12" s="23" t="s">
        <v>1798</v>
      </c>
      <c r="B12" s="24" t="s">
        <v>1799</v>
      </c>
      <c r="C12" s="23" t="s">
        <v>40</v>
      </c>
      <c r="D12" s="25" t="s">
        <v>1802</v>
      </c>
      <c r="E12" s="23" t="s">
        <v>1801</v>
      </c>
      <c r="F12" s="23"/>
    </row>
    <row r="13" ht="22.5" customHeight="1">
      <c r="A13" s="23" t="s">
        <v>1798</v>
      </c>
      <c r="B13" s="24" t="s">
        <v>1799</v>
      </c>
      <c r="C13" s="23" t="s">
        <v>43</v>
      </c>
      <c r="D13" s="25" t="s">
        <v>1803</v>
      </c>
      <c r="E13" s="23" t="s">
        <v>1801</v>
      </c>
      <c r="F13" s="23"/>
    </row>
    <row r="14" ht="22.5" customHeight="1">
      <c r="A14" s="23" t="s">
        <v>1804</v>
      </c>
      <c r="B14" s="24" t="s">
        <v>1805</v>
      </c>
      <c r="C14" s="23" t="s">
        <v>30</v>
      </c>
      <c r="D14" s="25" t="s">
        <v>1806</v>
      </c>
      <c r="E14" s="23" t="s">
        <v>1807</v>
      </c>
      <c r="F14" s="23"/>
    </row>
    <row r="15" ht="22.5" customHeight="1">
      <c r="A15" s="23" t="s">
        <v>1804</v>
      </c>
      <c r="B15" s="24" t="s">
        <v>1805</v>
      </c>
      <c r="C15" s="23" t="s">
        <v>40</v>
      </c>
      <c r="D15" s="25" t="s">
        <v>1808</v>
      </c>
      <c r="E15" s="23" t="s">
        <v>1807</v>
      </c>
      <c r="F15" s="23"/>
    </row>
    <row r="16" ht="22.5" customHeight="1">
      <c r="A16" s="23" t="s">
        <v>1804</v>
      </c>
      <c r="B16" s="24" t="s">
        <v>1805</v>
      </c>
      <c r="C16" s="23" t="s">
        <v>43</v>
      </c>
      <c r="D16" s="25" t="s">
        <v>1809</v>
      </c>
      <c r="E16" s="23" t="s">
        <v>1807</v>
      </c>
      <c r="F16" s="23"/>
    </row>
    <row r="17" ht="22.5" customHeight="1">
      <c r="A17" s="23" t="s">
        <v>1810</v>
      </c>
      <c r="B17" s="24" t="s">
        <v>1811</v>
      </c>
      <c r="C17" s="23" t="s">
        <v>30</v>
      </c>
      <c r="D17" s="25" t="s">
        <v>1812</v>
      </c>
      <c r="E17" s="23" t="s">
        <v>1813</v>
      </c>
      <c r="F17" s="23"/>
    </row>
    <row r="18" ht="22.5" customHeight="1">
      <c r="A18" s="23" t="s">
        <v>1810</v>
      </c>
      <c r="B18" s="24" t="s">
        <v>1811</v>
      </c>
      <c r="C18" s="23" t="s">
        <v>30</v>
      </c>
      <c r="D18" s="25" t="s">
        <v>1814</v>
      </c>
      <c r="E18" s="23" t="s">
        <v>1813</v>
      </c>
      <c r="F18" s="23"/>
    </row>
    <row r="19" ht="22.5" customHeight="1">
      <c r="A19" s="23" t="s">
        <v>1810</v>
      </c>
      <c r="B19" s="24" t="s">
        <v>1811</v>
      </c>
      <c r="C19" s="23" t="s">
        <v>40</v>
      </c>
      <c r="D19" s="25" t="s">
        <v>1815</v>
      </c>
      <c r="E19" s="23" t="s">
        <v>1813</v>
      </c>
      <c r="F19" s="23"/>
    </row>
    <row r="20" ht="22.5" customHeight="1">
      <c r="A20" s="23" t="s">
        <v>1810</v>
      </c>
      <c r="B20" s="24" t="s">
        <v>1811</v>
      </c>
      <c r="C20" s="23" t="s">
        <v>43</v>
      </c>
      <c r="D20" s="25" t="s">
        <v>1816</v>
      </c>
      <c r="E20" s="23" t="s">
        <v>1813</v>
      </c>
      <c r="F20" s="23"/>
    </row>
    <row r="21" ht="22.5" customHeight="1">
      <c r="A21" s="23" t="s">
        <v>1810</v>
      </c>
      <c r="B21" s="24" t="s">
        <v>1811</v>
      </c>
      <c r="C21" s="23" t="s">
        <v>38</v>
      </c>
      <c r="D21" s="25" t="s">
        <v>1817</v>
      </c>
      <c r="E21" s="23" t="s">
        <v>1813</v>
      </c>
      <c r="F21" s="23"/>
    </row>
    <row r="22" ht="22.5" customHeight="1">
      <c r="A22" s="23" t="s">
        <v>1810</v>
      </c>
      <c r="B22" s="24" t="s">
        <v>1811</v>
      </c>
      <c r="C22" s="23" t="s">
        <v>36</v>
      </c>
      <c r="D22" s="25" t="s">
        <v>1818</v>
      </c>
      <c r="E22" s="23" t="s">
        <v>1813</v>
      </c>
      <c r="F22" s="23"/>
    </row>
    <row r="23" ht="22.5" customHeight="1">
      <c r="A23" s="23" t="s">
        <v>1819</v>
      </c>
      <c r="B23" s="24" t="s">
        <v>1820</v>
      </c>
      <c r="C23" s="23" t="s">
        <v>30</v>
      </c>
      <c r="D23" s="25" t="s">
        <v>1821</v>
      </c>
      <c r="E23" s="23" t="s">
        <v>1822</v>
      </c>
      <c r="F23" s="23"/>
    </row>
    <row r="24" ht="22.5" customHeight="1">
      <c r="A24" s="23" t="s">
        <v>1819</v>
      </c>
      <c r="B24" s="24" t="s">
        <v>1820</v>
      </c>
      <c r="C24" s="23" t="s">
        <v>30</v>
      </c>
      <c r="D24" s="25" t="s">
        <v>1823</v>
      </c>
      <c r="E24" s="23" t="s">
        <v>1822</v>
      </c>
      <c r="F24" s="23"/>
    </row>
    <row r="25" ht="22.5" customHeight="1">
      <c r="A25" s="23" t="s">
        <v>1819</v>
      </c>
      <c r="B25" s="24" t="s">
        <v>1820</v>
      </c>
      <c r="C25" s="23" t="s">
        <v>40</v>
      </c>
      <c r="D25" s="25" t="s">
        <v>1824</v>
      </c>
      <c r="E25" s="23" t="s">
        <v>1822</v>
      </c>
      <c r="F25" s="23"/>
    </row>
    <row r="26" ht="22.5" customHeight="1">
      <c r="A26" s="23" t="s">
        <v>1819</v>
      </c>
      <c r="B26" s="24" t="s">
        <v>1820</v>
      </c>
      <c r="C26" s="23" t="s">
        <v>43</v>
      </c>
      <c r="D26" s="25" t="s">
        <v>1825</v>
      </c>
      <c r="E26" s="23" t="s">
        <v>1822</v>
      </c>
      <c r="F26" s="23"/>
    </row>
    <row r="27" ht="22.5" customHeight="1">
      <c r="A27" s="23" t="s">
        <v>1819</v>
      </c>
      <c r="B27" s="24" t="s">
        <v>1820</v>
      </c>
      <c r="C27" s="23" t="s">
        <v>38</v>
      </c>
      <c r="D27" s="25" t="s">
        <v>1826</v>
      </c>
      <c r="E27" s="23" t="s">
        <v>1822</v>
      </c>
      <c r="F27" s="23"/>
    </row>
    <row r="28" ht="22.5" customHeight="1">
      <c r="A28" s="23" t="s">
        <v>1819</v>
      </c>
      <c r="B28" s="24" t="s">
        <v>1820</v>
      </c>
      <c r="C28" s="23" t="s">
        <v>36</v>
      </c>
      <c r="D28" s="25" t="s">
        <v>1827</v>
      </c>
      <c r="E28" s="23" t="s">
        <v>1822</v>
      </c>
      <c r="F28" s="23"/>
    </row>
    <row r="29" ht="22.5" customHeight="1">
      <c r="A29" s="23" t="s">
        <v>1798</v>
      </c>
      <c r="B29" s="24" t="s">
        <v>1828</v>
      </c>
      <c r="C29" s="23" t="s">
        <v>30</v>
      </c>
      <c r="D29" s="25" t="s">
        <v>1829</v>
      </c>
      <c r="E29" s="23" t="s">
        <v>1830</v>
      </c>
      <c r="F29" s="23"/>
    </row>
    <row r="30" ht="22.5" customHeight="1">
      <c r="A30" s="23" t="s">
        <v>1798</v>
      </c>
      <c r="B30" s="24" t="s">
        <v>1828</v>
      </c>
      <c r="C30" s="23" t="s">
        <v>30</v>
      </c>
      <c r="D30" s="25" t="s">
        <v>1831</v>
      </c>
      <c r="E30" s="23" t="s">
        <v>1830</v>
      </c>
      <c r="F30" s="23"/>
    </row>
    <row r="31" ht="22.5" customHeight="1">
      <c r="A31" s="23" t="s">
        <v>1798</v>
      </c>
      <c r="B31" s="24" t="s">
        <v>1828</v>
      </c>
      <c r="C31" s="23" t="s">
        <v>40</v>
      </c>
      <c r="D31" s="25" t="s">
        <v>1832</v>
      </c>
      <c r="E31" s="23" t="s">
        <v>1830</v>
      </c>
      <c r="F31" s="23"/>
    </row>
    <row r="32" ht="22.5" customHeight="1">
      <c r="A32" s="23" t="s">
        <v>1798</v>
      </c>
      <c r="B32" s="24" t="s">
        <v>1828</v>
      </c>
      <c r="C32" s="23" t="s">
        <v>43</v>
      </c>
      <c r="D32" s="25" t="s">
        <v>1833</v>
      </c>
      <c r="E32" s="23" t="s">
        <v>1830</v>
      </c>
      <c r="F32" s="23"/>
    </row>
    <row r="33" ht="22.5" customHeight="1">
      <c r="A33" s="23" t="s">
        <v>1798</v>
      </c>
      <c r="B33" s="24" t="s">
        <v>1828</v>
      </c>
      <c r="C33" s="23" t="s">
        <v>38</v>
      </c>
      <c r="D33" s="25" t="s">
        <v>1834</v>
      </c>
      <c r="E33" s="23" t="s">
        <v>1830</v>
      </c>
      <c r="F33" s="23"/>
    </row>
    <row r="34" ht="22.5" customHeight="1">
      <c r="A34" s="23" t="s">
        <v>1798</v>
      </c>
      <c r="B34" s="24" t="s">
        <v>1828</v>
      </c>
      <c r="C34" s="23" t="s">
        <v>36</v>
      </c>
      <c r="D34" s="25" t="s">
        <v>1835</v>
      </c>
      <c r="E34" s="23" t="s">
        <v>1830</v>
      </c>
      <c r="F34" s="23"/>
    </row>
    <row r="35" ht="22.5" customHeight="1">
      <c r="A35" s="23" t="s">
        <v>1836</v>
      </c>
      <c r="B35" s="24" t="s">
        <v>1837</v>
      </c>
      <c r="C35" s="23" t="s">
        <v>30</v>
      </c>
      <c r="D35" s="25" t="s">
        <v>1838</v>
      </c>
      <c r="E35" s="23" t="s">
        <v>1839</v>
      </c>
      <c r="F35" s="23"/>
    </row>
    <row r="36" ht="22.5" customHeight="1">
      <c r="A36" s="23" t="s">
        <v>1836</v>
      </c>
      <c r="B36" s="24" t="s">
        <v>1837</v>
      </c>
      <c r="C36" s="23" t="s">
        <v>30</v>
      </c>
      <c r="D36" s="25" t="s">
        <v>1840</v>
      </c>
      <c r="E36" s="23" t="s">
        <v>1839</v>
      </c>
      <c r="F36" s="23"/>
    </row>
    <row r="37" ht="22.5" customHeight="1">
      <c r="A37" s="23" t="s">
        <v>1836</v>
      </c>
      <c r="B37" s="24" t="s">
        <v>1837</v>
      </c>
      <c r="C37" s="23" t="s">
        <v>40</v>
      </c>
      <c r="D37" s="25" t="s">
        <v>1841</v>
      </c>
      <c r="E37" s="23" t="s">
        <v>1839</v>
      </c>
      <c r="F37" s="23"/>
    </row>
    <row r="38" ht="22.5" customHeight="1">
      <c r="A38" s="23" t="s">
        <v>1836</v>
      </c>
      <c r="B38" s="24" t="s">
        <v>1837</v>
      </c>
      <c r="C38" s="23" t="s">
        <v>43</v>
      </c>
      <c r="D38" s="25" t="s">
        <v>1842</v>
      </c>
      <c r="E38" s="23" t="s">
        <v>1839</v>
      </c>
      <c r="F38" s="23"/>
    </row>
    <row r="39" ht="22.5" customHeight="1">
      <c r="A39" s="23" t="s">
        <v>1836</v>
      </c>
      <c r="B39" s="24" t="s">
        <v>1837</v>
      </c>
      <c r="C39" s="23" t="s">
        <v>38</v>
      </c>
      <c r="D39" s="25" t="s">
        <v>1843</v>
      </c>
      <c r="E39" s="23" t="s">
        <v>1839</v>
      </c>
      <c r="F39" s="23"/>
    </row>
    <row r="40" ht="22.5" customHeight="1">
      <c r="A40" s="23" t="s">
        <v>1836</v>
      </c>
      <c r="B40" s="24" t="s">
        <v>1837</v>
      </c>
      <c r="C40" s="23" t="s">
        <v>36</v>
      </c>
      <c r="D40" s="25" t="s">
        <v>1844</v>
      </c>
      <c r="E40" s="23" t="s">
        <v>1839</v>
      </c>
      <c r="F40" s="23"/>
    </row>
    <row r="41" ht="22.5" customHeight="1">
      <c r="A41" s="23" t="s">
        <v>1845</v>
      </c>
      <c r="B41" s="24" t="s">
        <v>1846</v>
      </c>
      <c r="C41" s="23" t="s">
        <v>30</v>
      </c>
      <c r="D41" s="25" t="s">
        <v>1847</v>
      </c>
      <c r="E41" s="23" t="s">
        <v>1848</v>
      </c>
      <c r="F41" s="23"/>
    </row>
    <row r="42" ht="22.5" customHeight="1">
      <c r="A42" s="23" t="s">
        <v>1845</v>
      </c>
      <c r="B42" s="24" t="s">
        <v>1846</v>
      </c>
      <c r="C42" s="23" t="s">
        <v>30</v>
      </c>
      <c r="D42" s="25" t="s">
        <v>1849</v>
      </c>
      <c r="E42" s="23" t="s">
        <v>1848</v>
      </c>
      <c r="F42" s="23"/>
    </row>
    <row r="43" ht="22.5" customHeight="1">
      <c r="A43" s="23" t="s">
        <v>1845</v>
      </c>
      <c r="B43" s="24" t="s">
        <v>1846</v>
      </c>
      <c r="C43" s="23" t="s">
        <v>40</v>
      </c>
      <c r="D43" s="25" t="s">
        <v>1850</v>
      </c>
      <c r="E43" s="23" t="s">
        <v>1848</v>
      </c>
      <c r="F43" s="23"/>
    </row>
    <row r="44" ht="22.5" customHeight="1">
      <c r="A44" s="23" t="s">
        <v>1845</v>
      </c>
      <c r="B44" s="24" t="s">
        <v>1846</v>
      </c>
      <c r="C44" s="23" t="s">
        <v>43</v>
      </c>
      <c r="D44" s="25" t="s">
        <v>1851</v>
      </c>
      <c r="E44" s="23" t="s">
        <v>1848</v>
      </c>
      <c r="F44" s="23"/>
    </row>
    <row r="45" ht="22.5" customHeight="1">
      <c r="A45" s="23" t="s">
        <v>1845</v>
      </c>
      <c r="B45" s="24" t="s">
        <v>1846</v>
      </c>
      <c r="C45" s="23" t="s">
        <v>38</v>
      </c>
      <c r="D45" s="25" t="s">
        <v>1852</v>
      </c>
      <c r="E45" s="23" t="s">
        <v>1848</v>
      </c>
      <c r="F45" s="23"/>
    </row>
    <row r="46" ht="22.5" customHeight="1">
      <c r="A46" s="23" t="s">
        <v>1845</v>
      </c>
      <c r="B46" s="24" t="s">
        <v>1846</v>
      </c>
      <c r="C46" s="23" t="s">
        <v>36</v>
      </c>
      <c r="D46" s="25" t="s">
        <v>1853</v>
      </c>
      <c r="E46" s="23" t="s">
        <v>1848</v>
      </c>
      <c r="F46" s="23"/>
    </row>
    <row r="47" ht="22.5" customHeight="1">
      <c r="A47" s="23" t="s">
        <v>1854</v>
      </c>
      <c r="B47" s="24" t="s">
        <v>1855</v>
      </c>
      <c r="C47" s="23" t="s">
        <v>30</v>
      </c>
      <c r="D47" s="25" t="s">
        <v>1856</v>
      </c>
      <c r="E47" s="23" t="s">
        <v>1857</v>
      </c>
      <c r="F47" s="23"/>
    </row>
    <row r="48" ht="22.5" customHeight="1">
      <c r="A48" s="23" t="s">
        <v>1858</v>
      </c>
      <c r="B48" s="24" t="s">
        <v>1859</v>
      </c>
      <c r="C48" s="23" t="s">
        <v>30</v>
      </c>
      <c r="D48" s="25" t="s">
        <v>1860</v>
      </c>
      <c r="E48" s="23" t="s">
        <v>1861</v>
      </c>
      <c r="F48" s="23"/>
    </row>
    <row r="49" ht="22.5" customHeight="1">
      <c r="A49" s="23" t="s">
        <v>1858</v>
      </c>
      <c r="B49" s="24" t="s">
        <v>1859</v>
      </c>
      <c r="C49" s="23" t="s">
        <v>30</v>
      </c>
      <c r="D49" s="25" t="s">
        <v>1862</v>
      </c>
      <c r="E49" s="23" t="s">
        <v>1861</v>
      </c>
      <c r="F49" s="23"/>
    </row>
    <row r="50" ht="22.5" customHeight="1">
      <c r="A50" s="23" t="s">
        <v>1858</v>
      </c>
      <c r="B50" s="24" t="s">
        <v>1859</v>
      </c>
      <c r="C50" s="23" t="s">
        <v>40</v>
      </c>
      <c r="D50" s="25" t="s">
        <v>1863</v>
      </c>
      <c r="E50" s="23" t="s">
        <v>1861</v>
      </c>
      <c r="F50" s="23"/>
    </row>
    <row r="51" ht="22.5" customHeight="1">
      <c r="A51" s="23" t="s">
        <v>1858</v>
      </c>
      <c r="B51" s="24" t="s">
        <v>1859</v>
      </c>
      <c r="C51" s="23" t="s">
        <v>43</v>
      </c>
      <c r="D51" s="25" t="s">
        <v>1864</v>
      </c>
      <c r="E51" s="23" t="s">
        <v>1861</v>
      </c>
      <c r="F51" s="23"/>
    </row>
    <row r="52" ht="22.5" customHeight="1">
      <c r="A52" s="23" t="s">
        <v>1858</v>
      </c>
      <c r="B52" s="24" t="s">
        <v>1859</v>
      </c>
      <c r="C52" s="23" t="s">
        <v>38</v>
      </c>
      <c r="D52" s="25" t="s">
        <v>1865</v>
      </c>
      <c r="E52" s="23" t="s">
        <v>1861</v>
      </c>
      <c r="F52" s="23"/>
    </row>
    <row r="53" ht="22.5" customHeight="1">
      <c r="A53" s="23" t="s">
        <v>1858</v>
      </c>
      <c r="B53" s="24" t="s">
        <v>1859</v>
      </c>
      <c r="C53" s="23" t="s">
        <v>36</v>
      </c>
      <c r="D53" s="25" t="s">
        <v>1866</v>
      </c>
      <c r="E53" s="23" t="s">
        <v>1861</v>
      </c>
      <c r="F53" s="23"/>
    </row>
    <row r="54" ht="22.5" customHeight="1">
      <c r="A54" s="23" t="s">
        <v>1783</v>
      </c>
      <c r="B54" s="24" t="s">
        <v>1867</v>
      </c>
      <c r="C54" s="23" t="s">
        <v>30</v>
      </c>
      <c r="D54" s="25" t="s">
        <v>1868</v>
      </c>
      <c r="E54" s="23" t="s">
        <v>1857</v>
      </c>
      <c r="F54" s="23"/>
    </row>
    <row r="55" ht="22.5" customHeight="1">
      <c r="A55" s="23" t="s">
        <v>1869</v>
      </c>
      <c r="B55" s="24" t="s">
        <v>1870</v>
      </c>
      <c r="C55" s="23" t="s">
        <v>30</v>
      </c>
      <c r="D55" s="25" t="s">
        <v>1871</v>
      </c>
      <c r="E55" s="23" t="s">
        <v>1872</v>
      </c>
      <c r="F55" s="23"/>
    </row>
    <row r="56" ht="22.5" customHeight="1">
      <c r="A56" s="23" t="s">
        <v>1869</v>
      </c>
      <c r="B56" s="24" t="s">
        <v>1870</v>
      </c>
      <c r="C56" s="23" t="s">
        <v>30</v>
      </c>
      <c r="D56" s="25" t="s">
        <v>1873</v>
      </c>
      <c r="E56" s="23" t="s">
        <v>1872</v>
      </c>
      <c r="F56" s="23"/>
    </row>
    <row r="57" ht="22.5" customHeight="1">
      <c r="A57" s="23" t="s">
        <v>1869</v>
      </c>
      <c r="B57" s="24" t="s">
        <v>1870</v>
      </c>
      <c r="C57" s="23" t="s">
        <v>40</v>
      </c>
      <c r="D57" s="25" t="s">
        <v>1874</v>
      </c>
      <c r="E57" s="23" t="s">
        <v>1872</v>
      </c>
      <c r="F57" s="23"/>
    </row>
    <row r="58" ht="22.5" customHeight="1">
      <c r="A58" s="23" t="s">
        <v>1869</v>
      </c>
      <c r="B58" s="24" t="s">
        <v>1870</v>
      </c>
      <c r="C58" s="23" t="s">
        <v>43</v>
      </c>
      <c r="D58" s="25" t="s">
        <v>1875</v>
      </c>
      <c r="E58" s="23" t="s">
        <v>1872</v>
      </c>
      <c r="F58" s="23"/>
    </row>
    <row r="59" ht="22.5" customHeight="1">
      <c r="A59" s="23" t="s">
        <v>1869</v>
      </c>
      <c r="B59" s="24" t="s">
        <v>1870</v>
      </c>
      <c r="C59" s="23" t="s">
        <v>38</v>
      </c>
      <c r="D59" s="25" t="s">
        <v>1876</v>
      </c>
      <c r="E59" s="23" t="s">
        <v>1872</v>
      </c>
      <c r="F59" s="23"/>
    </row>
    <row r="60" ht="22.5" customHeight="1">
      <c r="A60" s="23" t="s">
        <v>1869</v>
      </c>
      <c r="B60" s="24" t="s">
        <v>1870</v>
      </c>
      <c r="C60" s="23" t="s">
        <v>36</v>
      </c>
      <c r="D60" s="25" t="s">
        <v>1877</v>
      </c>
      <c r="E60" s="23" t="s">
        <v>1872</v>
      </c>
      <c r="F60" s="23"/>
    </row>
    <row r="61" ht="22.5" customHeight="1">
      <c r="A61" s="23" t="s">
        <v>1878</v>
      </c>
      <c r="B61" s="24" t="s">
        <v>1879</v>
      </c>
      <c r="C61" s="23" t="s">
        <v>30</v>
      </c>
      <c r="D61" s="25" t="s">
        <v>1880</v>
      </c>
      <c r="E61" s="23" t="s">
        <v>1881</v>
      </c>
      <c r="F61" s="23"/>
    </row>
    <row r="62" ht="22.5" customHeight="1">
      <c r="A62" s="23" t="s">
        <v>1878</v>
      </c>
      <c r="B62" s="24" t="s">
        <v>1879</v>
      </c>
      <c r="C62" s="23" t="s">
        <v>30</v>
      </c>
      <c r="D62" s="25" t="s">
        <v>1882</v>
      </c>
      <c r="E62" s="23" t="s">
        <v>1881</v>
      </c>
      <c r="F62" s="23"/>
    </row>
    <row r="63" ht="22.5" customHeight="1">
      <c r="A63" s="23" t="s">
        <v>1878</v>
      </c>
      <c r="B63" s="24" t="s">
        <v>1879</v>
      </c>
      <c r="C63" s="23" t="s">
        <v>30</v>
      </c>
      <c r="D63" s="25" t="s">
        <v>1883</v>
      </c>
      <c r="E63" s="23" t="s">
        <v>1881</v>
      </c>
      <c r="F63" s="23"/>
    </row>
    <row r="64" ht="22.5" customHeight="1">
      <c r="A64" s="23" t="s">
        <v>1789</v>
      </c>
      <c r="B64" s="24" t="s">
        <v>1884</v>
      </c>
      <c r="C64" s="23" t="s">
        <v>30</v>
      </c>
      <c r="D64" s="25" t="s">
        <v>1885</v>
      </c>
      <c r="E64" s="23" t="s">
        <v>1886</v>
      </c>
      <c r="F64" s="23"/>
    </row>
    <row r="65" ht="22.5" customHeight="1">
      <c r="A65" s="23" t="s">
        <v>1789</v>
      </c>
      <c r="B65" s="24" t="s">
        <v>1884</v>
      </c>
      <c r="C65" s="23" t="s">
        <v>30</v>
      </c>
      <c r="D65" s="25" t="s">
        <v>1887</v>
      </c>
      <c r="E65" s="23" t="s">
        <v>1886</v>
      </c>
      <c r="F65" s="23"/>
    </row>
    <row r="66" ht="22.5" customHeight="1">
      <c r="A66" s="23" t="s">
        <v>1789</v>
      </c>
      <c r="B66" s="24" t="s">
        <v>1884</v>
      </c>
      <c r="C66" s="23" t="s">
        <v>40</v>
      </c>
      <c r="D66" s="25" t="s">
        <v>1888</v>
      </c>
      <c r="E66" s="23" t="s">
        <v>1886</v>
      </c>
      <c r="F66" s="23"/>
    </row>
    <row r="67" ht="22.5" customHeight="1">
      <c r="A67" s="23" t="s">
        <v>1789</v>
      </c>
      <c r="B67" s="24" t="s">
        <v>1884</v>
      </c>
      <c r="C67" s="23" t="s">
        <v>43</v>
      </c>
      <c r="D67" s="25" t="s">
        <v>1889</v>
      </c>
      <c r="E67" s="23" t="s">
        <v>1886</v>
      </c>
      <c r="F67" s="23"/>
    </row>
    <row r="68" ht="22.5" customHeight="1">
      <c r="A68" s="23" t="s">
        <v>1789</v>
      </c>
      <c r="B68" s="24" t="s">
        <v>1884</v>
      </c>
      <c r="C68" s="23" t="s">
        <v>38</v>
      </c>
      <c r="D68" s="25" t="s">
        <v>1890</v>
      </c>
      <c r="E68" s="23" t="s">
        <v>1886</v>
      </c>
      <c r="F68" s="23"/>
    </row>
    <row r="69" ht="22.5" customHeight="1">
      <c r="A69" s="23" t="s">
        <v>1789</v>
      </c>
      <c r="B69" s="24" t="s">
        <v>1884</v>
      </c>
      <c r="C69" s="23" t="s">
        <v>36</v>
      </c>
      <c r="D69" s="25" t="s">
        <v>1891</v>
      </c>
      <c r="E69" s="23" t="s">
        <v>1886</v>
      </c>
      <c r="F69" s="23"/>
    </row>
    <row r="70" ht="22.5" customHeight="1">
      <c r="A70" s="23" t="s">
        <v>1854</v>
      </c>
      <c r="B70" s="24" t="s">
        <v>1892</v>
      </c>
      <c r="C70" s="23" t="s">
        <v>30</v>
      </c>
      <c r="D70" s="25" t="s">
        <v>1893</v>
      </c>
      <c r="E70" s="23" t="s">
        <v>1857</v>
      </c>
      <c r="F70" s="23"/>
    </row>
    <row r="71" ht="22.5" customHeight="1">
      <c r="A71" s="23" t="s">
        <v>1854</v>
      </c>
      <c r="B71" s="24" t="s">
        <v>1892</v>
      </c>
      <c r="C71" s="23" t="s">
        <v>30</v>
      </c>
      <c r="D71" s="25" t="s">
        <v>1894</v>
      </c>
      <c r="E71" s="23" t="s">
        <v>1857</v>
      </c>
      <c r="F71" s="23"/>
    </row>
    <row r="72" ht="22.5" customHeight="1">
      <c r="A72" s="23" t="s">
        <v>1854</v>
      </c>
      <c r="B72" s="24" t="s">
        <v>1892</v>
      </c>
      <c r="C72" s="23" t="s">
        <v>30</v>
      </c>
      <c r="D72" s="25" t="s">
        <v>1895</v>
      </c>
      <c r="E72" s="23" t="s">
        <v>1857</v>
      </c>
      <c r="F72" s="23"/>
    </row>
    <row r="73" ht="22.5" customHeight="1">
      <c r="A73" s="23" t="s">
        <v>1896</v>
      </c>
      <c r="B73" s="24" t="s">
        <v>1897</v>
      </c>
      <c r="C73" s="23" t="s">
        <v>30</v>
      </c>
      <c r="D73" s="25" t="s">
        <v>1898</v>
      </c>
      <c r="E73" s="23" t="s">
        <v>1899</v>
      </c>
      <c r="F73" s="23"/>
    </row>
    <row r="74" ht="22.5" customHeight="1">
      <c r="A74" s="23" t="s">
        <v>1896</v>
      </c>
      <c r="B74" s="24" t="s">
        <v>1897</v>
      </c>
      <c r="C74" s="23" t="s">
        <v>40</v>
      </c>
      <c r="D74" s="25" t="s">
        <v>1900</v>
      </c>
      <c r="E74" s="23" t="s">
        <v>1899</v>
      </c>
      <c r="F74" s="23"/>
    </row>
    <row r="75" ht="22.5" customHeight="1">
      <c r="A75" s="23" t="s">
        <v>1896</v>
      </c>
      <c r="B75" s="24" t="s">
        <v>1897</v>
      </c>
      <c r="C75" s="23" t="s">
        <v>43</v>
      </c>
      <c r="D75" s="25" t="s">
        <v>1901</v>
      </c>
      <c r="E75" s="23" t="s">
        <v>1899</v>
      </c>
      <c r="F75" s="23"/>
    </row>
    <row r="76" ht="22.5" customHeight="1">
      <c r="A76" s="23" t="s">
        <v>1896</v>
      </c>
      <c r="B76" s="24" t="s">
        <v>1897</v>
      </c>
      <c r="C76" s="23" t="s">
        <v>38</v>
      </c>
      <c r="D76" s="25" t="s">
        <v>1902</v>
      </c>
      <c r="E76" s="23" t="s">
        <v>1899</v>
      </c>
      <c r="F76" s="23"/>
    </row>
    <row r="77" ht="22.5" customHeight="1">
      <c r="A77" s="23" t="s">
        <v>1896</v>
      </c>
      <c r="B77" s="24" t="s">
        <v>1897</v>
      </c>
      <c r="C77" s="23" t="s">
        <v>36</v>
      </c>
      <c r="D77" s="25" t="s">
        <v>1903</v>
      </c>
      <c r="E77" s="23" t="s">
        <v>1899</v>
      </c>
      <c r="F77" s="23"/>
    </row>
    <row r="78" ht="22.5" customHeight="1">
      <c r="A78" s="23" t="s">
        <v>1896</v>
      </c>
      <c r="B78" s="24" t="s">
        <v>1897</v>
      </c>
      <c r="C78" s="23" t="s">
        <v>30</v>
      </c>
      <c r="D78" s="25" t="s">
        <v>1904</v>
      </c>
      <c r="E78" s="23" t="s">
        <v>1899</v>
      </c>
      <c r="F78" s="23"/>
    </row>
    <row r="79" ht="22.5" customHeight="1">
      <c r="A79" s="23" t="s">
        <v>1804</v>
      </c>
      <c r="B79" s="24" t="s">
        <v>1905</v>
      </c>
      <c r="C79" s="23" t="s">
        <v>30</v>
      </c>
      <c r="D79" s="25" t="s">
        <v>1906</v>
      </c>
      <c r="E79" s="23" t="s">
        <v>1907</v>
      </c>
      <c r="F79" s="23"/>
    </row>
    <row r="80" ht="22.5" customHeight="1">
      <c r="A80" s="23" t="s">
        <v>1804</v>
      </c>
      <c r="B80" s="24" t="s">
        <v>1905</v>
      </c>
      <c r="C80" s="23" t="s">
        <v>30</v>
      </c>
      <c r="D80" s="25" t="s">
        <v>1908</v>
      </c>
      <c r="E80" s="23" t="s">
        <v>1907</v>
      </c>
      <c r="F80" s="23"/>
    </row>
    <row r="81" ht="22.5" customHeight="1">
      <c r="A81" s="23" t="s">
        <v>1804</v>
      </c>
      <c r="B81" s="24" t="s">
        <v>1905</v>
      </c>
      <c r="C81" s="23" t="s">
        <v>40</v>
      </c>
      <c r="D81" s="25" t="s">
        <v>1909</v>
      </c>
      <c r="E81" s="23" t="s">
        <v>1907</v>
      </c>
      <c r="F81" s="23"/>
    </row>
    <row r="82" ht="22.5" customHeight="1">
      <c r="A82" s="23" t="s">
        <v>1804</v>
      </c>
      <c r="B82" s="24" t="s">
        <v>1905</v>
      </c>
      <c r="C82" s="23" t="s">
        <v>43</v>
      </c>
      <c r="D82" s="25" t="s">
        <v>1910</v>
      </c>
      <c r="E82" s="23" t="s">
        <v>1907</v>
      </c>
      <c r="F82" s="23"/>
    </row>
    <row r="83" ht="22.5" customHeight="1">
      <c r="A83" s="23" t="s">
        <v>1804</v>
      </c>
      <c r="B83" s="24" t="s">
        <v>1905</v>
      </c>
      <c r="C83" s="23" t="s">
        <v>38</v>
      </c>
      <c r="D83" s="25" t="s">
        <v>1911</v>
      </c>
      <c r="E83" s="23" t="s">
        <v>1907</v>
      </c>
      <c r="F83" s="23"/>
    </row>
    <row r="84" ht="22.5" customHeight="1">
      <c r="A84" s="23" t="s">
        <v>1804</v>
      </c>
      <c r="B84" s="24" t="s">
        <v>1905</v>
      </c>
      <c r="C84" s="23" t="s">
        <v>36</v>
      </c>
      <c r="D84" s="25" t="s">
        <v>1912</v>
      </c>
      <c r="E84" s="23" t="s">
        <v>1907</v>
      </c>
      <c r="F84" s="23"/>
    </row>
    <row r="85" ht="22.5" customHeight="1">
      <c r="A85" s="23" t="s">
        <v>1869</v>
      </c>
      <c r="B85" s="24" t="s">
        <v>1913</v>
      </c>
      <c r="C85" s="23" t="s">
        <v>1914</v>
      </c>
      <c r="D85" s="25" t="s">
        <v>1915</v>
      </c>
      <c r="E85" s="23" t="s">
        <v>1916</v>
      </c>
      <c r="F85" s="7" t="s">
        <v>1917</v>
      </c>
    </row>
    <row r="86" ht="22.5" customHeight="1">
      <c r="A86" s="23" t="s">
        <v>1918</v>
      </c>
      <c r="B86" s="24" t="s">
        <v>1919</v>
      </c>
      <c r="C86" s="23" t="s">
        <v>30</v>
      </c>
      <c r="D86" s="25" t="s">
        <v>1920</v>
      </c>
      <c r="E86" s="23" t="s">
        <v>1921</v>
      </c>
      <c r="F86" s="23"/>
    </row>
    <row r="87" ht="22.5" customHeight="1">
      <c r="A87" s="23" t="s">
        <v>1918</v>
      </c>
      <c r="B87" s="24" t="s">
        <v>1919</v>
      </c>
      <c r="C87" s="23" t="s">
        <v>30</v>
      </c>
      <c r="D87" s="25" t="s">
        <v>1922</v>
      </c>
      <c r="E87" s="23" t="s">
        <v>1921</v>
      </c>
      <c r="F87" s="23"/>
    </row>
    <row r="88" ht="22.5" customHeight="1">
      <c r="A88" s="23" t="s">
        <v>1918</v>
      </c>
      <c r="B88" s="24" t="s">
        <v>1919</v>
      </c>
      <c r="C88" s="23" t="s">
        <v>30</v>
      </c>
      <c r="D88" s="25" t="s">
        <v>1923</v>
      </c>
      <c r="E88" s="23" t="s">
        <v>1921</v>
      </c>
      <c r="F88" s="23"/>
    </row>
    <row r="89" ht="22.5" customHeight="1">
      <c r="A89" s="23" t="s">
        <v>1918</v>
      </c>
      <c r="B89" s="24" t="s">
        <v>1919</v>
      </c>
      <c r="C89" s="23" t="s">
        <v>30</v>
      </c>
      <c r="D89" s="25" t="s">
        <v>1924</v>
      </c>
      <c r="E89" s="23" t="s">
        <v>1921</v>
      </c>
      <c r="F89" s="23"/>
    </row>
    <row r="90" ht="22.5" customHeight="1">
      <c r="A90" s="23" t="s">
        <v>1918</v>
      </c>
      <c r="B90" s="24" t="s">
        <v>1919</v>
      </c>
      <c r="C90" s="23" t="s">
        <v>40</v>
      </c>
      <c r="D90" s="25" t="s">
        <v>1925</v>
      </c>
      <c r="E90" s="23" t="s">
        <v>1921</v>
      </c>
      <c r="F90" s="23"/>
    </row>
    <row r="91" ht="22.5" customHeight="1">
      <c r="A91" s="23" t="s">
        <v>1918</v>
      </c>
      <c r="B91" s="24" t="s">
        <v>1919</v>
      </c>
      <c r="C91" s="23" t="s">
        <v>43</v>
      </c>
      <c r="D91" s="25" t="s">
        <v>1926</v>
      </c>
      <c r="E91" s="23" t="s">
        <v>1921</v>
      </c>
      <c r="F91" s="23"/>
    </row>
    <row r="92" ht="22.5" customHeight="1">
      <c r="A92" s="23" t="s">
        <v>1918</v>
      </c>
      <c r="B92" s="24" t="s">
        <v>1919</v>
      </c>
      <c r="C92" s="23" t="s">
        <v>38</v>
      </c>
      <c r="D92" s="25" t="s">
        <v>1927</v>
      </c>
      <c r="E92" s="23" t="s">
        <v>1921</v>
      </c>
      <c r="F92" s="23"/>
    </row>
    <row r="93" ht="22.5" customHeight="1">
      <c r="A93" s="23" t="s">
        <v>1918</v>
      </c>
      <c r="B93" s="24" t="s">
        <v>1919</v>
      </c>
      <c r="C93" s="23" t="s">
        <v>36</v>
      </c>
      <c r="D93" s="25" t="s">
        <v>1928</v>
      </c>
      <c r="E93" s="23" t="s">
        <v>1921</v>
      </c>
      <c r="F93" s="23"/>
    </row>
    <row r="94" ht="22.5" customHeight="1">
      <c r="A94" s="23" t="s">
        <v>1810</v>
      </c>
      <c r="B94" s="24" t="s">
        <v>1929</v>
      </c>
      <c r="C94" s="23" t="s">
        <v>30</v>
      </c>
      <c r="D94" s="25" t="s">
        <v>1930</v>
      </c>
      <c r="E94" s="23" t="s">
        <v>1931</v>
      </c>
      <c r="F94" s="23"/>
    </row>
    <row r="95" ht="22.5" customHeight="1">
      <c r="A95" s="23" t="s">
        <v>1810</v>
      </c>
      <c r="B95" s="24" t="s">
        <v>1929</v>
      </c>
      <c r="C95" s="23" t="s">
        <v>30</v>
      </c>
      <c r="D95" s="25" t="s">
        <v>1932</v>
      </c>
      <c r="E95" s="23" t="s">
        <v>1931</v>
      </c>
      <c r="F95" s="23"/>
    </row>
    <row r="96" ht="22.5" customHeight="1">
      <c r="A96" s="23" t="s">
        <v>1810</v>
      </c>
      <c r="B96" s="24" t="s">
        <v>1929</v>
      </c>
      <c r="C96" s="23" t="s">
        <v>40</v>
      </c>
      <c r="D96" s="25" t="s">
        <v>1933</v>
      </c>
      <c r="E96" s="23" t="s">
        <v>1931</v>
      </c>
      <c r="F96" s="23"/>
    </row>
    <row r="97" ht="22.5" customHeight="1">
      <c r="A97" s="23" t="s">
        <v>1810</v>
      </c>
      <c r="B97" s="24" t="s">
        <v>1929</v>
      </c>
      <c r="C97" s="23" t="s">
        <v>43</v>
      </c>
      <c r="D97" s="25" t="s">
        <v>1934</v>
      </c>
      <c r="E97" s="23" t="s">
        <v>1931</v>
      </c>
      <c r="F97" s="23"/>
    </row>
    <row r="98" ht="22.5" customHeight="1">
      <c r="A98" s="23" t="s">
        <v>1810</v>
      </c>
      <c r="B98" s="24" t="s">
        <v>1929</v>
      </c>
      <c r="C98" s="23" t="s">
        <v>38</v>
      </c>
      <c r="D98" s="25" t="s">
        <v>1935</v>
      </c>
      <c r="E98" s="23" t="s">
        <v>1931</v>
      </c>
      <c r="F98" s="23"/>
    </row>
    <row r="99" ht="22.5" customHeight="1">
      <c r="A99" s="23" t="s">
        <v>1810</v>
      </c>
      <c r="B99" s="24" t="s">
        <v>1929</v>
      </c>
      <c r="C99" s="23" t="s">
        <v>36</v>
      </c>
      <c r="D99" s="25" t="s">
        <v>1936</v>
      </c>
      <c r="E99" s="23" t="s">
        <v>1931</v>
      </c>
      <c r="F99" s="23"/>
    </row>
    <row r="100" ht="22.5" customHeight="1">
      <c r="A100" s="23" t="s">
        <v>1896</v>
      </c>
      <c r="B100" s="24" t="s">
        <v>1937</v>
      </c>
      <c r="C100" s="23" t="s">
        <v>43</v>
      </c>
      <c r="D100" s="25" t="s">
        <v>1938</v>
      </c>
      <c r="E100" s="23" t="s">
        <v>1899</v>
      </c>
      <c r="F100" s="23"/>
    </row>
    <row r="101" ht="22.5" customHeight="1">
      <c r="A101" s="23" t="s">
        <v>1896</v>
      </c>
      <c r="B101" s="24" t="s">
        <v>1937</v>
      </c>
      <c r="C101" s="23" t="s">
        <v>40</v>
      </c>
      <c r="D101" s="25" t="s">
        <v>1939</v>
      </c>
      <c r="E101" s="23" t="s">
        <v>1899</v>
      </c>
      <c r="F101" s="23"/>
    </row>
    <row r="102" ht="22.5" customHeight="1">
      <c r="A102" s="23" t="s">
        <v>1940</v>
      </c>
      <c r="B102" s="24" t="s">
        <v>1941</v>
      </c>
      <c r="C102" s="23" t="s">
        <v>30</v>
      </c>
      <c r="D102" s="25" t="s">
        <v>1942</v>
      </c>
      <c r="E102" s="23" t="s">
        <v>1943</v>
      </c>
      <c r="F102" s="23"/>
    </row>
    <row r="103" ht="22.5" customHeight="1">
      <c r="A103" s="23" t="s">
        <v>1940</v>
      </c>
      <c r="B103" s="24" t="s">
        <v>1941</v>
      </c>
      <c r="C103" s="23" t="s">
        <v>30</v>
      </c>
      <c r="D103" s="25" t="s">
        <v>1944</v>
      </c>
      <c r="E103" s="23" t="s">
        <v>1943</v>
      </c>
      <c r="F103" s="23"/>
    </row>
    <row r="104" ht="22.5" customHeight="1">
      <c r="A104" s="23" t="s">
        <v>1940</v>
      </c>
      <c r="B104" s="24" t="s">
        <v>1941</v>
      </c>
      <c r="C104" s="23" t="s">
        <v>40</v>
      </c>
      <c r="D104" s="25" t="s">
        <v>1945</v>
      </c>
      <c r="E104" s="23" t="s">
        <v>1943</v>
      </c>
      <c r="F104" s="23"/>
    </row>
    <row r="105" ht="22.5" customHeight="1">
      <c r="A105" s="23" t="s">
        <v>1940</v>
      </c>
      <c r="B105" s="24" t="s">
        <v>1941</v>
      </c>
      <c r="C105" s="23" t="s">
        <v>43</v>
      </c>
      <c r="D105" s="25" t="s">
        <v>1946</v>
      </c>
      <c r="E105" s="23" t="s">
        <v>1943</v>
      </c>
      <c r="F105" s="23"/>
    </row>
    <row r="106" ht="22.5" customHeight="1">
      <c r="A106" s="23" t="s">
        <v>1940</v>
      </c>
      <c r="B106" s="24" t="s">
        <v>1941</v>
      </c>
      <c r="C106" s="23" t="s">
        <v>38</v>
      </c>
      <c r="D106" s="25" t="s">
        <v>1947</v>
      </c>
      <c r="E106" s="23" t="s">
        <v>1943</v>
      </c>
      <c r="F106" s="23"/>
    </row>
    <row r="107" ht="22.5" customHeight="1">
      <c r="A107" s="23" t="s">
        <v>1940</v>
      </c>
      <c r="B107" s="24" t="s">
        <v>1941</v>
      </c>
      <c r="C107" s="23" t="s">
        <v>36</v>
      </c>
      <c r="D107" s="25" t="s">
        <v>1948</v>
      </c>
      <c r="E107" s="23" t="s">
        <v>1943</v>
      </c>
      <c r="F107" s="23"/>
    </row>
    <row r="108" ht="22.5" customHeight="1">
      <c r="A108" s="23" t="s">
        <v>1854</v>
      </c>
      <c r="B108" s="24" t="s">
        <v>1949</v>
      </c>
      <c r="C108" s="23" t="s">
        <v>30</v>
      </c>
      <c r="D108" s="25" t="s">
        <v>1950</v>
      </c>
      <c r="E108" s="23" t="s">
        <v>1857</v>
      </c>
      <c r="F108" s="23"/>
    </row>
    <row r="109" ht="22.5" customHeight="1">
      <c r="A109" s="23" t="s">
        <v>1854</v>
      </c>
      <c r="B109" s="24" t="s">
        <v>1949</v>
      </c>
      <c r="C109" s="23" t="s">
        <v>30</v>
      </c>
      <c r="D109" s="25" t="s">
        <v>1951</v>
      </c>
      <c r="E109" s="23" t="s">
        <v>1857</v>
      </c>
      <c r="F109" s="23"/>
    </row>
    <row r="110" ht="22.5" customHeight="1">
      <c r="A110" s="23" t="s">
        <v>1940</v>
      </c>
      <c r="B110" s="24" t="s">
        <v>1952</v>
      </c>
      <c r="C110" s="23" t="s">
        <v>1914</v>
      </c>
      <c r="D110" s="25" t="s">
        <v>1953</v>
      </c>
      <c r="E110" s="23" t="s">
        <v>1954</v>
      </c>
      <c r="F110" s="7" t="s">
        <v>1917</v>
      </c>
    </row>
    <row r="111" ht="22.5" customHeight="1">
      <c r="A111" s="23" t="s">
        <v>1819</v>
      </c>
      <c r="B111" s="24" t="s">
        <v>1955</v>
      </c>
      <c r="C111" s="23" t="s">
        <v>30</v>
      </c>
      <c r="D111" s="25" t="s">
        <v>1956</v>
      </c>
      <c r="E111" s="23" t="s">
        <v>1957</v>
      </c>
      <c r="F111" s="23"/>
    </row>
    <row r="112" ht="22.5" customHeight="1">
      <c r="A112" s="23" t="s">
        <v>1819</v>
      </c>
      <c r="B112" s="24" t="s">
        <v>1955</v>
      </c>
      <c r="C112" s="23" t="s">
        <v>30</v>
      </c>
      <c r="D112" s="25" t="s">
        <v>1958</v>
      </c>
      <c r="E112" s="23" t="s">
        <v>1957</v>
      </c>
      <c r="F112" s="23"/>
    </row>
    <row r="113" ht="22.5" customHeight="1">
      <c r="A113" s="23" t="s">
        <v>1819</v>
      </c>
      <c r="B113" s="24" t="s">
        <v>1955</v>
      </c>
      <c r="C113" s="23" t="s">
        <v>40</v>
      </c>
      <c r="D113" s="25" t="s">
        <v>1959</v>
      </c>
      <c r="E113" s="23" t="s">
        <v>1957</v>
      </c>
      <c r="F113" s="23"/>
    </row>
    <row r="114" ht="22.5" customHeight="1">
      <c r="A114" s="23" t="s">
        <v>1819</v>
      </c>
      <c r="B114" s="24" t="s">
        <v>1955</v>
      </c>
      <c r="C114" s="23" t="s">
        <v>43</v>
      </c>
      <c r="D114" s="25" t="s">
        <v>1960</v>
      </c>
      <c r="E114" s="23" t="s">
        <v>1957</v>
      </c>
      <c r="F114" s="23"/>
    </row>
    <row r="115" ht="22.5" customHeight="1">
      <c r="A115" s="23" t="s">
        <v>1819</v>
      </c>
      <c r="B115" s="24" t="s">
        <v>1955</v>
      </c>
      <c r="C115" s="23" t="s">
        <v>38</v>
      </c>
      <c r="D115" s="25" t="s">
        <v>1961</v>
      </c>
      <c r="E115" s="23" t="s">
        <v>1957</v>
      </c>
      <c r="F115" s="23"/>
    </row>
    <row r="116" ht="22.5" customHeight="1">
      <c r="A116" s="23" t="s">
        <v>1819</v>
      </c>
      <c r="B116" s="24" t="s">
        <v>1955</v>
      </c>
      <c r="C116" s="23" t="s">
        <v>36</v>
      </c>
      <c r="D116" s="25" t="s">
        <v>1962</v>
      </c>
      <c r="E116" s="23" t="s">
        <v>1957</v>
      </c>
      <c r="F116" s="23"/>
    </row>
    <row r="117" ht="22.5" customHeight="1">
      <c r="A117" s="23" t="s">
        <v>1783</v>
      </c>
      <c r="B117" s="24" t="s">
        <v>1963</v>
      </c>
      <c r="C117" s="23" t="s">
        <v>30</v>
      </c>
      <c r="D117" s="25" t="s">
        <v>1964</v>
      </c>
      <c r="E117" s="23" t="s">
        <v>1965</v>
      </c>
      <c r="F117" s="23"/>
    </row>
    <row r="118" ht="22.5" customHeight="1">
      <c r="A118" s="23" t="s">
        <v>1783</v>
      </c>
      <c r="B118" s="24" t="s">
        <v>1963</v>
      </c>
      <c r="C118" s="23" t="s">
        <v>30</v>
      </c>
      <c r="D118" s="25" t="s">
        <v>1966</v>
      </c>
      <c r="E118" s="23" t="s">
        <v>1965</v>
      </c>
      <c r="F118" s="23"/>
    </row>
    <row r="119" ht="22.5" customHeight="1">
      <c r="A119" s="23" t="s">
        <v>1783</v>
      </c>
      <c r="B119" s="24" t="s">
        <v>1963</v>
      </c>
      <c r="C119" s="23" t="s">
        <v>43</v>
      </c>
      <c r="D119" s="25" t="s">
        <v>1967</v>
      </c>
      <c r="E119" s="23" t="s">
        <v>1965</v>
      </c>
      <c r="F119" s="23"/>
    </row>
    <row r="120" ht="22.5" customHeight="1">
      <c r="A120" s="23" t="s">
        <v>1783</v>
      </c>
      <c r="B120" s="24" t="s">
        <v>1963</v>
      </c>
      <c r="C120" s="23" t="s">
        <v>30</v>
      </c>
      <c r="D120" s="25" t="s">
        <v>1968</v>
      </c>
      <c r="E120" s="23" t="s">
        <v>1965</v>
      </c>
      <c r="F120" s="23"/>
    </row>
    <row r="121" ht="22.5" customHeight="1">
      <c r="A121" s="23" t="s">
        <v>1940</v>
      </c>
      <c r="B121" s="24" t="s">
        <v>1969</v>
      </c>
      <c r="C121" s="23" t="s">
        <v>30</v>
      </c>
      <c r="D121" s="25" t="s">
        <v>1970</v>
      </c>
      <c r="E121" s="23" t="s">
        <v>1971</v>
      </c>
      <c r="F121" s="23"/>
    </row>
    <row r="122" ht="22.5" customHeight="1">
      <c r="A122" s="23" t="s">
        <v>1940</v>
      </c>
      <c r="B122" s="24" t="s">
        <v>1969</v>
      </c>
      <c r="C122" s="23" t="s">
        <v>40</v>
      </c>
      <c r="D122" s="25" t="s">
        <v>1972</v>
      </c>
      <c r="E122" s="23" t="s">
        <v>1971</v>
      </c>
      <c r="F122" s="23"/>
    </row>
    <row r="123" ht="22.5" customHeight="1">
      <c r="A123" s="23" t="s">
        <v>1940</v>
      </c>
      <c r="B123" s="24" t="s">
        <v>1969</v>
      </c>
      <c r="C123" s="23" t="s">
        <v>43</v>
      </c>
      <c r="D123" s="25" t="s">
        <v>1973</v>
      </c>
      <c r="E123" s="23" t="s">
        <v>1971</v>
      </c>
      <c r="F123" s="23"/>
    </row>
    <row r="124" ht="22.5" customHeight="1">
      <c r="A124" s="23" t="s">
        <v>1918</v>
      </c>
      <c r="B124" s="24" t="s">
        <v>1974</v>
      </c>
      <c r="C124" s="23" t="s">
        <v>30</v>
      </c>
      <c r="D124" s="25" t="s">
        <v>1975</v>
      </c>
      <c r="E124" s="23" t="s">
        <v>1976</v>
      </c>
      <c r="F124" s="23"/>
    </row>
    <row r="125" ht="22.5" customHeight="1">
      <c r="A125" s="23" t="s">
        <v>1918</v>
      </c>
      <c r="B125" s="24" t="s">
        <v>1974</v>
      </c>
      <c r="C125" s="23" t="s">
        <v>30</v>
      </c>
      <c r="D125" s="25" t="s">
        <v>1977</v>
      </c>
      <c r="E125" s="23" t="s">
        <v>1976</v>
      </c>
      <c r="F125" s="23"/>
    </row>
    <row r="126" ht="22.5" customHeight="1">
      <c r="A126" s="23" t="s">
        <v>1918</v>
      </c>
      <c r="B126" s="24" t="s">
        <v>1974</v>
      </c>
      <c r="C126" s="23" t="s">
        <v>40</v>
      </c>
      <c r="D126" s="25" t="s">
        <v>1978</v>
      </c>
      <c r="E126" s="23" t="s">
        <v>1976</v>
      </c>
      <c r="F126" s="23"/>
    </row>
    <row r="127" ht="22.5" customHeight="1">
      <c r="A127" s="23" t="s">
        <v>1918</v>
      </c>
      <c r="B127" s="24" t="s">
        <v>1974</v>
      </c>
      <c r="C127" s="23" t="s">
        <v>43</v>
      </c>
      <c r="D127" s="25" t="s">
        <v>1979</v>
      </c>
      <c r="E127" s="23" t="s">
        <v>1976</v>
      </c>
      <c r="F127" s="23"/>
    </row>
    <row r="128" ht="22.5" customHeight="1">
      <c r="A128" s="23" t="s">
        <v>1918</v>
      </c>
      <c r="B128" s="24" t="s">
        <v>1974</v>
      </c>
      <c r="C128" s="23" t="s">
        <v>38</v>
      </c>
      <c r="D128" s="25" t="s">
        <v>1980</v>
      </c>
      <c r="E128" s="23" t="s">
        <v>1976</v>
      </c>
      <c r="F128" s="23"/>
    </row>
    <row r="129" ht="22.5" customHeight="1">
      <c r="A129" s="23" t="s">
        <v>1918</v>
      </c>
      <c r="B129" s="24" t="s">
        <v>1974</v>
      </c>
      <c r="C129" s="23" t="s">
        <v>36</v>
      </c>
      <c r="D129" s="25" t="s">
        <v>1981</v>
      </c>
      <c r="E129" s="23" t="s">
        <v>1976</v>
      </c>
      <c r="F129" s="23"/>
    </row>
    <row r="130" ht="22.5" customHeight="1">
      <c r="A130" s="23" t="s">
        <v>1982</v>
      </c>
      <c r="B130" s="24" t="s">
        <v>1983</v>
      </c>
      <c r="C130" s="23" t="s">
        <v>30</v>
      </c>
      <c r="D130" s="25" t="s">
        <v>1984</v>
      </c>
      <c r="E130" s="23" t="s">
        <v>1899</v>
      </c>
      <c r="F130" s="23"/>
    </row>
    <row r="131" ht="22.5" customHeight="1">
      <c r="A131" s="23" t="s">
        <v>1982</v>
      </c>
      <c r="B131" s="24" t="s">
        <v>1983</v>
      </c>
      <c r="C131" s="23" t="s">
        <v>40</v>
      </c>
      <c r="D131" s="25" t="s">
        <v>1985</v>
      </c>
      <c r="E131" s="23" t="s">
        <v>1899</v>
      </c>
      <c r="F131" s="23"/>
    </row>
    <row r="132" ht="22.5" customHeight="1">
      <c r="A132" s="23" t="s">
        <v>1982</v>
      </c>
      <c r="B132" s="24" t="s">
        <v>1983</v>
      </c>
      <c r="C132" s="23" t="s">
        <v>43</v>
      </c>
      <c r="D132" s="25" t="s">
        <v>1986</v>
      </c>
      <c r="E132" s="23" t="s">
        <v>1899</v>
      </c>
      <c r="F132" s="23"/>
    </row>
    <row r="133" ht="22.5" customHeight="1">
      <c r="A133" s="23" t="s">
        <v>1982</v>
      </c>
      <c r="B133" s="24" t="s">
        <v>1983</v>
      </c>
      <c r="C133" s="23" t="s">
        <v>43</v>
      </c>
      <c r="D133" s="25" t="s">
        <v>1987</v>
      </c>
      <c r="E133" s="23" t="s">
        <v>1899</v>
      </c>
      <c r="F133" s="23"/>
    </row>
    <row r="134" ht="22.5" customHeight="1">
      <c r="A134" s="23" t="s">
        <v>1982</v>
      </c>
      <c r="B134" s="24" t="s">
        <v>1983</v>
      </c>
      <c r="C134" s="23" t="s">
        <v>38</v>
      </c>
      <c r="D134" s="25" t="s">
        <v>1988</v>
      </c>
      <c r="E134" s="23" t="s">
        <v>1899</v>
      </c>
      <c r="F134" s="23"/>
    </row>
    <row r="135" ht="22.5" customHeight="1">
      <c r="A135" s="23" t="s">
        <v>1982</v>
      </c>
      <c r="B135" s="24" t="s">
        <v>1983</v>
      </c>
      <c r="C135" s="23" t="s">
        <v>36</v>
      </c>
      <c r="D135" s="25" t="s">
        <v>1989</v>
      </c>
      <c r="E135" s="23" t="s">
        <v>1899</v>
      </c>
      <c r="F135" s="23"/>
    </row>
    <row r="136" ht="22.5" customHeight="1">
      <c r="A136" s="23" t="s">
        <v>1982</v>
      </c>
      <c r="B136" s="24" t="s">
        <v>1983</v>
      </c>
      <c r="C136" s="23" t="s">
        <v>30</v>
      </c>
      <c r="D136" s="25" t="s">
        <v>1990</v>
      </c>
      <c r="E136" s="23" t="s">
        <v>1899</v>
      </c>
      <c r="F136" s="23"/>
    </row>
    <row r="137" ht="22.5" customHeight="1">
      <c r="A137" s="23" t="s">
        <v>1783</v>
      </c>
      <c r="B137" s="24" t="s">
        <v>1991</v>
      </c>
      <c r="C137" s="23" t="s">
        <v>30</v>
      </c>
      <c r="D137" s="25" t="s">
        <v>1992</v>
      </c>
      <c r="E137" s="23" t="s">
        <v>1786</v>
      </c>
      <c r="F137" s="23"/>
    </row>
    <row r="138" ht="22.5" customHeight="1">
      <c r="A138" s="23" t="s">
        <v>1836</v>
      </c>
      <c r="B138" s="24" t="s">
        <v>1993</v>
      </c>
      <c r="C138" s="23" t="s">
        <v>30</v>
      </c>
      <c r="D138" s="25" t="s">
        <v>1994</v>
      </c>
      <c r="E138" s="23" t="s">
        <v>1995</v>
      </c>
      <c r="F138" s="23"/>
    </row>
    <row r="139" ht="22.5" customHeight="1">
      <c r="A139" s="23" t="s">
        <v>1836</v>
      </c>
      <c r="B139" s="24" t="s">
        <v>1993</v>
      </c>
      <c r="C139" s="23" t="s">
        <v>30</v>
      </c>
      <c r="D139" s="25" t="s">
        <v>1996</v>
      </c>
      <c r="E139" s="23" t="s">
        <v>1995</v>
      </c>
      <c r="F139" s="23"/>
    </row>
    <row r="140" ht="22.5" customHeight="1">
      <c r="A140" s="23" t="s">
        <v>1836</v>
      </c>
      <c r="B140" s="24" t="s">
        <v>1993</v>
      </c>
      <c r="C140" s="23" t="s">
        <v>40</v>
      </c>
      <c r="D140" s="25" t="s">
        <v>1997</v>
      </c>
      <c r="E140" s="23" t="s">
        <v>1995</v>
      </c>
      <c r="F140" s="23"/>
    </row>
    <row r="141" ht="22.5" customHeight="1">
      <c r="A141" s="23" t="s">
        <v>1836</v>
      </c>
      <c r="B141" s="24" t="s">
        <v>1993</v>
      </c>
      <c r="C141" s="23" t="s">
        <v>43</v>
      </c>
      <c r="D141" s="25" t="s">
        <v>1998</v>
      </c>
      <c r="E141" s="23" t="s">
        <v>1995</v>
      </c>
      <c r="F141" s="23"/>
    </row>
    <row r="142" ht="22.5" customHeight="1">
      <c r="A142" s="23" t="s">
        <v>1836</v>
      </c>
      <c r="B142" s="24" t="s">
        <v>1993</v>
      </c>
      <c r="C142" s="23" t="s">
        <v>38</v>
      </c>
      <c r="D142" s="25" t="s">
        <v>1999</v>
      </c>
      <c r="E142" s="23" t="s">
        <v>1995</v>
      </c>
      <c r="F142" s="23"/>
    </row>
    <row r="143" ht="22.5" customHeight="1">
      <c r="A143" s="23" t="s">
        <v>1836</v>
      </c>
      <c r="B143" s="24" t="s">
        <v>1993</v>
      </c>
      <c r="C143" s="23" t="s">
        <v>36</v>
      </c>
      <c r="D143" s="25" t="s">
        <v>2000</v>
      </c>
      <c r="E143" s="23" t="s">
        <v>1995</v>
      </c>
      <c r="F143" s="23"/>
    </row>
    <row r="144" ht="22.5" customHeight="1">
      <c r="A144" s="23" t="s">
        <v>1854</v>
      </c>
      <c r="B144" s="24" t="s">
        <v>2001</v>
      </c>
      <c r="C144" s="23" t="s">
        <v>43</v>
      </c>
      <c r="D144" s="25" t="s">
        <v>2002</v>
      </c>
      <c r="E144" s="23" t="s">
        <v>1857</v>
      </c>
      <c r="F144" s="23"/>
    </row>
    <row r="145" ht="22.5" customHeight="1">
      <c r="A145" s="23" t="s">
        <v>1854</v>
      </c>
      <c r="B145" s="24" t="s">
        <v>2001</v>
      </c>
      <c r="C145" s="23" t="s">
        <v>40</v>
      </c>
      <c r="D145" s="25" t="s">
        <v>2003</v>
      </c>
      <c r="E145" s="23" t="s">
        <v>1857</v>
      </c>
      <c r="F145" s="23"/>
    </row>
    <row r="146" ht="22.5" customHeight="1">
      <c r="A146" s="23" t="s">
        <v>1798</v>
      </c>
      <c r="B146" s="24" t="s">
        <v>2004</v>
      </c>
      <c r="C146" s="23" t="s">
        <v>30</v>
      </c>
      <c r="D146" s="25" t="s">
        <v>2005</v>
      </c>
      <c r="E146" s="23" t="s">
        <v>2006</v>
      </c>
      <c r="F146" s="23"/>
    </row>
    <row r="147" ht="22.5" customHeight="1">
      <c r="A147" s="23" t="s">
        <v>1798</v>
      </c>
      <c r="B147" s="24" t="s">
        <v>2004</v>
      </c>
      <c r="C147" s="23" t="s">
        <v>30</v>
      </c>
      <c r="D147" s="25" t="s">
        <v>2007</v>
      </c>
      <c r="E147" s="23" t="s">
        <v>2006</v>
      </c>
      <c r="F147" s="23"/>
    </row>
    <row r="148" ht="22.5" customHeight="1">
      <c r="A148" s="23" t="s">
        <v>1798</v>
      </c>
      <c r="B148" s="24" t="s">
        <v>2004</v>
      </c>
      <c r="C148" s="23" t="s">
        <v>40</v>
      </c>
      <c r="D148" s="25" t="s">
        <v>2008</v>
      </c>
      <c r="E148" s="23" t="s">
        <v>2006</v>
      </c>
      <c r="F148" s="23"/>
    </row>
    <row r="149" ht="22.5" customHeight="1">
      <c r="A149" s="23" t="s">
        <v>1798</v>
      </c>
      <c r="B149" s="24" t="s">
        <v>2004</v>
      </c>
      <c r="C149" s="23" t="s">
        <v>43</v>
      </c>
      <c r="D149" s="25" t="s">
        <v>2009</v>
      </c>
      <c r="E149" s="23" t="s">
        <v>2006</v>
      </c>
      <c r="F149" s="23"/>
    </row>
    <row r="150" ht="22.5" customHeight="1">
      <c r="A150" s="23" t="s">
        <v>1798</v>
      </c>
      <c r="B150" s="24" t="s">
        <v>2004</v>
      </c>
      <c r="C150" s="23" t="s">
        <v>38</v>
      </c>
      <c r="D150" s="25" t="s">
        <v>2010</v>
      </c>
      <c r="E150" s="23" t="s">
        <v>2006</v>
      </c>
      <c r="F150" s="23"/>
    </row>
    <row r="151" ht="22.5" customHeight="1">
      <c r="A151" s="23" t="s">
        <v>1798</v>
      </c>
      <c r="B151" s="24" t="s">
        <v>2004</v>
      </c>
      <c r="C151" s="23" t="s">
        <v>36</v>
      </c>
      <c r="D151" s="25" t="s">
        <v>2011</v>
      </c>
      <c r="E151" s="23" t="s">
        <v>2006</v>
      </c>
      <c r="F151" s="23"/>
    </row>
    <row r="152" ht="22.5" customHeight="1">
      <c r="A152" s="23" t="s">
        <v>1854</v>
      </c>
      <c r="B152" s="24" t="s">
        <v>2012</v>
      </c>
      <c r="C152" s="23" t="s">
        <v>30</v>
      </c>
      <c r="D152" s="25" t="s">
        <v>2013</v>
      </c>
      <c r="E152" s="23" t="s">
        <v>1786</v>
      </c>
      <c r="F152" s="23"/>
    </row>
    <row r="153" ht="22.5" customHeight="1">
      <c r="A153" s="23" t="s">
        <v>1783</v>
      </c>
      <c r="B153" s="24" t="s">
        <v>2014</v>
      </c>
      <c r="C153" s="23" t="s">
        <v>43</v>
      </c>
      <c r="D153" s="25" t="s">
        <v>2015</v>
      </c>
      <c r="E153" s="23" t="s">
        <v>2016</v>
      </c>
      <c r="F153" s="23"/>
    </row>
    <row r="154" ht="22.5" customHeight="1">
      <c r="A154" s="23" t="s">
        <v>1783</v>
      </c>
      <c r="B154" s="24" t="s">
        <v>2014</v>
      </c>
      <c r="C154" s="23" t="s">
        <v>40</v>
      </c>
      <c r="D154" s="25" t="s">
        <v>2017</v>
      </c>
      <c r="E154" s="23" t="s">
        <v>2016</v>
      </c>
      <c r="F154" s="23"/>
    </row>
    <row r="155" ht="22.5" customHeight="1">
      <c r="A155" s="23" t="s">
        <v>1858</v>
      </c>
      <c r="B155" s="24" t="s">
        <v>2018</v>
      </c>
      <c r="C155" s="23" t="s">
        <v>30</v>
      </c>
      <c r="D155" s="25" t="s">
        <v>2019</v>
      </c>
      <c r="E155" s="23" t="s">
        <v>2020</v>
      </c>
      <c r="F155" s="23"/>
    </row>
    <row r="156" ht="22.5" customHeight="1">
      <c r="A156" s="23" t="s">
        <v>1858</v>
      </c>
      <c r="B156" s="24" t="s">
        <v>2018</v>
      </c>
      <c r="C156" s="23" t="s">
        <v>43</v>
      </c>
      <c r="D156" s="25" t="s">
        <v>2021</v>
      </c>
      <c r="E156" s="23" t="s">
        <v>2020</v>
      </c>
      <c r="F156" s="23"/>
    </row>
    <row r="157" ht="22.5" customHeight="1">
      <c r="A157" s="23" t="s">
        <v>1783</v>
      </c>
      <c r="B157" s="24" t="s">
        <v>2022</v>
      </c>
      <c r="C157" s="23" t="s">
        <v>30</v>
      </c>
      <c r="D157" s="25" t="s">
        <v>2023</v>
      </c>
      <c r="E157" s="23" t="s">
        <v>1786</v>
      </c>
      <c r="F157" s="23"/>
    </row>
    <row r="158" ht="22.5" customHeight="1">
      <c r="A158" s="23" t="s">
        <v>1783</v>
      </c>
      <c r="B158" s="24" t="s">
        <v>2022</v>
      </c>
      <c r="C158" s="23" t="s">
        <v>30</v>
      </c>
      <c r="D158" s="25" t="s">
        <v>2024</v>
      </c>
      <c r="E158" s="23" t="s">
        <v>1786</v>
      </c>
      <c r="F158" s="23"/>
    </row>
    <row r="159" ht="22.5" customHeight="1">
      <c r="A159" s="23" t="s">
        <v>1783</v>
      </c>
      <c r="B159" s="24" t="s">
        <v>2022</v>
      </c>
      <c r="C159" s="23" t="s">
        <v>30</v>
      </c>
      <c r="D159" s="25" t="s">
        <v>2025</v>
      </c>
      <c r="E159" s="23" t="s">
        <v>1786</v>
      </c>
      <c r="F159" s="23"/>
    </row>
    <row r="160" ht="22.5" customHeight="1">
      <c r="A160" s="23" t="s">
        <v>1940</v>
      </c>
      <c r="B160" s="24" t="s">
        <v>2026</v>
      </c>
      <c r="C160" s="23" t="s">
        <v>30</v>
      </c>
      <c r="D160" s="25" t="s">
        <v>2027</v>
      </c>
      <c r="E160" s="23" t="s">
        <v>2028</v>
      </c>
      <c r="F160" s="23"/>
    </row>
    <row r="161" ht="22.5" customHeight="1">
      <c r="A161" s="23" t="s">
        <v>1940</v>
      </c>
      <c r="B161" s="24" t="s">
        <v>2026</v>
      </c>
      <c r="C161" s="23" t="s">
        <v>30</v>
      </c>
      <c r="D161" s="25" t="s">
        <v>2029</v>
      </c>
      <c r="E161" s="23" t="s">
        <v>2028</v>
      </c>
      <c r="F161" s="23"/>
    </row>
    <row r="162" ht="22.5" customHeight="1">
      <c r="A162" s="23" t="s">
        <v>1940</v>
      </c>
      <c r="B162" s="24" t="s">
        <v>2026</v>
      </c>
      <c r="C162" s="23" t="s">
        <v>40</v>
      </c>
      <c r="D162" s="25" t="s">
        <v>2030</v>
      </c>
      <c r="E162" s="23" t="s">
        <v>2028</v>
      </c>
      <c r="F162" s="23"/>
    </row>
    <row r="163" ht="22.5" customHeight="1">
      <c r="A163" s="23" t="s">
        <v>1940</v>
      </c>
      <c r="B163" s="24" t="s">
        <v>2026</v>
      </c>
      <c r="C163" s="23" t="s">
        <v>43</v>
      </c>
      <c r="D163" s="25" t="s">
        <v>2031</v>
      </c>
      <c r="E163" s="23" t="s">
        <v>2028</v>
      </c>
      <c r="F163" s="23"/>
    </row>
    <row r="164" ht="22.5" customHeight="1">
      <c r="A164" s="23" t="s">
        <v>1940</v>
      </c>
      <c r="B164" s="24" t="s">
        <v>2026</v>
      </c>
      <c r="C164" s="23" t="s">
        <v>38</v>
      </c>
      <c r="D164" s="25" t="s">
        <v>2032</v>
      </c>
      <c r="E164" s="23" t="s">
        <v>2028</v>
      </c>
      <c r="F164" s="23"/>
    </row>
    <row r="165" ht="22.5" customHeight="1">
      <c r="A165" s="23" t="s">
        <v>1940</v>
      </c>
      <c r="B165" s="24" t="s">
        <v>2026</v>
      </c>
      <c r="C165" s="23" t="s">
        <v>36</v>
      </c>
      <c r="D165" s="25" t="s">
        <v>2033</v>
      </c>
      <c r="E165" s="23" t="s">
        <v>2028</v>
      </c>
      <c r="F165" s="23"/>
    </row>
    <row r="166" ht="22.5" customHeight="1">
      <c r="A166" s="23" t="s">
        <v>2034</v>
      </c>
      <c r="B166" s="24" t="s">
        <v>2035</v>
      </c>
      <c r="C166" s="23" t="s">
        <v>30</v>
      </c>
      <c r="D166" s="25" t="s">
        <v>2036</v>
      </c>
      <c r="E166" s="23" t="s">
        <v>2037</v>
      </c>
      <c r="F166" s="23"/>
    </row>
    <row r="167" ht="22.5" customHeight="1">
      <c r="A167" s="23" t="s">
        <v>2034</v>
      </c>
      <c r="B167" s="24" t="s">
        <v>2035</v>
      </c>
      <c r="C167" s="23" t="s">
        <v>30</v>
      </c>
      <c r="D167" s="25" t="s">
        <v>2038</v>
      </c>
      <c r="E167" s="23" t="s">
        <v>2037</v>
      </c>
      <c r="F167" s="23"/>
    </row>
    <row r="168" ht="22.5" customHeight="1">
      <c r="A168" s="23" t="s">
        <v>2034</v>
      </c>
      <c r="B168" s="24" t="s">
        <v>2035</v>
      </c>
      <c r="C168" s="23" t="s">
        <v>30</v>
      </c>
      <c r="D168" s="25" t="s">
        <v>2039</v>
      </c>
      <c r="E168" s="23" t="s">
        <v>2037</v>
      </c>
      <c r="F168" s="23"/>
    </row>
    <row r="169" ht="22.5" customHeight="1">
      <c r="A169" s="23" t="s">
        <v>2034</v>
      </c>
      <c r="B169" s="24" t="s">
        <v>2035</v>
      </c>
      <c r="C169" s="23" t="s">
        <v>30</v>
      </c>
      <c r="D169" s="25" t="s">
        <v>2040</v>
      </c>
      <c r="E169" s="23" t="s">
        <v>2037</v>
      </c>
      <c r="F169" s="23"/>
    </row>
    <row r="170" ht="22.5" customHeight="1">
      <c r="A170" s="23" t="s">
        <v>2034</v>
      </c>
      <c r="B170" s="24" t="s">
        <v>2035</v>
      </c>
      <c r="C170" s="23" t="s">
        <v>40</v>
      </c>
      <c r="D170" s="25" t="s">
        <v>2041</v>
      </c>
      <c r="E170" s="23" t="s">
        <v>2037</v>
      </c>
      <c r="F170" s="23"/>
    </row>
    <row r="171" ht="22.5" customHeight="1">
      <c r="A171" s="23" t="s">
        <v>2034</v>
      </c>
      <c r="B171" s="24" t="s">
        <v>2035</v>
      </c>
      <c r="C171" s="23" t="s">
        <v>43</v>
      </c>
      <c r="D171" s="25" t="s">
        <v>2042</v>
      </c>
      <c r="E171" s="23" t="s">
        <v>2037</v>
      </c>
      <c r="F171" s="23"/>
    </row>
    <row r="172" ht="22.5" customHeight="1">
      <c r="A172" s="23" t="s">
        <v>2034</v>
      </c>
      <c r="B172" s="24" t="s">
        <v>2035</v>
      </c>
      <c r="C172" s="23" t="s">
        <v>38</v>
      </c>
      <c r="D172" s="25" t="s">
        <v>2043</v>
      </c>
      <c r="E172" s="23" t="s">
        <v>2037</v>
      </c>
      <c r="F172" s="23"/>
    </row>
    <row r="173" ht="22.5" customHeight="1">
      <c r="A173" s="23" t="s">
        <v>2034</v>
      </c>
      <c r="B173" s="24" t="s">
        <v>2035</v>
      </c>
      <c r="C173" s="23" t="s">
        <v>36</v>
      </c>
      <c r="D173" s="25" t="s">
        <v>2044</v>
      </c>
      <c r="E173" s="23" t="s">
        <v>2037</v>
      </c>
      <c r="F173" s="23"/>
    </row>
    <row r="174" ht="22.5" customHeight="1">
      <c r="A174" s="23" t="s">
        <v>2045</v>
      </c>
      <c r="B174" s="24" t="s">
        <v>2046</v>
      </c>
      <c r="C174" s="23" t="s">
        <v>30</v>
      </c>
      <c r="D174" s="25" t="s">
        <v>2047</v>
      </c>
      <c r="E174" s="23" t="s">
        <v>2048</v>
      </c>
      <c r="F174" s="23"/>
    </row>
    <row r="175" ht="22.5" customHeight="1">
      <c r="A175" s="23" t="s">
        <v>2045</v>
      </c>
      <c r="B175" s="24" t="s">
        <v>2046</v>
      </c>
      <c r="C175" s="23" t="s">
        <v>40</v>
      </c>
      <c r="D175" s="25" t="s">
        <v>2049</v>
      </c>
      <c r="E175" s="23" t="s">
        <v>2048</v>
      </c>
      <c r="F175" s="23"/>
    </row>
    <row r="176" ht="22.5" customHeight="1">
      <c r="A176" s="23" t="s">
        <v>2045</v>
      </c>
      <c r="B176" s="24" t="s">
        <v>2046</v>
      </c>
      <c r="C176" s="23" t="s">
        <v>30</v>
      </c>
      <c r="D176" s="25" t="s">
        <v>2050</v>
      </c>
      <c r="E176" s="23" t="s">
        <v>2048</v>
      </c>
      <c r="F176" s="23"/>
    </row>
    <row r="177" ht="22.5" customHeight="1">
      <c r="A177" s="23" t="s">
        <v>2045</v>
      </c>
      <c r="B177" s="24" t="s">
        <v>2046</v>
      </c>
      <c r="C177" s="23" t="s">
        <v>43</v>
      </c>
      <c r="D177" s="25" t="s">
        <v>2051</v>
      </c>
      <c r="E177" s="23" t="s">
        <v>2048</v>
      </c>
      <c r="F177" s="23"/>
    </row>
    <row r="178" ht="22.5" customHeight="1">
      <c r="A178" s="23" t="s">
        <v>2045</v>
      </c>
      <c r="B178" s="24" t="s">
        <v>2046</v>
      </c>
      <c r="C178" s="23" t="s">
        <v>30</v>
      </c>
      <c r="D178" s="25" t="s">
        <v>2052</v>
      </c>
      <c r="E178" s="23" t="s">
        <v>2048</v>
      </c>
      <c r="F178" s="23"/>
    </row>
    <row r="179" ht="22.5" customHeight="1">
      <c r="A179" s="23" t="s">
        <v>2045</v>
      </c>
      <c r="B179" s="24" t="s">
        <v>2046</v>
      </c>
      <c r="C179" s="23" t="s">
        <v>38</v>
      </c>
      <c r="D179" s="25" t="s">
        <v>2053</v>
      </c>
      <c r="E179" s="23" t="s">
        <v>2048</v>
      </c>
      <c r="F179" s="23"/>
    </row>
    <row r="180" ht="22.5" customHeight="1">
      <c r="A180" s="23" t="s">
        <v>2045</v>
      </c>
      <c r="B180" s="24" t="s">
        <v>2046</v>
      </c>
      <c r="C180" s="23" t="s">
        <v>36</v>
      </c>
      <c r="D180" s="25" t="s">
        <v>2054</v>
      </c>
      <c r="E180" s="23" t="s">
        <v>2048</v>
      </c>
      <c r="F180" s="23"/>
    </row>
    <row r="181" ht="22.5" customHeight="1">
      <c r="A181" s="23" t="s">
        <v>2034</v>
      </c>
      <c r="B181" s="24" t="s">
        <v>2055</v>
      </c>
      <c r="C181" s="23" t="s">
        <v>30</v>
      </c>
      <c r="D181" s="25" t="s">
        <v>2056</v>
      </c>
      <c r="E181" s="23" t="s">
        <v>2057</v>
      </c>
      <c r="F181" s="23"/>
    </row>
    <row r="182" ht="22.5" customHeight="1">
      <c r="A182" s="23" t="s">
        <v>2034</v>
      </c>
      <c r="B182" s="24" t="s">
        <v>2055</v>
      </c>
      <c r="C182" s="23" t="s">
        <v>30</v>
      </c>
      <c r="D182" s="25" t="s">
        <v>2058</v>
      </c>
      <c r="E182" s="23" t="s">
        <v>2057</v>
      </c>
      <c r="F182" s="23"/>
    </row>
    <row r="183" ht="22.5" customHeight="1">
      <c r="A183" s="23" t="s">
        <v>2034</v>
      </c>
      <c r="B183" s="24" t="s">
        <v>2055</v>
      </c>
      <c r="C183" s="23" t="s">
        <v>40</v>
      </c>
      <c r="D183" s="25" t="s">
        <v>2059</v>
      </c>
      <c r="E183" s="23" t="s">
        <v>2057</v>
      </c>
      <c r="F183" s="23"/>
    </row>
    <row r="184" ht="22.5" customHeight="1">
      <c r="A184" s="23" t="s">
        <v>2034</v>
      </c>
      <c r="B184" s="24" t="s">
        <v>2055</v>
      </c>
      <c r="C184" s="23" t="s">
        <v>43</v>
      </c>
      <c r="D184" s="25" t="s">
        <v>2060</v>
      </c>
      <c r="E184" s="23" t="s">
        <v>2057</v>
      </c>
      <c r="F184" s="23"/>
    </row>
    <row r="185" ht="22.5" customHeight="1">
      <c r="A185" s="23" t="s">
        <v>2034</v>
      </c>
      <c r="B185" s="24" t="s">
        <v>2055</v>
      </c>
      <c r="C185" s="23" t="s">
        <v>38</v>
      </c>
      <c r="D185" s="25" t="s">
        <v>2061</v>
      </c>
      <c r="E185" s="23" t="s">
        <v>2057</v>
      </c>
      <c r="F185" s="23"/>
    </row>
    <row r="186" ht="22.5" customHeight="1">
      <c r="A186" s="23" t="s">
        <v>2034</v>
      </c>
      <c r="B186" s="24" t="s">
        <v>2055</v>
      </c>
      <c r="C186" s="23" t="s">
        <v>36</v>
      </c>
      <c r="D186" s="25" t="s">
        <v>2062</v>
      </c>
      <c r="E186" s="23" t="s">
        <v>2057</v>
      </c>
      <c r="F186" s="23"/>
    </row>
    <row r="187" ht="22.5" customHeight="1">
      <c r="A187" s="23" t="s">
        <v>1869</v>
      </c>
      <c r="B187" s="24" t="s">
        <v>2063</v>
      </c>
      <c r="C187" s="23" t="s">
        <v>30</v>
      </c>
      <c r="D187" s="25" t="s">
        <v>2064</v>
      </c>
      <c r="E187" s="23" t="s">
        <v>2065</v>
      </c>
      <c r="F187" s="23"/>
    </row>
    <row r="188" ht="22.5" customHeight="1">
      <c r="A188" s="23" t="s">
        <v>1869</v>
      </c>
      <c r="B188" s="24" t="s">
        <v>2063</v>
      </c>
      <c r="C188" s="23" t="s">
        <v>30</v>
      </c>
      <c r="D188" s="25" t="s">
        <v>2066</v>
      </c>
      <c r="E188" s="23" t="s">
        <v>2065</v>
      </c>
      <c r="F188" s="23"/>
    </row>
    <row r="189" ht="22.5" customHeight="1">
      <c r="A189" s="23" t="s">
        <v>1869</v>
      </c>
      <c r="B189" s="24" t="s">
        <v>2063</v>
      </c>
      <c r="C189" s="23" t="s">
        <v>40</v>
      </c>
      <c r="D189" s="25" t="s">
        <v>2067</v>
      </c>
      <c r="E189" s="23" t="s">
        <v>2065</v>
      </c>
      <c r="F189" s="23"/>
    </row>
    <row r="190" ht="22.5" customHeight="1">
      <c r="A190" s="23" t="s">
        <v>1869</v>
      </c>
      <c r="B190" s="24" t="s">
        <v>2063</v>
      </c>
      <c r="C190" s="23" t="s">
        <v>43</v>
      </c>
      <c r="D190" s="25" t="s">
        <v>2068</v>
      </c>
      <c r="E190" s="23" t="s">
        <v>2065</v>
      </c>
      <c r="F190" s="23"/>
    </row>
    <row r="191" ht="22.5" customHeight="1">
      <c r="A191" s="23" t="s">
        <v>1869</v>
      </c>
      <c r="B191" s="24" t="s">
        <v>2063</v>
      </c>
      <c r="C191" s="23" t="s">
        <v>38</v>
      </c>
      <c r="D191" s="25" t="s">
        <v>2069</v>
      </c>
      <c r="E191" s="23" t="s">
        <v>2065</v>
      </c>
      <c r="F191" s="23"/>
    </row>
    <row r="192" ht="22.5" customHeight="1">
      <c r="A192" s="23" t="s">
        <v>1869</v>
      </c>
      <c r="B192" s="24" t="s">
        <v>2063</v>
      </c>
      <c r="C192" s="23" t="s">
        <v>36</v>
      </c>
      <c r="D192" s="25" t="s">
        <v>2070</v>
      </c>
      <c r="E192" s="23" t="s">
        <v>2065</v>
      </c>
      <c r="F192" s="23"/>
    </row>
    <row r="193" ht="22.5" customHeight="1">
      <c r="A193" s="23" t="s">
        <v>2071</v>
      </c>
      <c r="B193" s="24" t="s">
        <v>2072</v>
      </c>
      <c r="C193" s="23" t="s">
        <v>40</v>
      </c>
      <c r="D193" s="25" t="s">
        <v>2073</v>
      </c>
      <c r="E193" s="23" t="s">
        <v>2074</v>
      </c>
      <c r="F193" s="23"/>
    </row>
    <row r="194" ht="22.5" customHeight="1">
      <c r="A194" s="23" t="s">
        <v>2075</v>
      </c>
      <c r="B194" s="24" t="s">
        <v>2076</v>
      </c>
      <c r="C194" s="23" t="s">
        <v>43</v>
      </c>
      <c r="D194" s="25" t="s">
        <v>2077</v>
      </c>
      <c r="E194" s="23" t="s">
        <v>2078</v>
      </c>
      <c r="F194" s="23"/>
    </row>
    <row r="195" ht="22.5" customHeight="1">
      <c r="A195" s="23" t="s">
        <v>2075</v>
      </c>
      <c r="B195" s="24" t="s">
        <v>2076</v>
      </c>
      <c r="C195" s="23" t="s">
        <v>30</v>
      </c>
      <c r="D195" s="25" t="s">
        <v>2079</v>
      </c>
      <c r="E195" s="23" t="s">
        <v>2078</v>
      </c>
      <c r="F195" s="23"/>
    </row>
    <row r="196" ht="22.5" customHeight="1">
      <c r="A196" s="23" t="s">
        <v>2075</v>
      </c>
      <c r="B196" s="24" t="s">
        <v>2080</v>
      </c>
      <c r="C196" s="23" t="s">
        <v>30</v>
      </c>
      <c r="D196" s="25" t="s">
        <v>2081</v>
      </c>
      <c r="E196" s="23" t="s">
        <v>2082</v>
      </c>
      <c r="F196" s="23"/>
    </row>
    <row r="197" ht="22.5" customHeight="1">
      <c r="A197" s="23" t="s">
        <v>2075</v>
      </c>
      <c r="B197" s="24" t="s">
        <v>2080</v>
      </c>
      <c r="C197" s="23" t="s">
        <v>43</v>
      </c>
      <c r="D197" s="25" t="s">
        <v>2083</v>
      </c>
      <c r="E197" s="23" t="s">
        <v>2082</v>
      </c>
      <c r="F197" s="23"/>
    </row>
    <row r="198" ht="22.5" customHeight="1">
      <c r="A198" s="23" t="s">
        <v>2075</v>
      </c>
      <c r="B198" s="24" t="s">
        <v>2080</v>
      </c>
      <c r="C198" s="23" t="s">
        <v>30</v>
      </c>
      <c r="D198" s="25" t="s">
        <v>2084</v>
      </c>
      <c r="E198" s="23" t="s">
        <v>2082</v>
      </c>
      <c r="F198" s="23"/>
    </row>
    <row r="199" ht="22.5" customHeight="1">
      <c r="A199" s="23" t="s">
        <v>2071</v>
      </c>
      <c r="B199" s="24" t="s">
        <v>2085</v>
      </c>
      <c r="C199" s="23" t="s">
        <v>30</v>
      </c>
      <c r="D199" s="25" t="s">
        <v>2086</v>
      </c>
      <c r="E199" s="23" t="s">
        <v>2087</v>
      </c>
      <c r="F199" s="23"/>
    </row>
    <row r="200" ht="22.5" customHeight="1">
      <c r="A200" s="23" t="s">
        <v>2075</v>
      </c>
      <c r="B200" s="24" t="s">
        <v>2088</v>
      </c>
      <c r="C200" s="23" t="s">
        <v>30</v>
      </c>
      <c r="D200" s="25" t="s">
        <v>2089</v>
      </c>
      <c r="E200" s="23" t="s">
        <v>2087</v>
      </c>
      <c r="F200" s="23"/>
    </row>
    <row r="201" ht="22.5" customHeight="1">
      <c r="A201" s="23" t="s">
        <v>2075</v>
      </c>
      <c r="B201" s="24" t="s">
        <v>2090</v>
      </c>
      <c r="C201" s="23" t="s">
        <v>40</v>
      </c>
      <c r="D201" s="25" t="s">
        <v>2091</v>
      </c>
      <c r="E201" s="23" t="s">
        <v>2074</v>
      </c>
      <c r="F201" s="23"/>
    </row>
    <row r="202" ht="22.5" customHeight="1">
      <c r="A202" s="23" t="s">
        <v>2071</v>
      </c>
      <c r="B202" s="24" t="s">
        <v>2092</v>
      </c>
      <c r="C202" s="23" t="s">
        <v>30</v>
      </c>
      <c r="D202" s="25" t="s">
        <v>2093</v>
      </c>
      <c r="E202" s="23" t="s">
        <v>2087</v>
      </c>
      <c r="F202" s="23"/>
    </row>
    <row r="203" ht="22.5" customHeight="1">
      <c r="A203" s="23" t="s">
        <v>2071</v>
      </c>
      <c r="B203" s="24" t="s">
        <v>2092</v>
      </c>
      <c r="C203" s="23" t="s">
        <v>43</v>
      </c>
      <c r="D203" s="25" t="s">
        <v>2094</v>
      </c>
      <c r="E203" s="23" t="s">
        <v>2087</v>
      </c>
      <c r="F203" s="23"/>
    </row>
    <row r="204" ht="22.5" customHeight="1">
      <c r="A204" s="23" t="s">
        <v>2071</v>
      </c>
      <c r="B204" s="24" t="s">
        <v>2092</v>
      </c>
      <c r="C204" s="23" t="s">
        <v>30</v>
      </c>
      <c r="D204" s="25" t="s">
        <v>2095</v>
      </c>
      <c r="E204" s="23" t="s">
        <v>2087</v>
      </c>
      <c r="F204" s="23"/>
    </row>
    <row r="205" ht="22.5" customHeight="1">
      <c r="A205" s="23" t="s">
        <v>2071</v>
      </c>
      <c r="B205" s="24" t="s">
        <v>2096</v>
      </c>
      <c r="C205" s="23" t="s">
        <v>43</v>
      </c>
      <c r="D205" s="25" t="s">
        <v>2097</v>
      </c>
      <c r="E205" s="23" t="s">
        <v>2098</v>
      </c>
      <c r="F205" s="23"/>
    </row>
    <row r="206" ht="22.5" customHeight="1">
      <c r="A206" s="23" t="s">
        <v>2071</v>
      </c>
      <c r="B206" s="24" t="s">
        <v>2096</v>
      </c>
      <c r="C206" s="23" t="s">
        <v>30</v>
      </c>
      <c r="D206" s="25" t="s">
        <v>2099</v>
      </c>
      <c r="E206" s="23" t="s">
        <v>2098</v>
      </c>
      <c r="F206" s="23"/>
    </row>
    <row r="207" ht="22.5" customHeight="1">
      <c r="A207" s="23" t="s">
        <v>2075</v>
      </c>
      <c r="B207" s="24" t="s">
        <v>2100</v>
      </c>
      <c r="C207" s="23" t="s">
        <v>30</v>
      </c>
      <c r="D207" s="25" t="s">
        <v>2101</v>
      </c>
      <c r="E207" s="23" t="s">
        <v>2102</v>
      </c>
      <c r="F207" s="23"/>
    </row>
    <row r="208" ht="22.5" customHeight="1">
      <c r="A208" s="23" t="s">
        <v>2071</v>
      </c>
      <c r="B208" s="24" t="s">
        <v>2103</v>
      </c>
      <c r="C208" s="23" t="s">
        <v>30</v>
      </c>
      <c r="D208" s="25" t="s">
        <v>2104</v>
      </c>
      <c r="E208" s="23" t="s">
        <v>2102</v>
      </c>
      <c r="F208" s="23"/>
    </row>
    <row r="209" ht="22.5" customHeight="1">
      <c r="A209" s="23" t="s">
        <v>1810</v>
      </c>
      <c r="B209" s="24" t="s">
        <v>2105</v>
      </c>
      <c r="C209" s="23" t="s">
        <v>30</v>
      </c>
      <c r="D209" s="25" t="s">
        <v>2106</v>
      </c>
      <c r="E209" s="23" t="s">
        <v>2107</v>
      </c>
      <c r="F209" s="23"/>
    </row>
    <row r="210" ht="22.5" customHeight="1">
      <c r="A210" s="23" t="s">
        <v>1810</v>
      </c>
      <c r="B210" s="24" t="s">
        <v>2105</v>
      </c>
      <c r="C210" s="23" t="s">
        <v>30</v>
      </c>
      <c r="D210" s="25" t="s">
        <v>2108</v>
      </c>
      <c r="E210" s="23" t="s">
        <v>2107</v>
      </c>
      <c r="F210" s="23"/>
    </row>
    <row r="211" ht="22.5" customHeight="1">
      <c r="A211" s="23" t="s">
        <v>1810</v>
      </c>
      <c r="B211" s="24" t="s">
        <v>2105</v>
      </c>
      <c r="C211" s="23" t="s">
        <v>30</v>
      </c>
      <c r="D211" s="25" t="s">
        <v>2109</v>
      </c>
      <c r="E211" s="23" t="s">
        <v>2107</v>
      </c>
      <c r="F211" s="23"/>
    </row>
    <row r="212" ht="22.5" customHeight="1">
      <c r="A212" s="23" t="s">
        <v>1810</v>
      </c>
      <c r="B212" s="24" t="s">
        <v>2105</v>
      </c>
      <c r="C212" s="23" t="s">
        <v>30</v>
      </c>
      <c r="D212" s="25" t="s">
        <v>2110</v>
      </c>
      <c r="E212" s="23" t="s">
        <v>2107</v>
      </c>
      <c r="F212" s="23"/>
    </row>
    <row r="213" ht="22.5" customHeight="1">
      <c r="A213" s="23" t="s">
        <v>1810</v>
      </c>
      <c r="B213" s="24" t="s">
        <v>2105</v>
      </c>
      <c r="C213" s="23" t="s">
        <v>40</v>
      </c>
      <c r="D213" s="25" t="s">
        <v>2111</v>
      </c>
      <c r="E213" s="23" t="s">
        <v>2107</v>
      </c>
      <c r="F213" s="23"/>
    </row>
    <row r="214" ht="22.5" customHeight="1">
      <c r="A214" s="23" t="s">
        <v>1810</v>
      </c>
      <c r="B214" s="24" t="s">
        <v>2105</v>
      </c>
      <c r="C214" s="23" t="s">
        <v>43</v>
      </c>
      <c r="D214" s="25" t="s">
        <v>2112</v>
      </c>
      <c r="E214" s="23" t="s">
        <v>2107</v>
      </c>
      <c r="F214" s="23"/>
    </row>
    <row r="215" ht="22.5" customHeight="1">
      <c r="A215" s="23" t="s">
        <v>1810</v>
      </c>
      <c r="B215" s="24" t="s">
        <v>2105</v>
      </c>
      <c r="C215" s="23" t="s">
        <v>38</v>
      </c>
      <c r="D215" s="25" t="s">
        <v>2113</v>
      </c>
      <c r="E215" s="23" t="s">
        <v>2107</v>
      </c>
      <c r="F215" s="23"/>
    </row>
    <row r="216" ht="22.5" customHeight="1">
      <c r="A216" s="23" t="s">
        <v>1810</v>
      </c>
      <c r="B216" s="24" t="s">
        <v>2105</v>
      </c>
      <c r="C216" s="23" t="s">
        <v>36</v>
      </c>
      <c r="D216" s="25" t="s">
        <v>2114</v>
      </c>
      <c r="E216" s="23" t="s">
        <v>2107</v>
      </c>
      <c r="F216" s="23"/>
    </row>
    <row r="217" ht="22.5" customHeight="1">
      <c r="A217" s="23" t="s">
        <v>1789</v>
      </c>
      <c r="B217" s="24" t="s">
        <v>2115</v>
      </c>
      <c r="C217" s="23" t="s">
        <v>1914</v>
      </c>
      <c r="D217" s="25" t="s">
        <v>2116</v>
      </c>
      <c r="E217" s="23" t="s">
        <v>2117</v>
      </c>
      <c r="F217" s="7" t="s">
        <v>1917</v>
      </c>
    </row>
    <row r="218" ht="22.5" customHeight="1">
      <c r="A218" s="23" t="s">
        <v>1804</v>
      </c>
      <c r="B218" s="24" t="s">
        <v>2118</v>
      </c>
      <c r="C218" s="23" t="s">
        <v>30</v>
      </c>
      <c r="D218" s="25" t="s">
        <v>2119</v>
      </c>
      <c r="E218" s="23" t="s">
        <v>2120</v>
      </c>
      <c r="F218" s="23"/>
    </row>
    <row r="219" ht="22.5" customHeight="1">
      <c r="A219" s="23" t="s">
        <v>1804</v>
      </c>
      <c r="B219" s="24" t="s">
        <v>2118</v>
      </c>
      <c r="C219" s="23" t="s">
        <v>30</v>
      </c>
      <c r="D219" s="25" t="s">
        <v>2121</v>
      </c>
      <c r="E219" s="23" t="s">
        <v>2120</v>
      </c>
      <c r="F219" s="23"/>
    </row>
    <row r="220" ht="22.5" customHeight="1">
      <c r="A220" s="23" t="s">
        <v>1804</v>
      </c>
      <c r="B220" s="24" t="s">
        <v>2118</v>
      </c>
      <c r="C220" s="23" t="s">
        <v>40</v>
      </c>
      <c r="D220" s="25" t="s">
        <v>2122</v>
      </c>
      <c r="E220" s="23" t="s">
        <v>2120</v>
      </c>
      <c r="F220" s="23"/>
    </row>
    <row r="221" ht="22.5" customHeight="1">
      <c r="A221" s="23" t="s">
        <v>1804</v>
      </c>
      <c r="B221" s="24" t="s">
        <v>2118</v>
      </c>
      <c r="C221" s="23" t="s">
        <v>43</v>
      </c>
      <c r="D221" s="25" t="s">
        <v>2123</v>
      </c>
      <c r="E221" s="23" t="s">
        <v>2120</v>
      </c>
      <c r="F221" s="23"/>
    </row>
    <row r="222" ht="22.5" customHeight="1">
      <c r="A222" s="23" t="s">
        <v>1804</v>
      </c>
      <c r="B222" s="24" t="s">
        <v>2118</v>
      </c>
      <c r="C222" s="23" t="s">
        <v>38</v>
      </c>
      <c r="D222" s="25" t="s">
        <v>2124</v>
      </c>
      <c r="E222" s="23" t="s">
        <v>2120</v>
      </c>
      <c r="F222" s="23"/>
    </row>
    <row r="223" ht="22.5" customHeight="1">
      <c r="A223" s="23" t="s">
        <v>1804</v>
      </c>
      <c r="B223" s="24" t="s">
        <v>2118</v>
      </c>
      <c r="C223" s="23" t="s">
        <v>36</v>
      </c>
      <c r="D223" s="25" t="s">
        <v>2125</v>
      </c>
      <c r="E223" s="23" t="s">
        <v>2120</v>
      </c>
      <c r="F223" s="23"/>
    </row>
    <row r="224" ht="22.5" customHeight="1">
      <c r="A224" s="23" t="s">
        <v>1789</v>
      </c>
      <c r="B224" s="24" t="s">
        <v>2126</v>
      </c>
      <c r="C224" s="23" t="s">
        <v>30</v>
      </c>
      <c r="D224" s="25" t="s">
        <v>2127</v>
      </c>
      <c r="E224" s="23" t="s">
        <v>2128</v>
      </c>
      <c r="F224" s="23"/>
    </row>
    <row r="225" ht="22.5" customHeight="1">
      <c r="A225" s="23" t="s">
        <v>1789</v>
      </c>
      <c r="B225" s="24" t="s">
        <v>2126</v>
      </c>
      <c r="C225" s="23" t="s">
        <v>30</v>
      </c>
      <c r="D225" s="25" t="s">
        <v>2129</v>
      </c>
      <c r="E225" s="23" t="s">
        <v>2128</v>
      </c>
      <c r="F225" s="23"/>
    </row>
    <row r="226" ht="22.5" customHeight="1">
      <c r="A226" s="23" t="s">
        <v>1789</v>
      </c>
      <c r="B226" s="24" t="s">
        <v>2126</v>
      </c>
      <c r="C226" s="23" t="s">
        <v>30</v>
      </c>
      <c r="D226" s="25" t="s">
        <v>2130</v>
      </c>
      <c r="E226" s="23" t="s">
        <v>2128</v>
      </c>
      <c r="F226" s="23"/>
    </row>
    <row r="227" ht="22.5" customHeight="1">
      <c r="A227" s="23" t="s">
        <v>1789</v>
      </c>
      <c r="B227" s="24" t="s">
        <v>2126</v>
      </c>
      <c r="C227" s="23" t="s">
        <v>30</v>
      </c>
      <c r="D227" s="25" t="s">
        <v>2131</v>
      </c>
      <c r="E227" s="23" t="s">
        <v>2128</v>
      </c>
      <c r="F227" s="23"/>
    </row>
    <row r="228" ht="22.5" customHeight="1">
      <c r="A228" s="23" t="s">
        <v>1789</v>
      </c>
      <c r="B228" s="24" t="s">
        <v>2126</v>
      </c>
      <c r="C228" s="23" t="s">
        <v>40</v>
      </c>
      <c r="D228" s="25" t="s">
        <v>2132</v>
      </c>
      <c r="E228" s="23" t="s">
        <v>2128</v>
      </c>
      <c r="F228" s="23"/>
    </row>
    <row r="229" ht="22.5" customHeight="1">
      <c r="A229" s="23" t="s">
        <v>1789</v>
      </c>
      <c r="B229" s="24" t="s">
        <v>2126</v>
      </c>
      <c r="C229" s="23" t="s">
        <v>43</v>
      </c>
      <c r="D229" s="25" t="s">
        <v>2133</v>
      </c>
      <c r="E229" s="23" t="s">
        <v>2128</v>
      </c>
      <c r="F229" s="23"/>
    </row>
    <row r="230" ht="22.5" customHeight="1">
      <c r="A230" s="23" t="s">
        <v>1789</v>
      </c>
      <c r="B230" s="24" t="s">
        <v>2126</v>
      </c>
      <c r="C230" s="23" t="s">
        <v>38</v>
      </c>
      <c r="D230" s="25" t="s">
        <v>2134</v>
      </c>
      <c r="E230" s="23" t="s">
        <v>2128</v>
      </c>
      <c r="F230" s="23"/>
    </row>
    <row r="231" ht="22.5" customHeight="1">
      <c r="A231" s="23" t="s">
        <v>1789</v>
      </c>
      <c r="B231" s="24" t="s">
        <v>2126</v>
      </c>
      <c r="C231" s="23" t="s">
        <v>36</v>
      </c>
      <c r="D231" s="25" t="s">
        <v>2135</v>
      </c>
      <c r="E231" s="23" t="s">
        <v>2128</v>
      </c>
      <c r="F231" s="23"/>
    </row>
    <row r="232" ht="22.5" customHeight="1">
      <c r="A232" s="23" t="s">
        <v>1819</v>
      </c>
      <c r="B232" s="24" t="s">
        <v>2136</v>
      </c>
      <c r="C232" s="23" t="s">
        <v>30</v>
      </c>
      <c r="D232" s="25" t="s">
        <v>2137</v>
      </c>
      <c r="E232" s="23" t="s">
        <v>2138</v>
      </c>
      <c r="F232" s="23"/>
    </row>
    <row r="233" ht="22.5" customHeight="1">
      <c r="A233" s="23" t="s">
        <v>1819</v>
      </c>
      <c r="B233" s="24" t="s">
        <v>2136</v>
      </c>
      <c r="C233" s="23" t="s">
        <v>43</v>
      </c>
      <c r="D233" s="25" t="s">
        <v>2139</v>
      </c>
      <c r="E233" s="23" t="s">
        <v>2138</v>
      </c>
      <c r="F233" s="23"/>
    </row>
    <row r="234" ht="22.5" customHeight="1">
      <c r="A234" s="23" t="s">
        <v>1854</v>
      </c>
      <c r="B234" s="24" t="s">
        <v>2140</v>
      </c>
      <c r="C234" s="23" t="s">
        <v>43</v>
      </c>
      <c r="D234" s="25" t="s">
        <v>2141</v>
      </c>
      <c r="E234" s="23" t="s">
        <v>2142</v>
      </c>
      <c r="F234" s="23"/>
    </row>
    <row r="235" ht="22.5" customHeight="1">
      <c r="A235" s="23" t="s">
        <v>1854</v>
      </c>
      <c r="B235" s="24" t="s">
        <v>2140</v>
      </c>
      <c r="C235" s="23" t="s">
        <v>40</v>
      </c>
      <c r="D235" s="25" t="s">
        <v>2143</v>
      </c>
      <c r="E235" s="23" t="s">
        <v>2142</v>
      </c>
      <c r="F235" s="23"/>
    </row>
    <row r="236" ht="22.5" customHeight="1">
      <c r="A236" s="23" t="s">
        <v>1845</v>
      </c>
      <c r="B236" s="24" t="s">
        <v>2144</v>
      </c>
      <c r="C236" s="23" t="s">
        <v>30</v>
      </c>
      <c r="D236" s="25" t="s">
        <v>2145</v>
      </c>
      <c r="E236" s="23" t="s">
        <v>2146</v>
      </c>
      <c r="F236" s="23"/>
    </row>
    <row r="237" ht="22.5" customHeight="1">
      <c r="A237" s="23" t="s">
        <v>1845</v>
      </c>
      <c r="B237" s="24" t="s">
        <v>2144</v>
      </c>
      <c r="C237" s="23" t="s">
        <v>30</v>
      </c>
      <c r="D237" s="25" t="s">
        <v>2147</v>
      </c>
      <c r="E237" s="23" t="s">
        <v>2146</v>
      </c>
      <c r="F237" s="23"/>
    </row>
    <row r="238" ht="22.5" customHeight="1">
      <c r="A238" s="23" t="s">
        <v>1845</v>
      </c>
      <c r="B238" s="24" t="s">
        <v>2144</v>
      </c>
      <c r="C238" s="23" t="s">
        <v>40</v>
      </c>
      <c r="D238" s="25" t="s">
        <v>2148</v>
      </c>
      <c r="E238" s="23" t="s">
        <v>2146</v>
      </c>
      <c r="F238" s="23"/>
    </row>
    <row r="239" ht="22.5" customHeight="1">
      <c r="A239" s="23" t="s">
        <v>1845</v>
      </c>
      <c r="B239" s="24" t="s">
        <v>2144</v>
      </c>
      <c r="C239" s="23" t="s">
        <v>43</v>
      </c>
      <c r="D239" s="25" t="s">
        <v>2149</v>
      </c>
      <c r="E239" s="23" t="s">
        <v>2146</v>
      </c>
      <c r="F239" s="23"/>
    </row>
    <row r="240" ht="22.5" customHeight="1">
      <c r="A240" s="23" t="s">
        <v>1845</v>
      </c>
      <c r="B240" s="24" t="s">
        <v>2144</v>
      </c>
      <c r="C240" s="23" t="s">
        <v>38</v>
      </c>
      <c r="D240" s="25" t="s">
        <v>2150</v>
      </c>
      <c r="E240" s="23" t="s">
        <v>2146</v>
      </c>
      <c r="F240" s="23"/>
    </row>
    <row r="241" ht="22.5" customHeight="1">
      <c r="A241" s="23" t="s">
        <v>1845</v>
      </c>
      <c r="B241" s="24" t="s">
        <v>2144</v>
      </c>
      <c r="C241" s="23" t="s">
        <v>36</v>
      </c>
      <c r="D241" s="25" t="s">
        <v>2151</v>
      </c>
      <c r="E241" s="23" t="s">
        <v>2146</v>
      </c>
      <c r="F241" s="23"/>
    </row>
    <row r="242" ht="22.5" customHeight="1">
      <c r="A242" s="23" t="s">
        <v>1918</v>
      </c>
      <c r="B242" s="24" t="s">
        <v>2152</v>
      </c>
      <c r="C242" s="23" t="s">
        <v>30</v>
      </c>
      <c r="D242" s="25" t="s">
        <v>2153</v>
      </c>
      <c r="E242" s="23" t="s">
        <v>2154</v>
      </c>
      <c r="F242" s="23"/>
    </row>
    <row r="243" ht="22.5" customHeight="1">
      <c r="A243" s="23" t="s">
        <v>1918</v>
      </c>
      <c r="B243" s="24" t="s">
        <v>2152</v>
      </c>
      <c r="C243" s="23" t="s">
        <v>30</v>
      </c>
      <c r="D243" s="25" t="s">
        <v>2155</v>
      </c>
      <c r="E243" s="23" t="s">
        <v>2154</v>
      </c>
      <c r="F243" s="23"/>
    </row>
    <row r="244" ht="22.5" customHeight="1">
      <c r="A244" s="23" t="s">
        <v>1918</v>
      </c>
      <c r="B244" s="24" t="s">
        <v>2152</v>
      </c>
      <c r="C244" s="23" t="s">
        <v>40</v>
      </c>
      <c r="D244" s="25" t="s">
        <v>2156</v>
      </c>
      <c r="E244" s="23" t="s">
        <v>2154</v>
      </c>
      <c r="F244" s="23"/>
    </row>
    <row r="245" ht="22.5" customHeight="1">
      <c r="A245" s="23" t="s">
        <v>1918</v>
      </c>
      <c r="B245" s="24" t="s">
        <v>2152</v>
      </c>
      <c r="C245" s="23" t="s">
        <v>43</v>
      </c>
      <c r="D245" s="25" t="s">
        <v>2157</v>
      </c>
      <c r="E245" s="23" t="s">
        <v>2154</v>
      </c>
      <c r="F245" s="23"/>
    </row>
    <row r="246" ht="22.5" customHeight="1">
      <c r="A246" s="23" t="s">
        <v>1918</v>
      </c>
      <c r="B246" s="24" t="s">
        <v>2152</v>
      </c>
      <c r="C246" s="23" t="s">
        <v>38</v>
      </c>
      <c r="D246" s="25" t="s">
        <v>2158</v>
      </c>
      <c r="E246" s="23" t="s">
        <v>2154</v>
      </c>
      <c r="F246" s="23"/>
    </row>
    <row r="247" ht="22.5" customHeight="1">
      <c r="A247" s="23" t="s">
        <v>1918</v>
      </c>
      <c r="B247" s="24" t="s">
        <v>2152</v>
      </c>
      <c r="C247" s="23" t="s">
        <v>36</v>
      </c>
      <c r="D247" s="25" t="s">
        <v>2159</v>
      </c>
      <c r="E247" s="23" t="s">
        <v>2154</v>
      </c>
      <c r="F247" s="23"/>
    </row>
    <row r="248" ht="22.5" customHeight="1">
      <c r="A248" s="23" t="s">
        <v>1845</v>
      </c>
      <c r="B248" s="24" t="s">
        <v>2160</v>
      </c>
      <c r="C248" s="23" t="s">
        <v>30</v>
      </c>
      <c r="D248" s="25" t="s">
        <v>2161</v>
      </c>
      <c r="E248" s="23" t="s">
        <v>2162</v>
      </c>
      <c r="F248" s="23"/>
    </row>
    <row r="249" ht="22.5" customHeight="1">
      <c r="A249" s="23" t="s">
        <v>1845</v>
      </c>
      <c r="B249" s="24" t="s">
        <v>2160</v>
      </c>
      <c r="C249" s="23" t="s">
        <v>30</v>
      </c>
      <c r="D249" s="25" t="s">
        <v>2163</v>
      </c>
      <c r="E249" s="23" t="s">
        <v>2162</v>
      </c>
      <c r="F249" s="23"/>
    </row>
    <row r="250" ht="22.5" customHeight="1">
      <c r="A250" s="23" t="s">
        <v>1845</v>
      </c>
      <c r="B250" s="24" t="s">
        <v>2160</v>
      </c>
      <c r="C250" s="23" t="s">
        <v>40</v>
      </c>
      <c r="D250" s="25" t="s">
        <v>2164</v>
      </c>
      <c r="E250" s="23" t="s">
        <v>2162</v>
      </c>
      <c r="F250" s="23"/>
    </row>
    <row r="251" ht="22.5" customHeight="1">
      <c r="A251" s="23" t="s">
        <v>1845</v>
      </c>
      <c r="B251" s="24" t="s">
        <v>2160</v>
      </c>
      <c r="C251" s="23" t="s">
        <v>43</v>
      </c>
      <c r="D251" s="25" t="s">
        <v>2165</v>
      </c>
      <c r="E251" s="23" t="s">
        <v>2162</v>
      </c>
      <c r="F251" s="23"/>
    </row>
    <row r="252" ht="22.5" customHeight="1">
      <c r="A252" s="23" t="s">
        <v>1845</v>
      </c>
      <c r="B252" s="24" t="s">
        <v>2160</v>
      </c>
      <c r="C252" s="23" t="s">
        <v>38</v>
      </c>
      <c r="D252" s="25" t="s">
        <v>2166</v>
      </c>
      <c r="E252" s="23" t="s">
        <v>2162</v>
      </c>
      <c r="F252" s="23"/>
    </row>
    <row r="253" ht="22.5" customHeight="1">
      <c r="A253" s="23" t="s">
        <v>1845</v>
      </c>
      <c r="B253" s="24" t="s">
        <v>2160</v>
      </c>
      <c r="C253" s="23" t="s">
        <v>36</v>
      </c>
      <c r="D253" s="25" t="s">
        <v>2167</v>
      </c>
      <c r="E253" s="23" t="s">
        <v>2162</v>
      </c>
      <c r="F253" s="23"/>
    </row>
    <row r="254" ht="22.5" customHeight="1">
      <c r="A254" s="23" t="s">
        <v>1869</v>
      </c>
      <c r="B254" s="24" t="s">
        <v>2168</v>
      </c>
      <c r="C254" s="23" t="s">
        <v>30</v>
      </c>
      <c r="D254" s="25" t="s">
        <v>2169</v>
      </c>
      <c r="E254" s="23" t="s">
        <v>2170</v>
      </c>
      <c r="F254" s="23"/>
    </row>
    <row r="255" ht="22.5" customHeight="1">
      <c r="A255" s="23" t="s">
        <v>1869</v>
      </c>
      <c r="B255" s="24" t="s">
        <v>2168</v>
      </c>
      <c r="C255" s="23" t="s">
        <v>40</v>
      </c>
      <c r="D255" s="25" t="s">
        <v>2171</v>
      </c>
      <c r="E255" s="23" t="s">
        <v>2170</v>
      </c>
      <c r="F255" s="23"/>
    </row>
    <row r="256" ht="22.5" customHeight="1">
      <c r="A256" s="23" t="s">
        <v>1869</v>
      </c>
      <c r="B256" s="24" t="s">
        <v>2168</v>
      </c>
      <c r="C256" s="23" t="s">
        <v>43</v>
      </c>
      <c r="D256" s="25" t="s">
        <v>2172</v>
      </c>
      <c r="E256" s="23" t="s">
        <v>2170</v>
      </c>
      <c r="F256" s="23"/>
    </row>
    <row r="257" ht="22.5" customHeight="1">
      <c r="A257" s="23" t="s">
        <v>1869</v>
      </c>
      <c r="B257" s="24" t="s">
        <v>2168</v>
      </c>
      <c r="C257" s="23" t="s">
        <v>38</v>
      </c>
      <c r="D257" s="25" t="s">
        <v>2173</v>
      </c>
      <c r="E257" s="23" t="s">
        <v>2170</v>
      </c>
      <c r="F257" s="23"/>
    </row>
    <row r="258" ht="22.5" customHeight="1">
      <c r="A258" s="23" t="s">
        <v>1869</v>
      </c>
      <c r="B258" s="24" t="s">
        <v>2168</v>
      </c>
      <c r="C258" s="23" t="s">
        <v>36</v>
      </c>
      <c r="D258" s="25" t="s">
        <v>2174</v>
      </c>
      <c r="E258" s="23" t="s">
        <v>2170</v>
      </c>
      <c r="F258" s="23"/>
    </row>
    <row r="259" ht="22.5" customHeight="1">
      <c r="A259" s="23" t="s">
        <v>1878</v>
      </c>
      <c r="B259" s="24" t="s">
        <v>2175</v>
      </c>
      <c r="C259" s="23" t="s">
        <v>30</v>
      </c>
      <c r="D259" s="25" t="s">
        <v>2176</v>
      </c>
      <c r="E259" s="23" t="s">
        <v>2177</v>
      </c>
      <c r="F259" s="23"/>
    </row>
    <row r="260" ht="22.5" customHeight="1">
      <c r="A260" s="23" t="s">
        <v>1783</v>
      </c>
      <c r="B260" s="24" t="s">
        <v>2178</v>
      </c>
      <c r="C260" s="23" t="s">
        <v>40</v>
      </c>
      <c r="D260" s="25" t="s">
        <v>2179</v>
      </c>
      <c r="E260" s="23" t="s">
        <v>2180</v>
      </c>
      <c r="F260" s="23"/>
    </row>
    <row r="261" ht="22.5" customHeight="1">
      <c r="A261" s="23" t="s">
        <v>1858</v>
      </c>
      <c r="B261" s="24" t="s">
        <v>2181</v>
      </c>
      <c r="C261" s="23" t="s">
        <v>30</v>
      </c>
      <c r="D261" s="25" t="s">
        <v>2182</v>
      </c>
      <c r="E261" s="23" t="s">
        <v>2183</v>
      </c>
      <c r="F261" s="23"/>
    </row>
    <row r="262" ht="22.5" customHeight="1">
      <c r="A262" s="23" t="s">
        <v>1858</v>
      </c>
      <c r="B262" s="24" t="s">
        <v>2181</v>
      </c>
      <c r="C262" s="23" t="s">
        <v>30</v>
      </c>
      <c r="D262" s="25" t="s">
        <v>2184</v>
      </c>
      <c r="E262" s="23" t="s">
        <v>2183</v>
      </c>
      <c r="F262" s="23"/>
    </row>
    <row r="263" ht="22.5" customHeight="1">
      <c r="A263" s="23" t="s">
        <v>1858</v>
      </c>
      <c r="B263" s="24" t="s">
        <v>2181</v>
      </c>
      <c r="C263" s="23" t="s">
        <v>40</v>
      </c>
      <c r="D263" s="25" t="s">
        <v>2185</v>
      </c>
      <c r="E263" s="23" t="s">
        <v>2183</v>
      </c>
      <c r="F263" s="23"/>
    </row>
    <row r="264" ht="22.5" customHeight="1">
      <c r="A264" s="23" t="s">
        <v>1858</v>
      </c>
      <c r="B264" s="24" t="s">
        <v>2181</v>
      </c>
      <c r="C264" s="23" t="s">
        <v>43</v>
      </c>
      <c r="D264" s="25" t="s">
        <v>2186</v>
      </c>
      <c r="E264" s="23" t="s">
        <v>2183</v>
      </c>
      <c r="F264" s="23"/>
    </row>
    <row r="265" ht="22.5" customHeight="1">
      <c r="A265" s="23" t="s">
        <v>1858</v>
      </c>
      <c r="B265" s="24" t="s">
        <v>2181</v>
      </c>
      <c r="C265" s="23" t="s">
        <v>38</v>
      </c>
      <c r="D265" s="25" t="s">
        <v>2187</v>
      </c>
      <c r="E265" s="23" t="s">
        <v>2183</v>
      </c>
      <c r="F265" s="23"/>
    </row>
    <row r="266" ht="22.5" customHeight="1">
      <c r="A266" s="23" t="s">
        <v>1858</v>
      </c>
      <c r="B266" s="24" t="s">
        <v>2181</v>
      </c>
      <c r="C266" s="23" t="s">
        <v>36</v>
      </c>
      <c r="D266" s="25" t="s">
        <v>2188</v>
      </c>
      <c r="E266" s="23" t="s">
        <v>2183</v>
      </c>
      <c r="F266" s="23"/>
    </row>
    <row r="267" ht="22.5" customHeight="1">
      <c r="A267" s="23" t="s">
        <v>1845</v>
      </c>
      <c r="B267" s="24" t="s">
        <v>2189</v>
      </c>
      <c r="C267" s="23" t="s">
        <v>1914</v>
      </c>
      <c r="D267" s="25" t="s">
        <v>2190</v>
      </c>
      <c r="E267" s="23" t="s">
        <v>2191</v>
      </c>
      <c r="F267" s="7" t="s">
        <v>1917</v>
      </c>
    </row>
    <row r="268" ht="22.5" customHeight="1">
      <c r="A268" s="23" t="s">
        <v>1878</v>
      </c>
      <c r="B268" s="24" t="s">
        <v>2192</v>
      </c>
      <c r="C268" s="23" t="s">
        <v>43</v>
      </c>
      <c r="D268" s="25" t="s">
        <v>2193</v>
      </c>
      <c r="E268" s="23" t="s">
        <v>2194</v>
      </c>
      <c r="F268" s="23"/>
    </row>
    <row r="269" ht="22.5" customHeight="1">
      <c r="A269" s="23" t="s">
        <v>1878</v>
      </c>
      <c r="B269" s="24" t="s">
        <v>2192</v>
      </c>
      <c r="C269" s="23" t="s">
        <v>40</v>
      </c>
      <c r="D269" s="25" t="s">
        <v>2195</v>
      </c>
      <c r="E269" s="23" t="s">
        <v>2177</v>
      </c>
      <c r="F269" s="23"/>
    </row>
    <row r="270" ht="22.5" customHeight="1">
      <c r="A270" s="23" t="s">
        <v>1878</v>
      </c>
      <c r="B270" s="24" t="s">
        <v>2196</v>
      </c>
      <c r="C270" s="23" t="s">
        <v>30</v>
      </c>
      <c r="D270" s="25" t="s">
        <v>2197</v>
      </c>
      <c r="E270" s="23" t="s">
        <v>1881</v>
      </c>
      <c r="F270" s="23"/>
    </row>
    <row r="271" ht="22.5" customHeight="1">
      <c r="A271" s="23" t="s">
        <v>2034</v>
      </c>
      <c r="B271" s="24" t="s">
        <v>2198</v>
      </c>
      <c r="C271" s="23" t="s">
        <v>30</v>
      </c>
      <c r="D271" s="25" t="s">
        <v>2199</v>
      </c>
      <c r="E271" s="23" t="s">
        <v>2200</v>
      </c>
      <c r="F271" s="23"/>
    </row>
    <row r="272" ht="22.5" customHeight="1">
      <c r="A272" s="23" t="s">
        <v>2034</v>
      </c>
      <c r="B272" s="24" t="s">
        <v>2198</v>
      </c>
      <c r="C272" s="23" t="s">
        <v>30</v>
      </c>
      <c r="D272" s="25" t="s">
        <v>2201</v>
      </c>
      <c r="E272" s="23" t="s">
        <v>2200</v>
      </c>
      <c r="F272" s="23"/>
    </row>
    <row r="273" ht="22.5" customHeight="1">
      <c r="A273" s="23" t="s">
        <v>2034</v>
      </c>
      <c r="B273" s="24" t="s">
        <v>2198</v>
      </c>
      <c r="C273" s="23" t="s">
        <v>40</v>
      </c>
      <c r="D273" s="25" t="s">
        <v>2202</v>
      </c>
      <c r="E273" s="23" t="s">
        <v>2200</v>
      </c>
      <c r="F273" s="23"/>
    </row>
    <row r="274" ht="22.5" customHeight="1">
      <c r="A274" s="23" t="s">
        <v>2034</v>
      </c>
      <c r="B274" s="24" t="s">
        <v>2198</v>
      </c>
      <c r="C274" s="23" t="s">
        <v>43</v>
      </c>
      <c r="D274" s="25" t="s">
        <v>2203</v>
      </c>
      <c r="E274" s="23" t="s">
        <v>2200</v>
      </c>
      <c r="F274" s="23"/>
    </row>
    <row r="275" ht="22.5" customHeight="1">
      <c r="A275" s="23" t="s">
        <v>2034</v>
      </c>
      <c r="B275" s="24" t="s">
        <v>2198</v>
      </c>
      <c r="C275" s="23" t="s">
        <v>38</v>
      </c>
      <c r="D275" s="25" t="s">
        <v>2204</v>
      </c>
      <c r="E275" s="23" t="s">
        <v>2200</v>
      </c>
      <c r="F275" s="23"/>
    </row>
    <row r="276" ht="22.5" customHeight="1">
      <c r="A276" s="23" t="s">
        <v>2034</v>
      </c>
      <c r="B276" s="24" t="s">
        <v>2198</v>
      </c>
      <c r="C276" s="23" t="s">
        <v>36</v>
      </c>
      <c r="D276" s="25" t="s">
        <v>2205</v>
      </c>
      <c r="E276" s="23" t="s">
        <v>2200</v>
      </c>
      <c r="F276" s="23"/>
    </row>
    <row r="277" ht="22.5" customHeight="1">
      <c r="A277" s="23" t="s">
        <v>1836</v>
      </c>
      <c r="B277" s="24" t="s">
        <v>2206</v>
      </c>
      <c r="C277" s="23" t="s">
        <v>30</v>
      </c>
      <c r="D277" s="25" t="s">
        <v>2207</v>
      </c>
      <c r="E277" s="23" t="s">
        <v>2208</v>
      </c>
      <c r="F277" s="23"/>
    </row>
    <row r="278" ht="22.5" customHeight="1">
      <c r="A278" s="23" t="s">
        <v>1836</v>
      </c>
      <c r="B278" s="24" t="s">
        <v>2206</v>
      </c>
      <c r="C278" s="23" t="s">
        <v>40</v>
      </c>
      <c r="D278" s="25" t="s">
        <v>2209</v>
      </c>
      <c r="E278" s="23" t="s">
        <v>2208</v>
      </c>
      <c r="F278" s="23"/>
    </row>
    <row r="279" ht="22.5" customHeight="1">
      <c r="A279" s="23" t="s">
        <v>1836</v>
      </c>
      <c r="B279" s="24" t="s">
        <v>2206</v>
      </c>
      <c r="C279" s="23" t="s">
        <v>43</v>
      </c>
      <c r="D279" s="25" t="s">
        <v>2210</v>
      </c>
      <c r="E279" s="23" t="s">
        <v>2208</v>
      </c>
      <c r="F279" s="23"/>
    </row>
    <row r="280" ht="22.5" customHeight="1">
      <c r="A280" s="23" t="s">
        <v>1836</v>
      </c>
      <c r="B280" s="24" t="s">
        <v>2206</v>
      </c>
      <c r="C280" s="23" t="s">
        <v>38</v>
      </c>
      <c r="D280" s="25" t="s">
        <v>2211</v>
      </c>
      <c r="E280" s="23" t="s">
        <v>2208</v>
      </c>
      <c r="F280" s="23"/>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30.88"/>
    <col customWidth="1" min="4" max="4" width="64.5"/>
    <col customWidth="1" min="5" max="6" width="21.0"/>
  </cols>
  <sheetData>
    <row r="1" ht="30.0" customHeight="1">
      <c r="A1" s="5" t="s">
        <v>1781</v>
      </c>
      <c r="B1" s="6" t="s">
        <v>7</v>
      </c>
      <c r="C1" s="5" t="s">
        <v>8</v>
      </c>
      <c r="D1" s="5" t="s">
        <v>2212</v>
      </c>
      <c r="E1" s="26" t="s">
        <v>10</v>
      </c>
      <c r="F1" s="5" t="s">
        <v>11</v>
      </c>
    </row>
    <row r="2" ht="22.5" customHeight="1">
      <c r="A2" s="7" t="s">
        <v>2213</v>
      </c>
      <c r="B2" s="8" t="s">
        <v>2214</v>
      </c>
      <c r="C2" s="7" t="s">
        <v>16</v>
      </c>
      <c r="D2" s="7" t="s">
        <v>2215</v>
      </c>
      <c r="E2" s="7"/>
      <c r="F2" s="7" t="s">
        <v>2216</v>
      </c>
    </row>
    <row r="3" ht="22.5" customHeight="1">
      <c r="A3" s="7" t="s">
        <v>2217</v>
      </c>
      <c r="B3" s="8" t="s">
        <v>2218</v>
      </c>
      <c r="C3" s="7" t="s">
        <v>30</v>
      </c>
      <c r="D3" s="7" t="s">
        <v>2219</v>
      </c>
      <c r="E3" s="7"/>
      <c r="F3" s="7" t="s">
        <v>16</v>
      </c>
    </row>
    <row r="4" ht="22.5" customHeight="1">
      <c r="A4" s="7" t="s">
        <v>2217</v>
      </c>
      <c r="B4" s="8" t="s">
        <v>2218</v>
      </c>
      <c r="C4" s="7" t="s">
        <v>598</v>
      </c>
      <c r="D4" s="7" t="s">
        <v>2220</v>
      </c>
      <c r="E4" s="7"/>
      <c r="F4" s="7" t="s">
        <v>16</v>
      </c>
    </row>
    <row r="5" ht="22.5" customHeight="1">
      <c r="A5" s="7" t="s">
        <v>2217</v>
      </c>
      <c r="B5" s="8" t="s">
        <v>2218</v>
      </c>
      <c r="C5" s="7" t="s">
        <v>36</v>
      </c>
      <c r="D5" s="7" t="s">
        <v>2221</v>
      </c>
      <c r="E5" s="7"/>
      <c r="F5" s="7" t="s">
        <v>16</v>
      </c>
    </row>
    <row r="6" ht="22.5" customHeight="1">
      <c r="A6" s="7" t="s">
        <v>2217</v>
      </c>
      <c r="B6" s="8" t="s">
        <v>2218</v>
      </c>
      <c r="C6" s="7" t="s">
        <v>230</v>
      </c>
      <c r="D6" s="7" t="s">
        <v>2222</v>
      </c>
      <c r="E6" s="7"/>
      <c r="F6" s="7" t="s">
        <v>16</v>
      </c>
    </row>
    <row r="7" ht="22.5" customHeight="1">
      <c r="A7" s="7" t="s">
        <v>2217</v>
      </c>
      <c r="B7" s="8" t="s">
        <v>2218</v>
      </c>
      <c r="C7" s="7" t="s">
        <v>38</v>
      </c>
      <c r="D7" s="7" t="s">
        <v>2223</v>
      </c>
      <c r="E7" s="7"/>
      <c r="F7" s="7" t="s">
        <v>16</v>
      </c>
    </row>
    <row r="8" ht="22.5" customHeight="1">
      <c r="A8" s="7" t="s">
        <v>2217</v>
      </c>
      <c r="B8" s="8" t="s">
        <v>2218</v>
      </c>
      <c r="C8" s="7" t="s">
        <v>233</v>
      </c>
      <c r="D8" s="7" t="s">
        <v>2224</v>
      </c>
      <c r="E8" s="7"/>
      <c r="F8" s="7" t="s">
        <v>16</v>
      </c>
    </row>
    <row r="9" ht="22.5" customHeight="1">
      <c r="A9" s="7" t="s">
        <v>2217</v>
      </c>
      <c r="B9" s="8" t="s">
        <v>2218</v>
      </c>
      <c r="C9" s="7" t="s">
        <v>40</v>
      </c>
      <c r="D9" s="7" t="s">
        <v>2225</v>
      </c>
      <c r="E9" s="7"/>
      <c r="F9" s="7" t="s">
        <v>16</v>
      </c>
    </row>
    <row r="10" ht="22.5" customHeight="1">
      <c r="A10" s="7" t="s">
        <v>2217</v>
      </c>
      <c r="B10" s="8" t="s">
        <v>2218</v>
      </c>
      <c r="C10" s="7" t="s">
        <v>236</v>
      </c>
      <c r="D10" s="7" t="s">
        <v>2226</v>
      </c>
      <c r="E10" s="7"/>
      <c r="F10" s="7" t="s">
        <v>16</v>
      </c>
    </row>
    <row r="11" ht="22.5" customHeight="1">
      <c r="A11" s="7" t="s">
        <v>2217</v>
      </c>
      <c r="B11" s="8" t="s">
        <v>2218</v>
      </c>
      <c r="C11" s="7" t="s">
        <v>43</v>
      </c>
      <c r="D11" s="7" t="s">
        <v>2227</v>
      </c>
      <c r="E11" s="7"/>
      <c r="F11" s="7" t="s">
        <v>16</v>
      </c>
    </row>
    <row r="12" ht="22.5" customHeight="1">
      <c r="A12" s="7" t="s">
        <v>2217</v>
      </c>
      <c r="B12" s="8" t="s">
        <v>2218</v>
      </c>
      <c r="C12" s="7" t="s">
        <v>239</v>
      </c>
      <c r="D12" s="7" t="s">
        <v>2228</v>
      </c>
      <c r="E12" s="7"/>
      <c r="F12" s="7" t="s">
        <v>16</v>
      </c>
    </row>
    <row r="13" ht="22.5" customHeight="1">
      <c r="A13" s="7" t="s">
        <v>2217</v>
      </c>
      <c r="B13" s="8" t="s">
        <v>2218</v>
      </c>
      <c r="C13" s="7" t="s">
        <v>103</v>
      </c>
      <c r="D13" s="7" t="s">
        <v>2229</v>
      </c>
      <c r="E13" s="7"/>
      <c r="F13" s="7" t="s">
        <v>16</v>
      </c>
    </row>
    <row r="14" ht="22.5" customHeight="1">
      <c r="A14" s="7" t="s">
        <v>2230</v>
      </c>
      <c r="B14" s="8" t="s">
        <v>2231</v>
      </c>
      <c r="C14" s="7" t="s">
        <v>30</v>
      </c>
      <c r="D14" s="7" t="s">
        <v>2232</v>
      </c>
      <c r="E14" s="7"/>
      <c r="F14" s="7" t="s">
        <v>16</v>
      </c>
    </row>
    <row r="15" ht="22.5" customHeight="1">
      <c r="A15" s="7" t="s">
        <v>2230</v>
      </c>
      <c r="B15" s="8" t="s">
        <v>2231</v>
      </c>
      <c r="C15" s="7" t="s">
        <v>598</v>
      </c>
      <c r="D15" s="7" t="s">
        <v>2233</v>
      </c>
      <c r="E15" s="7"/>
      <c r="F15" s="7" t="s">
        <v>16</v>
      </c>
    </row>
    <row r="16" ht="22.5" customHeight="1">
      <c r="A16" s="7" t="s">
        <v>2230</v>
      </c>
      <c r="B16" s="8" t="s">
        <v>2231</v>
      </c>
      <c r="C16" s="7" t="s">
        <v>36</v>
      </c>
      <c r="D16" s="7" t="s">
        <v>2234</v>
      </c>
      <c r="E16" s="7"/>
      <c r="F16" s="7" t="s">
        <v>16</v>
      </c>
    </row>
    <row r="17" ht="22.5" customHeight="1">
      <c r="A17" s="7" t="s">
        <v>2230</v>
      </c>
      <c r="B17" s="8" t="s">
        <v>2231</v>
      </c>
      <c r="C17" s="7" t="s">
        <v>230</v>
      </c>
      <c r="D17" s="7" t="s">
        <v>2235</v>
      </c>
      <c r="E17" s="7"/>
      <c r="F17" s="7" t="s">
        <v>16</v>
      </c>
    </row>
    <row r="18" ht="22.5" customHeight="1">
      <c r="A18" s="7" t="s">
        <v>2230</v>
      </c>
      <c r="B18" s="8" t="s">
        <v>2231</v>
      </c>
      <c r="C18" s="7" t="s">
        <v>38</v>
      </c>
      <c r="D18" s="7" t="s">
        <v>2236</v>
      </c>
      <c r="E18" s="7"/>
      <c r="F18" s="7" t="s">
        <v>16</v>
      </c>
    </row>
    <row r="19" ht="22.5" customHeight="1">
      <c r="A19" s="7" t="s">
        <v>2230</v>
      </c>
      <c r="B19" s="8" t="s">
        <v>2231</v>
      </c>
      <c r="C19" s="7" t="s">
        <v>233</v>
      </c>
      <c r="D19" s="7" t="s">
        <v>2237</v>
      </c>
      <c r="E19" s="7"/>
      <c r="F19" s="7" t="s">
        <v>16</v>
      </c>
    </row>
    <row r="20" ht="22.5" customHeight="1">
      <c r="A20" s="7" t="s">
        <v>2230</v>
      </c>
      <c r="B20" s="8" t="s">
        <v>2231</v>
      </c>
      <c r="C20" s="7" t="s">
        <v>40</v>
      </c>
      <c r="D20" s="7" t="s">
        <v>2238</v>
      </c>
      <c r="E20" s="7"/>
      <c r="F20" s="7" t="s">
        <v>16</v>
      </c>
    </row>
    <row r="21" ht="22.5" customHeight="1">
      <c r="A21" s="7" t="s">
        <v>2230</v>
      </c>
      <c r="B21" s="8" t="s">
        <v>2231</v>
      </c>
      <c r="C21" s="7" t="s">
        <v>236</v>
      </c>
      <c r="D21" s="7" t="s">
        <v>2239</v>
      </c>
      <c r="E21" s="7"/>
      <c r="F21" s="7" t="s">
        <v>16</v>
      </c>
    </row>
    <row r="22" ht="22.5" customHeight="1">
      <c r="A22" s="7" t="s">
        <v>2230</v>
      </c>
      <c r="B22" s="8" t="s">
        <v>2231</v>
      </c>
      <c r="C22" s="7" t="s">
        <v>43</v>
      </c>
      <c r="D22" s="7" t="s">
        <v>2240</v>
      </c>
      <c r="E22" s="7"/>
      <c r="F22" s="7" t="s">
        <v>16</v>
      </c>
    </row>
    <row r="23" ht="22.5" customHeight="1">
      <c r="A23" s="7" t="s">
        <v>2230</v>
      </c>
      <c r="B23" s="8" t="s">
        <v>2231</v>
      </c>
      <c r="C23" s="7" t="s">
        <v>239</v>
      </c>
      <c r="D23" s="7" t="s">
        <v>2241</v>
      </c>
      <c r="E23" s="7"/>
      <c r="F23" s="7" t="s">
        <v>16</v>
      </c>
    </row>
    <row r="24" ht="22.5" customHeight="1">
      <c r="A24" s="7" t="s">
        <v>2230</v>
      </c>
      <c r="B24" s="8" t="s">
        <v>2231</v>
      </c>
      <c r="C24" s="7" t="s">
        <v>103</v>
      </c>
      <c r="D24" s="7" t="s">
        <v>2242</v>
      </c>
      <c r="E24" s="7"/>
      <c r="F24" s="7" t="s">
        <v>16</v>
      </c>
    </row>
    <row r="25" ht="22.5" customHeight="1">
      <c r="A25" s="7" t="s">
        <v>2230</v>
      </c>
      <c r="B25" s="8" t="s">
        <v>2243</v>
      </c>
      <c r="C25" s="7" t="s">
        <v>38</v>
      </c>
      <c r="D25" s="7" t="s">
        <v>2244</v>
      </c>
      <c r="E25" s="7" t="s">
        <v>48</v>
      </c>
      <c r="F25" s="7" t="s">
        <v>1917</v>
      </c>
    </row>
    <row r="26" ht="22.5" customHeight="1">
      <c r="A26" s="7" t="s">
        <v>2230</v>
      </c>
      <c r="B26" s="8" t="s">
        <v>2243</v>
      </c>
      <c r="C26" s="7" t="s">
        <v>233</v>
      </c>
      <c r="D26" s="7" t="s">
        <v>2245</v>
      </c>
      <c r="E26" s="7" t="s">
        <v>48</v>
      </c>
      <c r="F26" s="7" t="s">
        <v>1917</v>
      </c>
    </row>
    <row r="27" ht="22.5" customHeight="1">
      <c r="A27" s="7" t="s">
        <v>2230</v>
      </c>
      <c r="B27" s="8" t="s">
        <v>2243</v>
      </c>
      <c r="C27" s="7" t="s">
        <v>40</v>
      </c>
      <c r="D27" s="7" t="s">
        <v>2246</v>
      </c>
      <c r="E27" s="7" t="s">
        <v>48</v>
      </c>
      <c r="F27" s="7" t="s">
        <v>1917</v>
      </c>
    </row>
    <row r="28" ht="22.5" customHeight="1">
      <c r="A28" s="7" t="s">
        <v>2230</v>
      </c>
      <c r="B28" s="8" t="s">
        <v>2243</v>
      </c>
      <c r="C28" s="7" t="s">
        <v>236</v>
      </c>
      <c r="D28" s="7" t="s">
        <v>2247</v>
      </c>
      <c r="E28" s="7" t="s">
        <v>48</v>
      </c>
      <c r="F28" s="7" t="s">
        <v>1917</v>
      </c>
    </row>
    <row r="29" ht="22.5" customHeight="1">
      <c r="A29" s="7" t="s">
        <v>2230</v>
      </c>
      <c r="B29" s="8" t="s">
        <v>2243</v>
      </c>
      <c r="C29" s="7" t="s">
        <v>43</v>
      </c>
      <c r="D29" s="7" t="s">
        <v>2248</v>
      </c>
      <c r="E29" s="7" t="s">
        <v>48</v>
      </c>
      <c r="F29" s="7" t="s">
        <v>1917</v>
      </c>
    </row>
    <row r="30" ht="22.5" customHeight="1">
      <c r="A30" s="7" t="s">
        <v>2230</v>
      </c>
      <c r="B30" s="8" t="s">
        <v>2243</v>
      </c>
      <c r="C30" s="7" t="s">
        <v>239</v>
      </c>
      <c r="D30" s="7" t="s">
        <v>2249</v>
      </c>
      <c r="E30" s="7" t="s">
        <v>48</v>
      </c>
      <c r="F30" s="7" t="s">
        <v>1917</v>
      </c>
    </row>
    <row r="31" ht="22.5" customHeight="1">
      <c r="A31" s="7" t="s">
        <v>2230</v>
      </c>
      <c r="B31" s="8" t="s">
        <v>2243</v>
      </c>
      <c r="C31" s="7" t="s">
        <v>103</v>
      </c>
      <c r="D31" s="7" t="s">
        <v>2250</v>
      </c>
      <c r="E31" s="7" t="s">
        <v>48</v>
      </c>
      <c r="F31" s="7" t="s">
        <v>1917</v>
      </c>
    </row>
    <row r="32" ht="22.5" customHeight="1">
      <c r="A32" s="7" t="s">
        <v>2251</v>
      </c>
      <c r="B32" s="8" t="s">
        <v>2252</v>
      </c>
      <c r="C32" s="7" t="s">
        <v>30</v>
      </c>
      <c r="D32" s="7" t="s">
        <v>2253</v>
      </c>
      <c r="E32" s="7"/>
      <c r="F32" s="7" t="s">
        <v>16</v>
      </c>
    </row>
    <row r="33" ht="22.5" customHeight="1">
      <c r="A33" s="7" t="s">
        <v>2251</v>
      </c>
      <c r="B33" s="8" t="s">
        <v>2252</v>
      </c>
      <c r="C33" s="7" t="s">
        <v>598</v>
      </c>
      <c r="D33" s="7" t="s">
        <v>2254</v>
      </c>
      <c r="E33" s="7"/>
      <c r="F33" s="7" t="s">
        <v>16</v>
      </c>
    </row>
    <row r="34" ht="22.5" customHeight="1">
      <c r="A34" s="7" t="s">
        <v>2251</v>
      </c>
      <c r="B34" s="8" t="s">
        <v>2255</v>
      </c>
      <c r="C34" s="7" t="s">
        <v>36</v>
      </c>
      <c r="D34" s="7" t="s">
        <v>2256</v>
      </c>
      <c r="E34" s="7"/>
      <c r="F34" s="7" t="s">
        <v>16</v>
      </c>
    </row>
    <row r="35" ht="22.5" customHeight="1">
      <c r="A35" s="7" t="s">
        <v>2251</v>
      </c>
      <c r="B35" s="8" t="s">
        <v>2255</v>
      </c>
      <c r="C35" s="7" t="s">
        <v>230</v>
      </c>
      <c r="D35" s="7" t="s">
        <v>2257</v>
      </c>
      <c r="E35" s="7"/>
      <c r="F35" s="7" t="s">
        <v>16</v>
      </c>
    </row>
    <row r="36" ht="22.5" customHeight="1">
      <c r="A36" s="7" t="s">
        <v>2251</v>
      </c>
      <c r="B36" s="8" t="s">
        <v>2258</v>
      </c>
      <c r="C36" s="7" t="s">
        <v>38</v>
      </c>
      <c r="D36" s="7" t="s">
        <v>2259</v>
      </c>
      <c r="E36" s="7"/>
      <c r="F36" s="7" t="s">
        <v>16</v>
      </c>
    </row>
    <row r="37" ht="22.5" customHeight="1">
      <c r="A37" s="7" t="s">
        <v>2251</v>
      </c>
      <c r="B37" s="8" t="s">
        <v>2258</v>
      </c>
      <c r="C37" s="7" t="s">
        <v>233</v>
      </c>
      <c r="D37" s="7" t="s">
        <v>2260</v>
      </c>
      <c r="E37" s="7"/>
      <c r="F37" s="7" t="s">
        <v>16</v>
      </c>
    </row>
    <row r="38" ht="22.5" customHeight="1">
      <c r="A38" s="7" t="s">
        <v>2251</v>
      </c>
      <c r="B38" s="8" t="s">
        <v>2261</v>
      </c>
      <c r="C38" s="7" t="s">
        <v>40</v>
      </c>
      <c r="D38" s="7" t="s">
        <v>2262</v>
      </c>
      <c r="E38" s="7"/>
      <c r="F38" s="7" t="s">
        <v>16</v>
      </c>
    </row>
    <row r="39" ht="22.5" customHeight="1">
      <c r="A39" s="7" t="s">
        <v>2251</v>
      </c>
      <c r="B39" s="8" t="s">
        <v>2261</v>
      </c>
      <c r="C39" s="7" t="s">
        <v>40</v>
      </c>
      <c r="D39" s="7" t="s">
        <v>2263</v>
      </c>
      <c r="E39" s="7"/>
      <c r="F39" s="7" t="s">
        <v>16</v>
      </c>
    </row>
    <row r="40" ht="22.5" customHeight="1">
      <c r="A40" s="7" t="s">
        <v>2251</v>
      </c>
      <c r="B40" s="8" t="s">
        <v>2261</v>
      </c>
      <c r="C40" s="7" t="s">
        <v>40</v>
      </c>
      <c r="D40" s="7" t="s">
        <v>2264</v>
      </c>
      <c r="E40" s="7"/>
      <c r="F40" s="7" t="s">
        <v>16</v>
      </c>
    </row>
    <row r="41" ht="22.5" customHeight="1">
      <c r="A41" s="7" t="s">
        <v>2251</v>
      </c>
      <c r="B41" s="8" t="s">
        <v>2261</v>
      </c>
      <c r="C41" s="7" t="s">
        <v>236</v>
      </c>
      <c r="D41" s="7" t="s">
        <v>2265</v>
      </c>
      <c r="E41" s="7"/>
      <c r="F41" s="7" t="s">
        <v>16</v>
      </c>
    </row>
    <row r="42" ht="22.5" customHeight="1">
      <c r="A42" s="7" t="s">
        <v>2251</v>
      </c>
      <c r="B42" s="8" t="s">
        <v>2266</v>
      </c>
      <c r="C42" s="7" t="s">
        <v>43</v>
      </c>
      <c r="D42" s="7" t="s">
        <v>2267</v>
      </c>
      <c r="E42" s="7"/>
      <c r="F42" s="7" t="s">
        <v>16</v>
      </c>
    </row>
    <row r="43" ht="22.5" customHeight="1">
      <c r="A43" s="7" t="s">
        <v>2251</v>
      </c>
      <c r="B43" s="8" t="s">
        <v>2266</v>
      </c>
      <c r="C43" s="7" t="s">
        <v>43</v>
      </c>
      <c r="D43" s="7" t="s">
        <v>2268</v>
      </c>
      <c r="E43" s="7"/>
      <c r="F43" s="7" t="s">
        <v>16</v>
      </c>
    </row>
    <row r="44" ht="22.5" customHeight="1">
      <c r="A44" s="7" t="s">
        <v>2251</v>
      </c>
      <c r="B44" s="8" t="s">
        <v>2266</v>
      </c>
      <c r="C44" s="7" t="s">
        <v>239</v>
      </c>
      <c r="D44" s="7" t="s">
        <v>2269</v>
      </c>
      <c r="E44" s="7"/>
      <c r="F44" s="7" t="s">
        <v>16</v>
      </c>
    </row>
    <row r="45" ht="22.5" customHeight="1">
      <c r="A45" s="7" t="s">
        <v>2251</v>
      </c>
      <c r="B45" s="8" t="s">
        <v>2266</v>
      </c>
      <c r="C45" s="7" t="s">
        <v>239</v>
      </c>
      <c r="D45" s="7" t="s">
        <v>2270</v>
      </c>
      <c r="E45" s="7"/>
      <c r="F45" s="7" t="s">
        <v>16</v>
      </c>
    </row>
    <row r="46" ht="22.5" customHeight="1">
      <c r="A46" s="7" t="s">
        <v>2251</v>
      </c>
      <c r="B46" s="8" t="s">
        <v>2266</v>
      </c>
      <c r="C46" s="7" t="s">
        <v>103</v>
      </c>
      <c r="D46" s="7" t="s">
        <v>2271</v>
      </c>
      <c r="E46" s="7"/>
      <c r="F46" s="7" t="s">
        <v>16</v>
      </c>
    </row>
    <row r="47" ht="22.5" customHeight="1">
      <c r="A47" s="7" t="s">
        <v>2230</v>
      </c>
      <c r="B47" s="8" t="s">
        <v>2272</v>
      </c>
      <c r="C47" s="7" t="s">
        <v>30</v>
      </c>
      <c r="D47" s="7" t="s">
        <v>2273</v>
      </c>
      <c r="E47" s="7"/>
      <c r="F47" s="7" t="s">
        <v>16</v>
      </c>
    </row>
    <row r="48" ht="22.5" customHeight="1">
      <c r="A48" s="7" t="s">
        <v>2230</v>
      </c>
      <c r="B48" s="8" t="s">
        <v>2272</v>
      </c>
      <c r="C48" s="7" t="s">
        <v>598</v>
      </c>
      <c r="D48" s="7" t="s">
        <v>2274</v>
      </c>
      <c r="E48" s="7"/>
      <c r="F48" s="7" t="s">
        <v>16</v>
      </c>
    </row>
    <row r="49" ht="22.5" customHeight="1">
      <c r="A49" s="7" t="s">
        <v>2230</v>
      </c>
      <c r="B49" s="8" t="s">
        <v>2272</v>
      </c>
      <c r="C49" s="7" t="s">
        <v>36</v>
      </c>
      <c r="D49" s="7" t="s">
        <v>2275</v>
      </c>
      <c r="E49" s="7"/>
      <c r="F49" s="7" t="s">
        <v>16</v>
      </c>
    </row>
    <row r="50" ht="22.5" customHeight="1">
      <c r="A50" s="7" t="s">
        <v>2230</v>
      </c>
      <c r="B50" s="8" t="s">
        <v>2272</v>
      </c>
      <c r="C50" s="7" t="s">
        <v>230</v>
      </c>
      <c r="D50" s="7" t="s">
        <v>2276</v>
      </c>
      <c r="E50" s="7"/>
      <c r="F50" s="7" t="s">
        <v>16</v>
      </c>
    </row>
    <row r="51" ht="22.5" customHeight="1">
      <c r="A51" s="7" t="s">
        <v>2230</v>
      </c>
      <c r="B51" s="8" t="s">
        <v>2272</v>
      </c>
      <c r="C51" s="7" t="s">
        <v>38</v>
      </c>
      <c r="D51" s="7" t="s">
        <v>2277</v>
      </c>
      <c r="E51" s="7"/>
      <c r="F51" s="7" t="s">
        <v>16</v>
      </c>
    </row>
    <row r="52" ht="22.5" customHeight="1">
      <c r="A52" s="7" t="s">
        <v>2230</v>
      </c>
      <c r="B52" s="8" t="s">
        <v>2272</v>
      </c>
      <c r="C52" s="7" t="s">
        <v>233</v>
      </c>
      <c r="D52" s="7" t="s">
        <v>2278</v>
      </c>
      <c r="E52" s="7"/>
      <c r="F52" s="7" t="s">
        <v>16</v>
      </c>
    </row>
    <row r="53" ht="22.5" customHeight="1">
      <c r="A53" s="7" t="s">
        <v>2230</v>
      </c>
      <c r="B53" s="8" t="s">
        <v>2272</v>
      </c>
      <c r="C53" s="7" t="s">
        <v>40</v>
      </c>
      <c r="D53" s="7" t="s">
        <v>2279</v>
      </c>
      <c r="E53" s="7"/>
      <c r="F53" s="7" t="s">
        <v>16</v>
      </c>
    </row>
    <row r="54" ht="22.5" customHeight="1">
      <c r="A54" s="7" t="s">
        <v>2230</v>
      </c>
      <c r="B54" s="8" t="s">
        <v>2272</v>
      </c>
      <c r="C54" s="7" t="s">
        <v>236</v>
      </c>
      <c r="D54" s="7" t="s">
        <v>2280</v>
      </c>
      <c r="E54" s="7"/>
      <c r="F54" s="7" t="s">
        <v>16</v>
      </c>
    </row>
    <row r="55" ht="22.5" customHeight="1">
      <c r="A55" s="7" t="s">
        <v>2230</v>
      </c>
      <c r="B55" s="8" t="s">
        <v>2272</v>
      </c>
      <c r="C55" s="7" t="s">
        <v>43</v>
      </c>
      <c r="D55" s="7" t="s">
        <v>2281</v>
      </c>
      <c r="E55" s="7"/>
      <c r="F55" s="7" t="s">
        <v>16</v>
      </c>
    </row>
    <row r="56" ht="22.5" customHeight="1">
      <c r="A56" s="7" t="s">
        <v>2230</v>
      </c>
      <c r="B56" s="8" t="s">
        <v>2272</v>
      </c>
      <c r="C56" s="7" t="s">
        <v>239</v>
      </c>
      <c r="D56" s="7" t="s">
        <v>2282</v>
      </c>
      <c r="E56" s="7"/>
      <c r="F56" s="7" t="s">
        <v>16</v>
      </c>
    </row>
    <row r="57" ht="22.5" customHeight="1">
      <c r="A57" s="7" t="s">
        <v>2230</v>
      </c>
      <c r="B57" s="8" t="s">
        <v>2272</v>
      </c>
      <c r="C57" s="7" t="s">
        <v>103</v>
      </c>
      <c r="D57" s="7" t="s">
        <v>2283</v>
      </c>
      <c r="E57" s="7"/>
      <c r="F57" s="7" t="s">
        <v>16</v>
      </c>
    </row>
    <row r="58" ht="22.5" customHeight="1">
      <c r="A58" s="7" t="s">
        <v>2284</v>
      </c>
      <c r="B58" s="8" t="s">
        <v>2285</v>
      </c>
      <c r="C58" s="7" t="s">
        <v>40</v>
      </c>
      <c r="D58" s="7" t="s">
        <v>2286</v>
      </c>
      <c r="E58" s="7" t="s">
        <v>48</v>
      </c>
      <c r="F58" s="7" t="s">
        <v>1917</v>
      </c>
    </row>
    <row r="59" ht="22.5" customHeight="1">
      <c r="A59" s="7" t="s">
        <v>2284</v>
      </c>
      <c r="B59" s="8" t="s">
        <v>2285</v>
      </c>
      <c r="C59" s="7" t="s">
        <v>236</v>
      </c>
      <c r="D59" s="7" t="s">
        <v>2287</v>
      </c>
      <c r="E59" s="7" t="s">
        <v>48</v>
      </c>
      <c r="F59" s="7" t="s">
        <v>1917</v>
      </c>
    </row>
    <row r="60" ht="22.5" customHeight="1">
      <c r="A60" s="7" t="s">
        <v>2284</v>
      </c>
      <c r="B60" s="8" t="s">
        <v>2285</v>
      </c>
      <c r="C60" s="7" t="s">
        <v>236</v>
      </c>
      <c r="D60" s="7" t="s">
        <v>2288</v>
      </c>
      <c r="E60" s="7" t="s">
        <v>48</v>
      </c>
      <c r="F60" s="7" t="s">
        <v>1917</v>
      </c>
    </row>
    <row r="61" ht="22.5" customHeight="1">
      <c r="A61" s="7" t="s">
        <v>2284</v>
      </c>
      <c r="B61" s="8" t="s">
        <v>2285</v>
      </c>
      <c r="C61" s="7" t="s">
        <v>236</v>
      </c>
      <c r="D61" s="7" t="s">
        <v>2289</v>
      </c>
      <c r="E61" s="7" t="s">
        <v>48</v>
      </c>
      <c r="F61" s="7" t="s">
        <v>1917</v>
      </c>
    </row>
    <row r="62" ht="22.5" customHeight="1">
      <c r="A62" s="7" t="s">
        <v>2284</v>
      </c>
      <c r="B62" s="8" t="s">
        <v>2285</v>
      </c>
      <c r="C62" s="7" t="s">
        <v>43</v>
      </c>
      <c r="D62" s="7" t="s">
        <v>2290</v>
      </c>
      <c r="E62" s="7" t="s">
        <v>48</v>
      </c>
      <c r="F62" s="7" t="s">
        <v>1917</v>
      </c>
    </row>
    <row r="63" ht="22.5" customHeight="1">
      <c r="A63" s="7" t="s">
        <v>2284</v>
      </c>
      <c r="B63" s="8" t="s">
        <v>2285</v>
      </c>
      <c r="C63" s="7" t="s">
        <v>239</v>
      </c>
      <c r="D63" s="7" t="s">
        <v>2291</v>
      </c>
      <c r="E63" s="7" t="s">
        <v>48</v>
      </c>
      <c r="F63" s="7" t="s">
        <v>1917</v>
      </c>
    </row>
    <row r="64" ht="22.5" customHeight="1">
      <c r="A64" s="7" t="s">
        <v>2284</v>
      </c>
      <c r="B64" s="8" t="s">
        <v>2285</v>
      </c>
      <c r="C64" s="7" t="s">
        <v>239</v>
      </c>
      <c r="D64" s="7" t="s">
        <v>2292</v>
      </c>
      <c r="E64" s="7" t="s">
        <v>48</v>
      </c>
      <c r="F64" s="7" t="s">
        <v>1917</v>
      </c>
    </row>
    <row r="65" ht="22.5" customHeight="1">
      <c r="A65" s="7" t="s">
        <v>2284</v>
      </c>
      <c r="B65" s="8" t="s">
        <v>2285</v>
      </c>
      <c r="C65" s="7" t="s">
        <v>103</v>
      </c>
      <c r="D65" s="7" t="s">
        <v>2293</v>
      </c>
      <c r="E65" s="7" t="s">
        <v>48</v>
      </c>
      <c r="F65" s="7" t="s">
        <v>1917</v>
      </c>
    </row>
    <row r="66" ht="22.5" customHeight="1">
      <c r="A66" s="7" t="s">
        <v>2284</v>
      </c>
      <c r="B66" s="8" t="s">
        <v>2285</v>
      </c>
      <c r="C66" s="7" t="s">
        <v>103</v>
      </c>
      <c r="D66" s="7" t="s">
        <v>2294</v>
      </c>
      <c r="E66" s="7" t="s">
        <v>48</v>
      </c>
      <c r="F66" s="7" t="s">
        <v>1917</v>
      </c>
    </row>
    <row r="67" ht="22.5" customHeight="1">
      <c r="A67" s="7" t="s">
        <v>2295</v>
      </c>
      <c r="B67" s="8" t="s">
        <v>2296</v>
      </c>
      <c r="C67" s="7" t="s">
        <v>30</v>
      </c>
      <c r="D67" s="7" t="s">
        <v>2297</v>
      </c>
      <c r="E67" s="7" t="s">
        <v>16</v>
      </c>
      <c r="F67" s="7" t="s">
        <v>16</v>
      </c>
    </row>
    <row r="68" ht="22.5" customHeight="1">
      <c r="A68" s="7" t="s">
        <v>2295</v>
      </c>
      <c r="B68" s="8" t="s">
        <v>2296</v>
      </c>
      <c r="C68" s="7" t="s">
        <v>36</v>
      </c>
      <c r="D68" s="7" t="s">
        <v>2298</v>
      </c>
      <c r="E68" s="7" t="s">
        <v>16</v>
      </c>
      <c r="F68" s="7" t="s">
        <v>16</v>
      </c>
    </row>
    <row r="69" ht="22.5" customHeight="1">
      <c r="A69" s="7" t="s">
        <v>2295</v>
      </c>
      <c r="B69" s="8" t="s">
        <v>2296</v>
      </c>
      <c r="C69" s="7" t="s">
        <v>43</v>
      </c>
      <c r="D69" s="7" t="s">
        <v>2299</v>
      </c>
      <c r="E69" s="7" t="s">
        <v>16</v>
      </c>
      <c r="F69" s="7" t="s">
        <v>16</v>
      </c>
    </row>
    <row r="70" ht="22.5" customHeight="1">
      <c r="A70" s="7" t="s">
        <v>2295</v>
      </c>
      <c r="B70" s="8" t="s">
        <v>2296</v>
      </c>
      <c r="C70" s="7" t="s">
        <v>43</v>
      </c>
      <c r="D70" s="7" t="s">
        <v>2300</v>
      </c>
      <c r="E70" s="7" t="s">
        <v>48</v>
      </c>
      <c r="F70" s="7" t="s">
        <v>16</v>
      </c>
    </row>
    <row r="71" ht="22.5" customHeight="1">
      <c r="A71" s="7" t="s">
        <v>2301</v>
      </c>
      <c r="B71" s="8" t="s">
        <v>2302</v>
      </c>
      <c r="C71" s="7" t="s">
        <v>30</v>
      </c>
      <c r="D71" s="7" t="s">
        <v>2303</v>
      </c>
      <c r="E71" s="7"/>
      <c r="F71" s="7" t="s">
        <v>16</v>
      </c>
    </row>
    <row r="72" ht="22.5" customHeight="1">
      <c r="A72" s="7" t="s">
        <v>2301</v>
      </c>
      <c r="B72" s="8" t="s">
        <v>2302</v>
      </c>
      <c r="C72" s="7" t="s">
        <v>30</v>
      </c>
      <c r="D72" s="7" t="s">
        <v>2304</v>
      </c>
      <c r="E72" s="7"/>
      <c r="F72" s="7" t="s">
        <v>16</v>
      </c>
    </row>
    <row r="73" ht="22.5" customHeight="1">
      <c r="A73" s="7" t="s">
        <v>2301</v>
      </c>
      <c r="B73" s="8" t="s">
        <v>2302</v>
      </c>
      <c r="C73" s="7" t="s">
        <v>30</v>
      </c>
      <c r="D73" s="7" t="s">
        <v>2305</v>
      </c>
      <c r="E73" s="7"/>
      <c r="F73" s="7" t="s">
        <v>16</v>
      </c>
    </row>
    <row r="74" ht="22.5" customHeight="1">
      <c r="A74" s="7" t="s">
        <v>2301</v>
      </c>
      <c r="B74" s="8" t="s">
        <v>2302</v>
      </c>
      <c r="C74" s="7" t="s">
        <v>30</v>
      </c>
      <c r="D74" s="7" t="s">
        <v>2306</v>
      </c>
      <c r="E74" s="7"/>
      <c r="F74" s="7" t="s">
        <v>16</v>
      </c>
    </row>
    <row r="75" ht="22.5" customHeight="1">
      <c r="A75" s="7" t="s">
        <v>2301</v>
      </c>
      <c r="B75" s="8" t="s">
        <v>2302</v>
      </c>
      <c r="C75" s="7" t="s">
        <v>598</v>
      </c>
      <c r="D75" s="7" t="s">
        <v>2307</v>
      </c>
      <c r="E75" s="7"/>
      <c r="F75" s="7" t="s">
        <v>16</v>
      </c>
    </row>
    <row r="76" ht="22.5" customHeight="1">
      <c r="A76" s="7" t="s">
        <v>2301</v>
      </c>
      <c r="B76" s="8" t="s">
        <v>2302</v>
      </c>
      <c r="C76" s="7" t="s">
        <v>598</v>
      </c>
      <c r="D76" s="7" t="s">
        <v>2308</v>
      </c>
      <c r="E76" s="7"/>
      <c r="F76" s="7" t="s">
        <v>16</v>
      </c>
    </row>
    <row r="77" ht="22.5" customHeight="1">
      <c r="A77" s="7" t="s">
        <v>2301</v>
      </c>
      <c r="B77" s="8" t="s">
        <v>2302</v>
      </c>
      <c r="C77" s="7" t="s">
        <v>36</v>
      </c>
      <c r="D77" s="7" t="s">
        <v>2309</v>
      </c>
      <c r="E77" s="7"/>
      <c r="F77" s="7" t="s">
        <v>16</v>
      </c>
    </row>
    <row r="78" ht="22.5" customHeight="1">
      <c r="A78" s="7" t="s">
        <v>2301</v>
      </c>
      <c r="B78" s="8" t="s">
        <v>2302</v>
      </c>
      <c r="C78" s="7" t="s">
        <v>36</v>
      </c>
      <c r="D78" s="7" t="s">
        <v>2310</v>
      </c>
      <c r="E78" s="7"/>
      <c r="F78" s="7" t="s">
        <v>16</v>
      </c>
    </row>
    <row r="79" ht="22.5" customHeight="1">
      <c r="A79" s="7" t="s">
        <v>2301</v>
      </c>
      <c r="B79" s="8" t="s">
        <v>2302</v>
      </c>
      <c r="C79" s="7" t="s">
        <v>230</v>
      </c>
      <c r="D79" s="7" t="s">
        <v>2311</v>
      </c>
      <c r="E79" s="7"/>
      <c r="F79" s="7" t="s">
        <v>16</v>
      </c>
    </row>
    <row r="80" ht="22.5" customHeight="1">
      <c r="A80" s="7" t="s">
        <v>2301</v>
      </c>
      <c r="B80" s="8" t="s">
        <v>2302</v>
      </c>
      <c r="C80" s="7" t="s">
        <v>230</v>
      </c>
      <c r="D80" s="7" t="s">
        <v>2312</v>
      </c>
      <c r="E80" s="7"/>
      <c r="F80" s="7" t="s">
        <v>16</v>
      </c>
    </row>
    <row r="81" ht="22.5" customHeight="1">
      <c r="A81" s="7" t="s">
        <v>2301</v>
      </c>
      <c r="B81" s="8" t="s">
        <v>2302</v>
      </c>
      <c r="C81" s="7" t="s">
        <v>38</v>
      </c>
      <c r="D81" s="7" t="s">
        <v>2313</v>
      </c>
      <c r="E81" s="7"/>
      <c r="F81" s="7" t="s">
        <v>16</v>
      </c>
    </row>
    <row r="82" ht="22.5" customHeight="1">
      <c r="A82" s="7" t="s">
        <v>2301</v>
      </c>
      <c r="B82" s="8" t="s">
        <v>2302</v>
      </c>
      <c r="C82" s="7" t="s">
        <v>38</v>
      </c>
      <c r="D82" s="7" t="s">
        <v>2314</v>
      </c>
      <c r="E82" s="7"/>
      <c r="F82" s="7" t="s">
        <v>16</v>
      </c>
    </row>
    <row r="83" ht="22.5" customHeight="1">
      <c r="A83" s="7" t="s">
        <v>2301</v>
      </c>
      <c r="B83" s="8" t="s">
        <v>2302</v>
      </c>
      <c r="C83" s="7" t="s">
        <v>233</v>
      </c>
      <c r="D83" s="7" t="s">
        <v>2315</v>
      </c>
      <c r="E83" s="7"/>
      <c r="F83" s="7" t="s">
        <v>16</v>
      </c>
    </row>
    <row r="84" ht="22.5" customHeight="1">
      <c r="A84" s="7" t="s">
        <v>2301</v>
      </c>
      <c r="B84" s="8" t="s">
        <v>2302</v>
      </c>
      <c r="C84" s="7" t="s">
        <v>233</v>
      </c>
      <c r="D84" s="7" t="s">
        <v>2316</v>
      </c>
      <c r="E84" s="7"/>
      <c r="F84" s="7" t="s">
        <v>16</v>
      </c>
    </row>
    <row r="85" ht="22.5" customHeight="1">
      <c r="A85" s="7" t="s">
        <v>2301</v>
      </c>
      <c r="B85" s="8" t="s">
        <v>2302</v>
      </c>
      <c r="C85" s="7" t="s">
        <v>40</v>
      </c>
      <c r="D85" s="7" t="s">
        <v>2317</v>
      </c>
      <c r="E85" s="7"/>
      <c r="F85" s="7" t="s">
        <v>16</v>
      </c>
    </row>
    <row r="86" ht="22.5" customHeight="1">
      <c r="A86" s="7" t="s">
        <v>2301</v>
      </c>
      <c r="B86" s="8" t="s">
        <v>2302</v>
      </c>
      <c r="C86" s="7" t="s">
        <v>40</v>
      </c>
      <c r="D86" s="7" t="s">
        <v>2318</v>
      </c>
      <c r="E86" s="7"/>
      <c r="F86" s="7" t="s">
        <v>16</v>
      </c>
    </row>
    <row r="87" ht="22.5" customHeight="1">
      <c r="A87" s="7" t="s">
        <v>2301</v>
      </c>
      <c r="B87" s="8" t="s">
        <v>2302</v>
      </c>
      <c r="C87" s="7" t="s">
        <v>236</v>
      </c>
      <c r="D87" s="7" t="s">
        <v>2319</v>
      </c>
      <c r="E87" s="7"/>
      <c r="F87" s="7" t="s">
        <v>16</v>
      </c>
    </row>
    <row r="88" ht="22.5" customHeight="1">
      <c r="A88" s="7" t="s">
        <v>2301</v>
      </c>
      <c r="B88" s="8" t="s">
        <v>2302</v>
      </c>
      <c r="C88" s="7" t="s">
        <v>236</v>
      </c>
      <c r="D88" s="7" t="s">
        <v>2320</v>
      </c>
      <c r="E88" s="7"/>
      <c r="F88" s="7" t="s">
        <v>16</v>
      </c>
    </row>
    <row r="89" ht="22.5" customHeight="1">
      <c r="A89" s="7" t="s">
        <v>2301</v>
      </c>
      <c r="B89" s="8" t="s">
        <v>2302</v>
      </c>
      <c r="C89" s="7" t="s">
        <v>43</v>
      </c>
      <c r="D89" s="7" t="s">
        <v>2321</v>
      </c>
      <c r="E89" s="7"/>
      <c r="F89" s="7" t="s">
        <v>16</v>
      </c>
    </row>
    <row r="90" ht="22.5" customHeight="1">
      <c r="A90" s="7" t="s">
        <v>2301</v>
      </c>
      <c r="B90" s="8" t="s">
        <v>2302</v>
      </c>
      <c r="C90" s="7" t="s">
        <v>43</v>
      </c>
      <c r="D90" s="7" t="s">
        <v>2322</v>
      </c>
      <c r="E90" s="7"/>
      <c r="F90" s="7" t="s">
        <v>16</v>
      </c>
    </row>
    <row r="91" ht="22.5" customHeight="1">
      <c r="A91" s="7" t="s">
        <v>2301</v>
      </c>
      <c r="B91" s="8" t="s">
        <v>2302</v>
      </c>
      <c r="C91" s="7" t="s">
        <v>239</v>
      </c>
      <c r="D91" s="7" t="s">
        <v>2323</v>
      </c>
      <c r="E91" s="7"/>
      <c r="F91" s="7" t="s">
        <v>16</v>
      </c>
    </row>
    <row r="92" ht="22.5" customHeight="1">
      <c r="A92" s="7" t="s">
        <v>2301</v>
      </c>
      <c r="B92" s="8" t="s">
        <v>2302</v>
      </c>
      <c r="C92" s="7" t="s">
        <v>239</v>
      </c>
      <c r="D92" s="7" t="s">
        <v>2324</v>
      </c>
      <c r="E92" s="7"/>
      <c r="F92" s="7" t="s">
        <v>16</v>
      </c>
    </row>
    <row r="93" ht="22.5" customHeight="1">
      <c r="A93" s="7" t="s">
        <v>2301</v>
      </c>
      <c r="B93" s="8" t="s">
        <v>2302</v>
      </c>
      <c r="C93" s="7" t="s">
        <v>103</v>
      </c>
      <c r="D93" s="7" t="s">
        <v>2325</v>
      </c>
      <c r="E93" s="7"/>
      <c r="F93" s="7" t="s">
        <v>16</v>
      </c>
    </row>
    <row r="94" ht="22.5" customHeight="1">
      <c r="A94" s="7" t="s">
        <v>2301</v>
      </c>
      <c r="B94" s="8" t="s">
        <v>2302</v>
      </c>
      <c r="C94" s="7" t="s">
        <v>103</v>
      </c>
      <c r="D94" s="7" t="s">
        <v>2326</v>
      </c>
      <c r="E94" s="7"/>
      <c r="F94" s="7" t="s">
        <v>16</v>
      </c>
    </row>
    <row r="95" ht="22.5" customHeight="1">
      <c r="A95" s="7" t="s">
        <v>2327</v>
      </c>
      <c r="B95" s="8" t="s">
        <v>2328</v>
      </c>
      <c r="C95" s="7" t="s">
        <v>30</v>
      </c>
      <c r="D95" s="7" t="s">
        <v>2329</v>
      </c>
      <c r="E95" s="7"/>
      <c r="F95" s="7" t="s">
        <v>16</v>
      </c>
    </row>
    <row r="96" ht="22.5" customHeight="1">
      <c r="A96" s="7" t="s">
        <v>2327</v>
      </c>
      <c r="B96" s="8" t="s">
        <v>2328</v>
      </c>
      <c r="C96" s="7" t="s">
        <v>30</v>
      </c>
      <c r="D96" s="7" t="s">
        <v>2330</v>
      </c>
      <c r="E96" s="7"/>
      <c r="F96" s="7" t="s">
        <v>16</v>
      </c>
    </row>
    <row r="97" ht="22.5" customHeight="1">
      <c r="A97" s="7" t="s">
        <v>2327</v>
      </c>
      <c r="B97" s="8" t="s">
        <v>2328</v>
      </c>
      <c r="C97" s="7" t="s">
        <v>30</v>
      </c>
      <c r="D97" s="7" t="s">
        <v>2331</v>
      </c>
      <c r="E97" s="7"/>
      <c r="F97" s="7" t="s">
        <v>16</v>
      </c>
    </row>
    <row r="98" ht="22.5" customHeight="1">
      <c r="A98" s="7" t="s">
        <v>2327</v>
      </c>
      <c r="B98" s="8" t="s">
        <v>2328</v>
      </c>
      <c r="C98" s="7" t="s">
        <v>598</v>
      </c>
      <c r="D98" s="7" t="s">
        <v>2332</v>
      </c>
      <c r="E98" s="7"/>
      <c r="F98" s="7" t="s">
        <v>16</v>
      </c>
    </row>
    <row r="99" ht="22.5" customHeight="1">
      <c r="A99" s="7" t="s">
        <v>2327</v>
      </c>
      <c r="B99" s="8" t="s">
        <v>2328</v>
      </c>
      <c r="C99" s="7" t="s">
        <v>36</v>
      </c>
      <c r="D99" s="7" t="s">
        <v>2333</v>
      </c>
      <c r="E99" s="7"/>
      <c r="F99" s="7" t="s">
        <v>16</v>
      </c>
    </row>
    <row r="100" ht="22.5" customHeight="1">
      <c r="A100" s="7" t="s">
        <v>2327</v>
      </c>
      <c r="B100" s="8" t="s">
        <v>2328</v>
      </c>
      <c r="C100" s="7" t="s">
        <v>230</v>
      </c>
      <c r="D100" s="7" t="s">
        <v>2334</v>
      </c>
      <c r="E100" s="7"/>
      <c r="F100" s="7" t="s">
        <v>16</v>
      </c>
    </row>
    <row r="101" ht="22.5" customHeight="1">
      <c r="A101" s="7" t="s">
        <v>2327</v>
      </c>
      <c r="B101" s="8" t="s">
        <v>2328</v>
      </c>
      <c r="C101" s="7" t="s">
        <v>38</v>
      </c>
      <c r="D101" s="7" t="s">
        <v>2335</v>
      </c>
      <c r="E101" s="7"/>
      <c r="F101" s="7" t="s">
        <v>16</v>
      </c>
    </row>
    <row r="102" ht="22.5" customHeight="1">
      <c r="A102" s="7" t="s">
        <v>2327</v>
      </c>
      <c r="B102" s="8" t="s">
        <v>2328</v>
      </c>
      <c r="C102" s="7" t="s">
        <v>233</v>
      </c>
      <c r="D102" s="7" t="s">
        <v>2336</v>
      </c>
      <c r="E102" s="7"/>
      <c r="F102" s="7" t="s">
        <v>16</v>
      </c>
    </row>
    <row r="103" ht="22.5" customHeight="1">
      <c r="A103" s="7" t="s">
        <v>2327</v>
      </c>
      <c r="B103" s="8" t="s">
        <v>2328</v>
      </c>
      <c r="C103" s="7" t="s">
        <v>40</v>
      </c>
      <c r="D103" s="7" t="s">
        <v>2337</v>
      </c>
      <c r="E103" s="7"/>
      <c r="F103" s="7" t="s">
        <v>16</v>
      </c>
    </row>
    <row r="104" ht="22.5" customHeight="1">
      <c r="A104" s="7" t="s">
        <v>2327</v>
      </c>
      <c r="B104" s="8" t="s">
        <v>2328</v>
      </c>
      <c r="C104" s="7" t="s">
        <v>236</v>
      </c>
      <c r="D104" s="7" t="s">
        <v>2338</v>
      </c>
      <c r="E104" s="7"/>
      <c r="F104" s="7" t="s">
        <v>16</v>
      </c>
    </row>
    <row r="105" ht="22.5" customHeight="1">
      <c r="A105" s="7" t="s">
        <v>2327</v>
      </c>
      <c r="B105" s="8" t="s">
        <v>2328</v>
      </c>
      <c r="C105" s="7" t="s">
        <v>43</v>
      </c>
      <c r="D105" s="7" t="s">
        <v>2339</v>
      </c>
      <c r="E105" s="7"/>
      <c r="F105" s="7" t="s">
        <v>16</v>
      </c>
    </row>
    <row r="106" ht="22.5" customHeight="1">
      <c r="A106" s="7" t="s">
        <v>2327</v>
      </c>
      <c r="B106" s="8" t="s">
        <v>2328</v>
      </c>
      <c r="C106" s="7" t="s">
        <v>239</v>
      </c>
      <c r="D106" s="7" t="s">
        <v>2340</v>
      </c>
      <c r="E106" s="7"/>
      <c r="F106" s="7" t="s">
        <v>16</v>
      </c>
    </row>
    <row r="107" ht="22.5" customHeight="1">
      <c r="A107" s="7" t="s">
        <v>2327</v>
      </c>
      <c r="B107" s="8" t="s">
        <v>2328</v>
      </c>
      <c r="C107" s="7" t="s">
        <v>103</v>
      </c>
      <c r="D107" s="7" t="s">
        <v>2341</v>
      </c>
      <c r="E107" s="7"/>
      <c r="F107" s="7" t="s">
        <v>16</v>
      </c>
    </row>
    <row r="108" ht="22.5" customHeight="1">
      <c r="A108" s="7" t="s">
        <v>2327</v>
      </c>
      <c r="B108" s="8" t="s">
        <v>2342</v>
      </c>
      <c r="C108" s="7" t="s">
        <v>43</v>
      </c>
      <c r="D108" s="27" t="s">
        <v>2343</v>
      </c>
      <c r="E108" s="7" t="s">
        <v>48</v>
      </c>
      <c r="F108" s="7" t="s">
        <v>16</v>
      </c>
    </row>
    <row r="109" ht="22.5" customHeight="1">
      <c r="A109" s="7" t="s">
        <v>2327</v>
      </c>
      <c r="B109" s="8" t="s">
        <v>2342</v>
      </c>
      <c r="C109" s="7" t="s">
        <v>239</v>
      </c>
      <c r="D109" s="27" t="s">
        <v>2344</v>
      </c>
      <c r="E109" s="7" t="s">
        <v>48</v>
      </c>
      <c r="F109" s="7" t="s">
        <v>16</v>
      </c>
    </row>
    <row r="110" ht="22.5" customHeight="1">
      <c r="A110" s="7" t="s">
        <v>2327</v>
      </c>
      <c r="B110" s="8" t="s">
        <v>2342</v>
      </c>
      <c r="C110" s="7" t="s">
        <v>103</v>
      </c>
      <c r="D110" s="27" t="s">
        <v>2345</v>
      </c>
      <c r="E110" s="7" t="s">
        <v>48</v>
      </c>
      <c r="F110" s="7" t="s">
        <v>16</v>
      </c>
    </row>
    <row r="111" ht="22.5" customHeight="1">
      <c r="A111" s="7" t="s">
        <v>2284</v>
      </c>
      <c r="B111" s="8" t="s">
        <v>2346</v>
      </c>
      <c r="C111" s="7" t="s">
        <v>30</v>
      </c>
      <c r="D111" s="7" t="s">
        <v>2347</v>
      </c>
      <c r="E111" s="7"/>
      <c r="F111" s="7" t="s">
        <v>16</v>
      </c>
    </row>
    <row r="112" ht="22.5" customHeight="1">
      <c r="A112" s="7" t="s">
        <v>2284</v>
      </c>
      <c r="B112" s="8" t="s">
        <v>2346</v>
      </c>
      <c r="C112" s="7" t="s">
        <v>598</v>
      </c>
      <c r="D112" s="7" t="s">
        <v>2348</v>
      </c>
      <c r="E112" s="7"/>
      <c r="F112" s="7" t="s">
        <v>16</v>
      </c>
    </row>
    <row r="113" ht="22.5" customHeight="1">
      <c r="A113" s="7" t="s">
        <v>2284</v>
      </c>
      <c r="B113" s="8" t="s">
        <v>2346</v>
      </c>
      <c r="C113" s="7" t="s">
        <v>36</v>
      </c>
      <c r="D113" s="7" t="s">
        <v>2349</v>
      </c>
      <c r="E113" s="7"/>
      <c r="F113" s="7" t="s">
        <v>16</v>
      </c>
    </row>
    <row r="114" ht="22.5" customHeight="1">
      <c r="A114" s="7" t="s">
        <v>2284</v>
      </c>
      <c r="B114" s="8" t="s">
        <v>2346</v>
      </c>
      <c r="C114" s="7" t="s">
        <v>230</v>
      </c>
      <c r="D114" s="7" t="s">
        <v>2350</v>
      </c>
      <c r="E114" s="7"/>
      <c r="F114" s="7" t="s">
        <v>16</v>
      </c>
    </row>
    <row r="115" ht="22.5" customHeight="1">
      <c r="A115" s="7" t="s">
        <v>2284</v>
      </c>
      <c r="B115" s="8" t="s">
        <v>2346</v>
      </c>
      <c r="C115" s="7" t="s">
        <v>38</v>
      </c>
      <c r="D115" s="7" t="s">
        <v>2351</v>
      </c>
      <c r="E115" s="7"/>
      <c r="F115" s="7" t="s">
        <v>16</v>
      </c>
    </row>
    <row r="116" ht="22.5" customHeight="1">
      <c r="A116" s="7" t="s">
        <v>2284</v>
      </c>
      <c r="B116" s="8" t="s">
        <v>2346</v>
      </c>
      <c r="C116" s="7" t="s">
        <v>233</v>
      </c>
      <c r="D116" s="7" t="s">
        <v>2352</v>
      </c>
      <c r="E116" s="7"/>
      <c r="F116" s="7" t="s">
        <v>16</v>
      </c>
    </row>
    <row r="117" ht="22.5" customHeight="1">
      <c r="A117" s="7" t="s">
        <v>2284</v>
      </c>
      <c r="B117" s="8" t="s">
        <v>2346</v>
      </c>
      <c r="C117" s="7" t="s">
        <v>40</v>
      </c>
      <c r="D117" s="7" t="s">
        <v>2353</v>
      </c>
      <c r="E117" s="7"/>
      <c r="F117" s="7" t="s">
        <v>16</v>
      </c>
    </row>
    <row r="118" ht="22.5" customHeight="1">
      <c r="A118" s="7" t="s">
        <v>2284</v>
      </c>
      <c r="B118" s="8" t="s">
        <v>2346</v>
      </c>
      <c r="C118" s="7" t="s">
        <v>236</v>
      </c>
      <c r="D118" s="7" t="s">
        <v>2354</v>
      </c>
      <c r="E118" s="7"/>
      <c r="F118" s="7" t="s">
        <v>16</v>
      </c>
    </row>
    <row r="119" ht="22.5" customHeight="1">
      <c r="A119" s="7" t="s">
        <v>2284</v>
      </c>
      <c r="B119" s="8" t="s">
        <v>2346</v>
      </c>
      <c r="C119" s="7" t="s">
        <v>43</v>
      </c>
      <c r="D119" s="7" t="s">
        <v>2355</v>
      </c>
      <c r="E119" s="7"/>
      <c r="F119" s="7" t="s">
        <v>16</v>
      </c>
    </row>
    <row r="120" ht="22.5" customHeight="1">
      <c r="A120" s="7" t="s">
        <v>2284</v>
      </c>
      <c r="B120" s="8" t="s">
        <v>2346</v>
      </c>
      <c r="C120" s="7" t="s">
        <v>239</v>
      </c>
      <c r="D120" s="7" t="s">
        <v>2356</v>
      </c>
      <c r="E120" s="7"/>
      <c r="F120" s="7" t="s">
        <v>16</v>
      </c>
    </row>
    <row r="121" ht="22.5" customHeight="1">
      <c r="A121" s="7" t="s">
        <v>2284</v>
      </c>
      <c r="B121" s="8" t="s">
        <v>2346</v>
      </c>
      <c r="C121" s="7" t="s">
        <v>103</v>
      </c>
      <c r="D121" s="7" t="s">
        <v>2357</v>
      </c>
      <c r="E121" s="7"/>
      <c r="F121" s="7" t="s">
        <v>16</v>
      </c>
    </row>
    <row r="122" ht="22.5" customHeight="1">
      <c r="A122" s="7" t="s">
        <v>2251</v>
      </c>
      <c r="B122" s="8" t="s">
        <v>2358</v>
      </c>
      <c r="C122" s="7" t="s">
        <v>36</v>
      </c>
      <c r="D122" s="7" t="s">
        <v>2359</v>
      </c>
      <c r="E122" s="7"/>
      <c r="F122" s="7" t="s">
        <v>16</v>
      </c>
    </row>
    <row r="123" ht="22.5" customHeight="1">
      <c r="A123" s="7" t="s">
        <v>2251</v>
      </c>
      <c r="B123" s="8" t="s">
        <v>2358</v>
      </c>
      <c r="C123" s="7" t="s">
        <v>230</v>
      </c>
      <c r="D123" s="7" t="s">
        <v>2360</v>
      </c>
      <c r="E123" s="7"/>
      <c r="F123" s="7" t="s">
        <v>16</v>
      </c>
    </row>
    <row r="124" ht="22.5" customHeight="1">
      <c r="A124" s="7" t="s">
        <v>2251</v>
      </c>
      <c r="B124" s="8" t="s">
        <v>2358</v>
      </c>
      <c r="C124" s="7" t="s">
        <v>38</v>
      </c>
      <c r="D124" s="7" t="s">
        <v>2361</v>
      </c>
      <c r="E124" s="7"/>
      <c r="F124" s="7" t="s">
        <v>16</v>
      </c>
    </row>
    <row r="125" ht="22.5" customHeight="1">
      <c r="A125" s="7" t="s">
        <v>2251</v>
      </c>
      <c r="B125" s="8" t="s">
        <v>2358</v>
      </c>
      <c r="C125" s="7" t="s">
        <v>233</v>
      </c>
      <c r="D125" s="7" t="s">
        <v>2362</v>
      </c>
      <c r="E125" s="7"/>
      <c r="F125" s="7" t="s">
        <v>16</v>
      </c>
    </row>
    <row r="126" ht="22.5" customHeight="1">
      <c r="A126" s="7" t="s">
        <v>2251</v>
      </c>
      <c r="B126" s="8" t="s">
        <v>2358</v>
      </c>
      <c r="C126" s="7" t="s">
        <v>40</v>
      </c>
      <c r="D126" s="7" t="s">
        <v>2363</v>
      </c>
      <c r="E126" s="7"/>
      <c r="F126" s="7" t="s">
        <v>16</v>
      </c>
    </row>
    <row r="127" ht="22.5" customHeight="1">
      <c r="A127" s="7" t="s">
        <v>2251</v>
      </c>
      <c r="B127" s="8" t="s">
        <v>2358</v>
      </c>
      <c r="C127" s="7" t="s">
        <v>236</v>
      </c>
      <c r="D127" s="7" t="s">
        <v>2364</v>
      </c>
      <c r="E127" s="7"/>
      <c r="F127" s="7" t="s">
        <v>16</v>
      </c>
    </row>
    <row r="128" ht="22.5" customHeight="1">
      <c r="A128" s="7" t="s">
        <v>2251</v>
      </c>
      <c r="B128" s="8" t="s">
        <v>2358</v>
      </c>
      <c r="C128" s="7" t="s">
        <v>43</v>
      </c>
      <c r="D128" s="7" t="s">
        <v>2365</v>
      </c>
      <c r="E128" s="7"/>
      <c r="F128" s="7" t="s">
        <v>16</v>
      </c>
    </row>
    <row r="129" ht="22.5" customHeight="1">
      <c r="A129" s="7" t="s">
        <v>2251</v>
      </c>
      <c r="B129" s="8" t="s">
        <v>2358</v>
      </c>
      <c r="C129" s="7" t="s">
        <v>239</v>
      </c>
      <c r="D129" s="7" t="s">
        <v>2366</v>
      </c>
      <c r="E129" s="7"/>
      <c r="F129" s="7" t="s">
        <v>16</v>
      </c>
    </row>
    <row r="130" ht="22.5" customHeight="1">
      <c r="A130" s="7" t="s">
        <v>2251</v>
      </c>
      <c r="B130" s="8" t="s">
        <v>2358</v>
      </c>
      <c r="C130" s="7" t="s">
        <v>103</v>
      </c>
      <c r="D130" s="7" t="s">
        <v>2367</v>
      </c>
      <c r="E130" s="7"/>
      <c r="F130" s="7" t="s">
        <v>16</v>
      </c>
    </row>
    <row r="131" ht="22.5" customHeight="1">
      <c r="A131" s="7" t="s">
        <v>2217</v>
      </c>
      <c r="B131" s="8" t="s">
        <v>2368</v>
      </c>
      <c r="C131" s="7" t="s">
        <v>30</v>
      </c>
      <c r="D131" s="7" t="s">
        <v>2369</v>
      </c>
      <c r="E131" s="7"/>
      <c r="F131" s="7" t="s">
        <v>16</v>
      </c>
    </row>
    <row r="132" ht="22.5" customHeight="1">
      <c r="A132" s="7" t="s">
        <v>2217</v>
      </c>
      <c r="B132" s="8" t="s">
        <v>2368</v>
      </c>
      <c r="C132" s="7" t="s">
        <v>598</v>
      </c>
      <c r="D132" s="7" t="s">
        <v>2370</v>
      </c>
      <c r="E132" s="7"/>
      <c r="F132" s="7" t="s">
        <v>16</v>
      </c>
    </row>
    <row r="133" ht="22.5" customHeight="1">
      <c r="A133" s="7" t="s">
        <v>2217</v>
      </c>
      <c r="B133" s="8" t="s">
        <v>2368</v>
      </c>
      <c r="C133" s="7" t="s">
        <v>36</v>
      </c>
      <c r="D133" s="7" t="s">
        <v>2371</v>
      </c>
      <c r="E133" s="7"/>
      <c r="F133" s="7" t="s">
        <v>16</v>
      </c>
    </row>
    <row r="134" ht="22.5" customHeight="1">
      <c r="A134" s="7" t="s">
        <v>2217</v>
      </c>
      <c r="B134" s="8" t="s">
        <v>2368</v>
      </c>
      <c r="C134" s="7" t="s">
        <v>230</v>
      </c>
      <c r="D134" s="7" t="s">
        <v>2372</v>
      </c>
      <c r="E134" s="7"/>
      <c r="F134" s="7" t="s">
        <v>16</v>
      </c>
    </row>
    <row r="135" ht="22.5" customHeight="1">
      <c r="A135" s="7" t="s">
        <v>2217</v>
      </c>
      <c r="B135" s="8" t="s">
        <v>2368</v>
      </c>
      <c r="C135" s="7" t="s">
        <v>38</v>
      </c>
      <c r="D135" s="7" t="s">
        <v>2373</v>
      </c>
      <c r="E135" s="7"/>
      <c r="F135" s="7" t="s">
        <v>16</v>
      </c>
    </row>
    <row r="136" ht="22.5" customHeight="1">
      <c r="A136" s="7" t="s">
        <v>2217</v>
      </c>
      <c r="B136" s="8" t="s">
        <v>2368</v>
      </c>
      <c r="C136" s="7" t="s">
        <v>233</v>
      </c>
      <c r="D136" s="7" t="s">
        <v>2374</v>
      </c>
      <c r="E136" s="7"/>
      <c r="F136" s="7" t="s">
        <v>16</v>
      </c>
    </row>
    <row r="137" ht="22.5" customHeight="1">
      <c r="A137" s="7" t="s">
        <v>2217</v>
      </c>
      <c r="B137" s="8" t="s">
        <v>2368</v>
      </c>
      <c r="C137" s="7" t="s">
        <v>40</v>
      </c>
      <c r="D137" s="7" t="s">
        <v>2375</v>
      </c>
      <c r="E137" s="7"/>
      <c r="F137" s="7" t="s">
        <v>16</v>
      </c>
    </row>
    <row r="138" ht="22.5" customHeight="1">
      <c r="A138" s="7" t="s">
        <v>2217</v>
      </c>
      <c r="B138" s="8" t="s">
        <v>2368</v>
      </c>
      <c r="C138" s="7" t="s">
        <v>236</v>
      </c>
      <c r="D138" s="7" t="s">
        <v>2376</v>
      </c>
      <c r="E138" s="7"/>
      <c r="F138" s="7" t="s">
        <v>16</v>
      </c>
    </row>
    <row r="139" ht="22.5" customHeight="1">
      <c r="A139" s="7" t="s">
        <v>2217</v>
      </c>
      <c r="B139" s="8" t="s">
        <v>2368</v>
      </c>
      <c r="C139" s="7" t="s">
        <v>43</v>
      </c>
      <c r="D139" s="7" t="s">
        <v>2377</v>
      </c>
      <c r="E139" s="7"/>
      <c r="F139" s="7" t="s">
        <v>16</v>
      </c>
    </row>
    <row r="140" ht="22.5" customHeight="1">
      <c r="A140" s="7" t="s">
        <v>2217</v>
      </c>
      <c r="B140" s="8" t="s">
        <v>2368</v>
      </c>
      <c r="C140" s="7" t="s">
        <v>239</v>
      </c>
      <c r="D140" s="7" t="s">
        <v>2378</v>
      </c>
      <c r="E140" s="7"/>
      <c r="F140" s="7" t="s">
        <v>16</v>
      </c>
    </row>
    <row r="141" ht="22.5" customHeight="1">
      <c r="A141" s="7" t="s">
        <v>2217</v>
      </c>
      <c r="B141" s="8" t="s">
        <v>2368</v>
      </c>
      <c r="C141" s="7" t="s">
        <v>103</v>
      </c>
      <c r="D141" s="7" t="s">
        <v>2379</v>
      </c>
      <c r="E141" s="7"/>
      <c r="F141" s="7" t="s">
        <v>16</v>
      </c>
    </row>
    <row r="142" ht="22.5" customHeight="1">
      <c r="A142" s="7" t="s">
        <v>2380</v>
      </c>
      <c r="B142" s="8" t="s">
        <v>2381</v>
      </c>
      <c r="C142" s="7" t="s">
        <v>30</v>
      </c>
      <c r="D142" s="7" t="s">
        <v>2382</v>
      </c>
      <c r="E142" s="7"/>
      <c r="F142" s="7" t="s">
        <v>16</v>
      </c>
    </row>
    <row r="143" ht="22.5" customHeight="1">
      <c r="A143" s="7" t="s">
        <v>2380</v>
      </c>
      <c r="B143" s="8" t="s">
        <v>2381</v>
      </c>
      <c r="C143" s="7" t="s">
        <v>30</v>
      </c>
      <c r="D143" s="7" t="s">
        <v>2383</v>
      </c>
      <c r="E143" s="7"/>
      <c r="F143" s="7" t="s">
        <v>16</v>
      </c>
    </row>
    <row r="144" ht="22.5" customHeight="1">
      <c r="A144" s="7" t="s">
        <v>2380</v>
      </c>
      <c r="B144" s="8" t="s">
        <v>2381</v>
      </c>
      <c r="C144" s="7" t="s">
        <v>598</v>
      </c>
      <c r="D144" s="7" t="s">
        <v>2384</v>
      </c>
      <c r="E144" s="7"/>
      <c r="F144" s="7" t="s">
        <v>16</v>
      </c>
    </row>
    <row r="145" ht="22.5" customHeight="1">
      <c r="A145" s="7" t="s">
        <v>2380</v>
      </c>
      <c r="B145" s="8" t="s">
        <v>2381</v>
      </c>
      <c r="C145" s="7" t="s">
        <v>598</v>
      </c>
      <c r="D145" s="7" t="s">
        <v>2385</v>
      </c>
      <c r="E145" s="7"/>
      <c r="F145" s="7" t="s">
        <v>16</v>
      </c>
    </row>
    <row r="146" ht="22.5" customHeight="1">
      <c r="A146" s="7" t="s">
        <v>2380</v>
      </c>
      <c r="B146" s="8" t="s">
        <v>2381</v>
      </c>
      <c r="C146" s="7" t="s">
        <v>36</v>
      </c>
      <c r="D146" s="7" t="s">
        <v>2386</v>
      </c>
      <c r="E146" s="7"/>
      <c r="F146" s="7" t="s">
        <v>16</v>
      </c>
    </row>
    <row r="147" ht="22.5" customHeight="1">
      <c r="A147" s="7" t="s">
        <v>2380</v>
      </c>
      <c r="B147" s="8" t="s">
        <v>2381</v>
      </c>
      <c r="C147" s="7" t="s">
        <v>36</v>
      </c>
      <c r="D147" s="7" t="s">
        <v>2387</v>
      </c>
      <c r="E147" s="7"/>
      <c r="F147" s="7" t="s">
        <v>16</v>
      </c>
    </row>
    <row r="148" ht="22.5" customHeight="1">
      <c r="A148" s="7" t="s">
        <v>2380</v>
      </c>
      <c r="B148" s="8" t="s">
        <v>2381</v>
      </c>
      <c r="C148" s="7" t="s">
        <v>230</v>
      </c>
      <c r="D148" s="7" t="s">
        <v>2388</v>
      </c>
      <c r="E148" s="7"/>
      <c r="F148" s="7" t="s">
        <v>16</v>
      </c>
    </row>
    <row r="149" ht="22.5" customHeight="1">
      <c r="A149" s="7" t="s">
        <v>2380</v>
      </c>
      <c r="B149" s="8" t="s">
        <v>2381</v>
      </c>
      <c r="C149" s="7" t="s">
        <v>230</v>
      </c>
      <c r="D149" s="7" t="s">
        <v>2389</v>
      </c>
      <c r="E149" s="7"/>
      <c r="F149" s="7" t="s">
        <v>16</v>
      </c>
    </row>
    <row r="150" ht="22.5" customHeight="1">
      <c r="A150" s="7" t="s">
        <v>2380</v>
      </c>
      <c r="B150" s="8" t="s">
        <v>2381</v>
      </c>
      <c r="C150" s="7" t="s">
        <v>38</v>
      </c>
      <c r="D150" s="7" t="s">
        <v>2390</v>
      </c>
      <c r="E150" s="7"/>
      <c r="F150" s="7" t="s">
        <v>16</v>
      </c>
    </row>
    <row r="151" ht="22.5" customHeight="1">
      <c r="A151" s="7" t="s">
        <v>2380</v>
      </c>
      <c r="B151" s="8" t="s">
        <v>2381</v>
      </c>
      <c r="C151" s="7" t="s">
        <v>38</v>
      </c>
      <c r="D151" s="7" t="s">
        <v>2391</v>
      </c>
      <c r="E151" s="7"/>
      <c r="F151" s="7" t="s">
        <v>16</v>
      </c>
    </row>
    <row r="152" ht="22.5" customHeight="1">
      <c r="A152" s="7" t="s">
        <v>2380</v>
      </c>
      <c r="B152" s="8" t="s">
        <v>2381</v>
      </c>
      <c r="C152" s="7" t="s">
        <v>233</v>
      </c>
      <c r="D152" s="7" t="s">
        <v>2392</v>
      </c>
      <c r="E152" s="7"/>
      <c r="F152" s="7" t="s">
        <v>16</v>
      </c>
    </row>
    <row r="153" ht="22.5" customHeight="1">
      <c r="A153" s="7" t="s">
        <v>2380</v>
      </c>
      <c r="B153" s="8" t="s">
        <v>2381</v>
      </c>
      <c r="C153" s="7" t="s">
        <v>233</v>
      </c>
      <c r="D153" s="7" t="s">
        <v>2393</v>
      </c>
      <c r="E153" s="7"/>
      <c r="F153" s="7" t="s">
        <v>16</v>
      </c>
    </row>
    <row r="154" ht="22.5" customHeight="1">
      <c r="A154" s="7" t="s">
        <v>2380</v>
      </c>
      <c r="B154" s="8" t="s">
        <v>2381</v>
      </c>
      <c r="C154" s="7" t="s">
        <v>40</v>
      </c>
      <c r="D154" s="7" t="s">
        <v>2394</v>
      </c>
      <c r="E154" s="7"/>
      <c r="F154" s="7" t="s">
        <v>16</v>
      </c>
    </row>
    <row r="155" ht="22.5" customHeight="1">
      <c r="A155" s="7" t="s">
        <v>2380</v>
      </c>
      <c r="B155" s="8" t="s">
        <v>2381</v>
      </c>
      <c r="C155" s="7" t="s">
        <v>40</v>
      </c>
      <c r="D155" s="7" t="s">
        <v>2395</v>
      </c>
      <c r="E155" s="7"/>
      <c r="F155" s="7" t="s">
        <v>16</v>
      </c>
    </row>
    <row r="156" ht="22.5" customHeight="1">
      <c r="A156" s="7" t="s">
        <v>2380</v>
      </c>
      <c r="B156" s="8" t="s">
        <v>2381</v>
      </c>
      <c r="C156" s="7" t="s">
        <v>236</v>
      </c>
      <c r="D156" s="7" t="s">
        <v>2396</v>
      </c>
      <c r="E156" s="7"/>
      <c r="F156" s="7" t="s">
        <v>16</v>
      </c>
    </row>
    <row r="157" ht="22.5" customHeight="1">
      <c r="A157" s="7" t="s">
        <v>2380</v>
      </c>
      <c r="B157" s="8" t="s">
        <v>2381</v>
      </c>
      <c r="C157" s="7" t="s">
        <v>236</v>
      </c>
      <c r="D157" s="7" t="s">
        <v>2397</v>
      </c>
      <c r="E157" s="7"/>
      <c r="F157" s="7" t="s">
        <v>16</v>
      </c>
    </row>
    <row r="158" ht="22.5" customHeight="1">
      <c r="A158" s="7" t="s">
        <v>2380</v>
      </c>
      <c r="B158" s="8" t="s">
        <v>2381</v>
      </c>
      <c r="C158" s="7" t="s">
        <v>43</v>
      </c>
      <c r="D158" s="7" t="s">
        <v>2398</v>
      </c>
      <c r="E158" s="7"/>
      <c r="F158" s="7" t="s">
        <v>16</v>
      </c>
    </row>
    <row r="159" ht="22.5" customHeight="1">
      <c r="A159" s="7" t="s">
        <v>2380</v>
      </c>
      <c r="B159" s="8" t="s">
        <v>2381</v>
      </c>
      <c r="C159" s="7" t="s">
        <v>43</v>
      </c>
      <c r="D159" s="7" t="s">
        <v>2399</v>
      </c>
      <c r="E159" s="7"/>
      <c r="F159" s="7" t="s">
        <v>16</v>
      </c>
    </row>
    <row r="160" ht="22.5" customHeight="1">
      <c r="A160" s="7" t="s">
        <v>2380</v>
      </c>
      <c r="B160" s="8" t="s">
        <v>2381</v>
      </c>
      <c r="C160" s="7" t="s">
        <v>239</v>
      </c>
      <c r="D160" s="7" t="s">
        <v>2400</v>
      </c>
      <c r="E160" s="7"/>
      <c r="F160" s="7" t="s">
        <v>16</v>
      </c>
    </row>
    <row r="161" ht="22.5" customHeight="1">
      <c r="A161" s="7" t="s">
        <v>2380</v>
      </c>
      <c r="B161" s="8" t="s">
        <v>2381</v>
      </c>
      <c r="C161" s="7" t="s">
        <v>239</v>
      </c>
      <c r="D161" s="7" t="s">
        <v>2401</v>
      </c>
      <c r="E161" s="7"/>
      <c r="F161" s="7" t="s">
        <v>16</v>
      </c>
    </row>
    <row r="162" ht="22.5" customHeight="1">
      <c r="A162" s="7" t="s">
        <v>2380</v>
      </c>
      <c r="B162" s="8" t="s">
        <v>2381</v>
      </c>
      <c r="C162" s="7" t="s">
        <v>103</v>
      </c>
      <c r="D162" s="7" t="s">
        <v>2402</v>
      </c>
      <c r="E162" s="7"/>
      <c r="F162" s="7" t="s">
        <v>16</v>
      </c>
    </row>
    <row r="163" ht="22.5" customHeight="1">
      <c r="A163" s="7" t="s">
        <v>2380</v>
      </c>
      <c r="B163" s="8" t="s">
        <v>2381</v>
      </c>
      <c r="C163" s="7" t="s">
        <v>103</v>
      </c>
      <c r="D163" s="7" t="s">
        <v>2403</v>
      </c>
      <c r="E163" s="7"/>
      <c r="F163" s="7" t="s">
        <v>16</v>
      </c>
    </row>
    <row r="164" ht="22.5" customHeight="1">
      <c r="A164" s="7" t="s">
        <v>2251</v>
      </c>
      <c r="B164" s="8" t="s">
        <v>2404</v>
      </c>
      <c r="C164" s="7" t="s">
        <v>36</v>
      </c>
      <c r="D164" s="7" t="s">
        <v>2405</v>
      </c>
      <c r="E164" s="7"/>
      <c r="F164" s="7" t="s">
        <v>16</v>
      </c>
    </row>
    <row r="165" ht="22.5" customHeight="1">
      <c r="A165" s="7" t="s">
        <v>2251</v>
      </c>
      <c r="B165" s="8" t="s">
        <v>2404</v>
      </c>
      <c r="C165" s="7" t="s">
        <v>36</v>
      </c>
      <c r="D165" s="7" t="s">
        <v>2406</v>
      </c>
      <c r="E165" s="7"/>
      <c r="F165" s="7" t="s">
        <v>16</v>
      </c>
    </row>
    <row r="166" ht="22.5" customHeight="1">
      <c r="A166" s="7" t="s">
        <v>2251</v>
      </c>
      <c r="B166" s="8" t="s">
        <v>2404</v>
      </c>
      <c r="C166" s="7" t="s">
        <v>230</v>
      </c>
      <c r="D166" s="7" t="s">
        <v>2407</v>
      </c>
      <c r="E166" s="7"/>
      <c r="F166" s="7" t="s">
        <v>16</v>
      </c>
    </row>
    <row r="167" ht="22.5" customHeight="1">
      <c r="A167" s="7" t="s">
        <v>2251</v>
      </c>
      <c r="B167" s="8" t="s">
        <v>2408</v>
      </c>
      <c r="C167" s="7" t="s">
        <v>38</v>
      </c>
      <c r="D167" s="7" t="s">
        <v>2409</v>
      </c>
      <c r="E167" s="7"/>
      <c r="F167" s="7" t="s">
        <v>16</v>
      </c>
    </row>
    <row r="168" ht="22.5" customHeight="1">
      <c r="A168" s="7" t="s">
        <v>2251</v>
      </c>
      <c r="B168" s="8" t="s">
        <v>2408</v>
      </c>
      <c r="C168" s="7" t="s">
        <v>38</v>
      </c>
      <c r="D168" s="7" t="s">
        <v>2410</v>
      </c>
      <c r="E168" s="7"/>
      <c r="F168" s="7" t="s">
        <v>16</v>
      </c>
    </row>
    <row r="169" ht="22.5" customHeight="1">
      <c r="A169" s="7" t="s">
        <v>2251</v>
      </c>
      <c r="B169" s="8" t="s">
        <v>2408</v>
      </c>
      <c r="C169" s="7" t="s">
        <v>233</v>
      </c>
      <c r="D169" s="7" t="s">
        <v>2411</v>
      </c>
      <c r="E169" s="7"/>
      <c r="F169" s="7" t="s">
        <v>16</v>
      </c>
    </row>
    <row r="170" ht="22.5" customHeight="1">
      <c r="A170" s="7" t="s">
        <v>2251</v>
      </c>
      <c r="B170" s="8" t="s">
        <v>2412</v>
      </c>
      <c r="C170" s="7" t="s">
        <v>40</v>
      </c>
      <c r="D170" s="7" t="s">
        <v>2413</v>
      </c>
      <c r="E170" s="7"/>
      <c r="F170" s="7" t="s">
        <v>16</v>
      </c>
    </row>
    <row r="171" ht="22.5" customHeight="1">
      <c r="A171" s="7" t="s">
        <v>2251</v>
      </c>
      <c r="B171" s="8" t="s">
        <v>2412</v>
      </c>
      <c r="C171" s="7" t="s">
        <v>236</v>
      </c>
      <c r="D171" s="7" t="s">
        <v>2414</v>
      </c>
      <c r="E171" s="7"/>
      <c r="F171" s="7" t="s">
        <v>16</v>
      </c>
    </row>
    <row r="172" ht="22.5" customHeight="1">
      <c r="A172" s="7" t="s">
        <v>2251</v>
      </c>
      <c r="B172" s="8" t="s">
        <v>2415</v>
      </c>
      <c r="C172" s="7" t="s">
        <v>43</v>
      </c>
      <c r="D172" s="7" t="s">
        <v>2416</v>
      </c>
      <c r="E172" s="7"/>
      <c r="F172" s="7" t="s">
        <v>16</v>
      </c>
    </row>
    <row r="173" ht="22.5" customHeight="1">
      <c r="A173" s="7" t="s">
        <v>2251</v>
      </c>
      <c r="B173" s="8" t="s">
        <v>2415</v>
      </c>
      <c r="C173" s="7" t="s">
        <v>239</v>
      </c>
      <c r="D173" s="7" t="s">
        <v>2417</v>
      </c>
      <c r="E173" s="7"/>
      <c r="F173" s="7" t="s">
        <v>16</v>
      </c>
    </row>
    <row r="174" ht="22.5" customHeight="1">
      <c r="A174" s="7" t="s">
        <v>2251</v>
      </c>
      <c r="B174" s="8" t="s">
        <v>2415</v>
      </c>
      <c r="C174" s="7" t="s">
        <v>103</v>
      </c>
      <c r="D174" s="7" t="s">
        <v>2418</v>
      </c>
      <c r="E174" s="7"/>
      <c r="F174" s="7" t="s">
        <v>16</v>
      </c>
    </row>
    <row r="175" ht="22.5" customHeight="1">
      <c r="A175" s="7" t="s">
        <v>2217</v>
      </c>
      <c r="B175" s="8" t="s">
        <v>2419</v>
      </c>
      <c r="C175" s="7" t="s">
        <v>30</v>
      </c>
      <c r="D175" s="7" t="s">
        <v>2420</v>
      </c>
      <c r="E175" s="7"/>
      <c r="F175" s="7" t="s">
        <v>16</v>
      </c>
    </row>
    <row r="176" ht="22.5" customHeight="1">
      <c r="A176" s="7" t="s">
        <v>2217</v>
      </c>
      <c r="B176" s="8" t="s">
        <v>2419</v>
      </c>
      <c r="C176" s="7" t="s">
        <v>36</v>
      </c>
      <c r="D176" s="7" t="s">
        <v>2421</v>
      </c>
      <c r="E176" s="7"/>
      <c r="F176" s="7" t="s">
        <v>16</v>
      </c>
    </row>
    <row r="177" ht="22.5" customHeight="1">
      <c r="A177" s="7" t="s">
        <v>2217</v>
      </c>
      <c r="B177" s="8" t="s">
        <v>2419</v>
      </c>
      <c r="C177" s="7" t="s">
        <v>38</v>
      </c>
      <c r="D177" s="7" t="s">
        <v>2422</v>
      </c>
      <c r="E177" s="7"/>
      <c r="F177" s="7" t="s">
        <v>16</v>
      </c>
    </row>
    <row r="178" ht="22.5" customHeight="1">
      <c r="A178" s="7" t="s">
        <v>2217</v>
      </c>
      <c r="B178" s="8" t="s">
        <v>2419</v>
      </c>
      <c r="C178" s="7" t="s">
        <v>233</v>
      </c>
      <c r="D178" s="7" t="s">
        <v>2423</v>
      </c>
      <c r="E178" s="7"/>
      <c r="F178" s="7" t="s">
        <v>16</v>
      </c>
    </row>
    <row r="179" ht="22.5" customHeight="1">
      <c r="A179" s="7" t="s">
        <v>2217</v>
      </c>
      <c r="B179" s="8" t="s">
        <v>2419</v>
      </c>
      <c r="C179" s="7" t="s">
        <v>40</v>
      </c>
      <c r="D179" s="7" t="s">
        <v>2424</v>
      </c>
      <c r="E179" s="7"/>
      <c r="F179" s="7" t="s">
        <v>16</v>
      </c>
    </row>
    <row r="180" ht="22.5" customHeight="1">
      <c r="A180" s="7" t="s">
        <v>2217</v>
      </c>
      <c r="B180" s="8" t="s">
        <v>2419</v>
      </c>
      <c r="C180" s="7" t="s">
        <v>236</v>
      </c>
      <c r="D180" s="7" t="s">
        <v>2425</v>
      </c>
      <c r="E180" s="7"/>
      <c r="F180" s="7" t="s">
        <v>16</v>
      </c>
    </row>
    <row r="181" ht="22.5" customHeight="1">
      <c r="A181" s="7" t="s">
        <v>2217</v>
      </c>
      <c r="B181" s="8" t="s">
        <v>2419</v>
      </c>
      <c r="C181" s="7" t="s">
        <v>43</v>
      </c>
      <c r="D181" s="7" t="s">
        <v>2426</v>
      </c>
      <c r="E181" s="7"/>
      <c r="F181" s="7" t="s">
        <v>16</v>
      </c>
    </row>
    <row r="182" ht="22.5" customHeight="1">
      <c r="A182" s="7" t="s">
        <v>2217</v>
      </c>
      <c r="B182" s="8" t="s">
        <v>2419</v>
      </c>
      <c r="C182" s="7" t="s">
        <v>239</v>
      </c>
      <c r="D182" s="7" t="s">
        <v>2427</v>
      </c>
      <c r="E182" s="7"/>
      <c r="F182" s="7" t="s">
        <v>16</v>
      </c>
    </row>
    <row r="183" ht="22.5" customHeight="1">
      <c r="A183" s="7" t="s">
        <v>2217</v>
      </c>
      <c r="B183" s="8" t="s">
        <v>2419</v>
      </c>
      <c r="C183" s="7" t="s">
        <v>103</v>
      </c>
      <c r="D183" s="7" t="s">
        <v>2428</v>
      </c>
      <c r="E183" s="7"/>
      <c r="F183" s="7" t="s">
        <v>16</v>
      </c>
    </row>
    <row r="184" ht="22.5" customHeight="1">
      <c r="A184" s="7" t="s">
        <v>2217</v>
      </c>
      <c r="B184" s="8" t="s">
        <v>2429</v>
      </c>
      <c r="C184" s="7" t="s">
        <v>30</v>
      </c>
      <c r="D184" s="7" t="s">
        <v>2430</v>
      </c>
      <c r="E184" s="7"/>
      <c r="F184" s="7" t="s">
        <v>16</v>
      </c>
    </row>
    <row r="185" ht="22.5" customHeight="1">
      <c r="A185" s="7" t="s">
        <v>2217</v>
      </c>
      <c r="B185" s="8" t="s">
        <v>2429</v>
      </c>
      <c r="C185" s="7" t="s">
        <v>36</v>
      </c>
      <c r="D185" s="7" t="s">
        <v>2431</v>
      </c>
      <c r="E185" s="7"/>
      <c r="F185" s="7" t="s">
        <v>16</v>
      </c>
    </row>
    <row r="186" ht="22.5" customHeight="1">
      <c r="A186" s="7" t="s">
        <v>2217</v>
      </c>
      <c r="B186" s="8" t="s">
        <v>2429</v>
      </c>
      <c r="C186" s="7" t="s">
        <v>230</v>
      </c>
      <c r="D186" s="7" t="s">
        <v>2432</v>
      </c>
      <c r="E186" s="7"/>
      <c r="F186" s="7" t="s">
        <v>16</v>
      </c>
    </row>
    <row r="187" ht="22.5" customHeight="1">
      <c r="A187" s="7" t="s">
        <v>2217</v>
      </c>
      <c r="B187" s="8" t="s">
        <v>2429</v>
      </c>
      <c r="C187" s="7" t="s">
        <v>38</v>
      </c>
      <c r="D187" s="7" t="s">
        <v>2433</v>
      </c>
      <c r="E187" s="7"/>
      <c r="F187" s="7" t="s">
        <v>16</v>
      </c>
    </row>
    <row r="188" ht="22.5" customHeight="1">
      <c r="A188" s="7" t="s">
        <v>2217</v>
      </c>
      <c r="B188" s="8" t="s">
        <v>2429</v>
      </c>
      <c r="C188" s="7" t="s">
        <v>233</v>
      </c>
      <c r="D188" s="7" t="s">
        <v>2434</v>
      </c>
      <c r="E188" s="7"/>
      <c r="F188" s="7" t="s">
        <v>16</v>
      </c>
    </row>
    <row r="189" ht="22.5" customHeight="1">
      <c r="A189" s="7" t="s">
        <v>2217</v>
      </c>
      <c r="B189" s="8" t="s">
        <v>2429</v>
      </c>
      <c r="C189" s="7" t="s">
        <v>40</v>
      </c>
      <c r="D189" s="7" t="s">
        <v>2435</v>
      </c>
      <c r="E189" s="7"/>
      <c r="F189" s="7" t="s">
        <v>16</v>
      </c>
    </row>
    <row r="190" ht="22.5" customHeight="1">
      <c r="A190" s="7" t="s">
        <v>2217</v>
      </c>
      <c r="B190" s="8" t="s">
        <v>2429</v>
      </c>
      <c r="C190" s="7" t="s">
        <v>236</v>
      </c>
      <c r="D190" s="7" t="s">
        <v>2436</v>
      </c>
      <c r="E190" s="7"/>
      <c r="F190" s="7" t="s">
        <v>16</v>
      </c>
    </row>
    <row r="191" ht="22.5" customHeight="1">
      <c r="A191" s="7" t="s">
        <v>2217</v>
      </c>
      <c r="B191" s="8" t="s">
        <v>2429</v>
      </c>
      <c r="C191" s="7" t="s">
        <v>43</v>
      </c>
      <c r="D191" s="7" t="s">
        <v>2437</v>
      </c>
      <c r="E191" s="7"/>
      <c r="F191" s="7" t="s">
        <v>16</v>
      </c>
    </row>
    <row r="192" ht="22.5" customHeight="1">
      <c r="A192" s="7" t="s">
        <v>2217</v>
      </c>
      <c r="B192" s="8" t="s">
        <v>2429</v>
      </c>
      <c r="C192" s="7" t="s">
        <v>239</v>
      </c>
      <c r="D192" s="7" t="s">
        <v>2438</v>
      </c>
      <c r="E192" s="7"/>
      <c r="F192" s="7" t="s">
        <v>16</v>
      </c>
    </row>
    <row r="193" ht="22.5" customHeight="1">
      <c r="A193" s="7" t="s">
        <v>2217</v>
      </c>
      <c r="B193" s="8" t="s">
        <v>2429</v>
      </c>
      <c r="C193" s="7" t="s">
        <v>103</v>
      </c>
      <c r="D193" s="7" t="s">
        <v>2439</v>
      </c>
      <c r="E193" s="7"/>
      <c r="F193" s="7" t="s">
        <v>16</v>
      </c>
    </row>
    <row r="194" ht="22.5" customHeight="1">
      <c r="A194" s="7" t="s">
        <v>2284</v>
      </c>
      <c r="B194" s="8" t="s">
        <v>2440</v>
      </c>
      <c r="C194" s="7" t="s">
        <v>30</v>
      </c>
      <c r="D194" s="7" t="s">
        <v>2441</v>
      </c>
      <c r="E194" s="7"/>
      <c r="F194" s="7" t="s">
        <v>16</v>
      </c>
    </row>
    <row r="195" ht="22.5" customHeight="1">
      <c r="A195" s="7" t="s">
        <v>2284</v>
      </c>
      <c r="B195" s="8" t="s">
        <v>2440</v>
      </c>
      <c r="C195" s="7" t="s">
        <v>36</v>
      </c>
      <c r="D195" s="7" t="s">
        <v>2442</v>
      </c>
      <c r="E195" s="7"/>
      <c r="F195" s="7" t="s">
        <v>16</v>
      </c>
    </row>
    <row r="196" ht="22.5" customHeight="1">
      <c r="A196" s="7" t="s">
        <v>2284</v>
      </c>
      <c r="B196" s="8" t="s">
        <v>2440</v>
      </c>
      <c r="C196" s="7" t="s">
        <v>38</v>
      </c>
      <c r="D196" s="7" t="s">
        <v>2443</v>
      </c>
      <c r="E196" s="7"/>
      <c r="F196" s="7" t="s">
        <v>16</v>
      </c>
    </row>
    <row r="197" ht="22.5" customHeight="1">
      <c r="A197" s="7" t="s">
        <v>2284</v>
      </c>
      <c r="B197" s="8" t="s">
        <v>2440</v>
      </c>
      <c r="C197" s="7" t="s">
        <v>40</v>
      </c>
      <c r="D197" s="7" t="s">
        <v>2444</v>
      </c>
      <c r="E197" s="7"/>
      <c r="F197" s="7" t="s">
        <v>16</v>
      </c>
    </row>
    <row r="198" ht="22.5" customHeight="1">
      <c r="A198" s="7" t="s">
        <v>2284</v>
      </c>
      <c r="B198" s="8" t="s">
        <v>2440</v>
      </c>
      <c r="C198" s="7" t="s">
        <v>43</v>
      </c>
      <c r="D198" s="7" t="s">
        <v>2445</v>
      </c>
      <c r="E198" s="7"/>
      <c r="F198" s="7" t="s">
        <v>16</v>
      </c>
    </row>
    <row r="199" ht="22.5" customHeight="1">
      <c r="A199" s="7" t="s">
        <v>2284</v>
      </c>
      <c r="B199" s="8" t="s">
        <v>2446</v>
      </c>
      <c r="C199" s="7" t="s">
        <v>40</v>
      </c>
      <c r="D199" s="7" t="s">
        <v>2447</v>
      </c>
      <c r="E199" s="7"/>
      <c r="F199" s="7" t="s">
        <v>16</v>
      </c>
    </row>
    <row r="200" ht="22.5" customHeight="1">
      <c r="A200" s="7" t="s">
        <v>2284</v>
      </c>
      <c r="B200" s="8" t="s">
        <v>2446</v>
      </c>
      <c r="C200" s="7" t="s">
        <v>236</v>
      </c>
      <c r="D200" s="7" t="s">
        <v>2448</v>
      </c>
      <c r="E200" s="7"/>
      <c r="F200" s="7" t="s">
        <v>16</v>
      </c>
    </row>
    <row r="201" ht="22.5" customHeight="1">
      <c r="A201" s="7" t="s">
        <v>2284</v>
      </c>
      <c r="B201" s="8" t="s">
        <v>2446</v>
      </c>
      <c r="C201" s="7" t="s">
        <v>43</v>
      </c>
      <c r="D201" s="7" t="s">
        <v>2449</v>
      </c>
      <c r="E201" s="7"/>
      <c r="F201" s="7" t="s">
        <v>16</v>
      </c>
    </row>
    <row r="202" ht="22.5" customHeight="1">
      <c r="A202" s="7" t="s">
        <v>2284</v>
      </c>
      <c r="B202" s="8" t="s">
        <v>2446</v>
      </c>
      <c r="C202" s="7" t="s">
        <v>239</v>
      </c>
      <c r="D202" s="7" t="s">
        <v>2450</v>
      </c>
      <c r="E202" s="7"/>
      <c r="F202" s="7" t="s">
        <v>16</v>
      </c>
    </row>
    <row r="203" ht="22.5" customHeight="1">
      <c r="A203" s="7" t="s">
        <v>2284</v>
      </c>
      <c r="B203" s="8" t="s">
        <v>2446</v>
      </c>
      <c r="C203" s="7" t="s">
        <v>103</v>
      </c>
      <c r="D203" s="7" t="s">
        <v>2451</v>
      </c>
      <c r="E203" s="7"/>
      <c r="F203" s="7" t="s">
        <v>16</v>
      </c>
    </row>
    <row r="204" ht="22.5" customHeight="1">
      <c r="A204" s="7" t="s">
        <v>2452</v>
      </c>
      <c r="B204" s="8" t="s">
        <v>2453</v>
      </c>
      <c r="C204" s="7" t="s">
        <v>30</v>
      </c>
      <c r="D204" s="7" t="s">
        <v>2454</v>
      </c>
      <c r="E204" s="7"/>
      <c r="F204" s="7" t="s">
        <v>1917</v>
      </c>
    </row>
    <row r="205" ht="22.5" customHeight="1">
      <c r="A205" s="7" t="s">
        <v>2452</v>
      </c>
      <c r="B205" s="8" t="s">
        <v>2453</v>
      </c>
      <c r="C205" s="7" t="s">
        <v>36</v>
      </c>
      <c r="D205" s="7" t="s">
        <v>2455</v>
      </c>
      <c r="E205" s="7"/>
      <c r="F205" s="7" t="s">
        <v>1917</v>
      </c>
    </row>
    <row r="206" ht="22.5" customHeight="1">
      <c r="A206" s="7" t="s">
        <v>2452</v>
      </c>
      <c r="B206" s="8" t="s">
        <v>2453</v>
      </c>
      <c r="C206" s="7" t="s">
        <v>230</v>
      </c>
      <c r="D206" s="7" t="s">
        <v>2456</v>
      </c>
      <c r="E206" s="7"/>
      <c r="F206" s="7" t="s">
        <v>1917</v>
      </c>
    </row>
    <row r="207" ht="22.5" customHeight="1">
      <c r="A207" s="7" t="s">
        <v>2452</v>
      </c>
      <c r="B207" s="8" t="s">
        <v>2453</v>
      </c>
      <c r="C207" s="7" t="s">
        <v>38</v>
      </c>
      <c r="D207" s="7" t="s">
        <v>2457</v>
      </c>
      <c r="E207" s="7"/>
      <c r="F207" s="7" t="s">
        <v>1917</v>
      </c>
    </row>
    <row r="208" ht="22.5" customHeight="1">
      <c r="A208" s="7" t="s">
        <v>2452</v>
      </c>
      <c r="B208" s="8" t="s">
        <v>2453</v>
      </c>
      <c r="C208" s="7" t="s">
        <v>233</v>
      </c>
      <c r="D208" s="7" t="s">
        <v>2458</v>
      </c>
      <c r="E208" s="7"/>
      <c r="F208" s="7" t="s">
        <v>1917</v>
      </c>
    </row>
    <row r="209" ht="22.5" customHeight="1">
      <c r="A209" s="7" t="s">
        <v>2452</v>
      </c>
      <c r="B209" s="8" t="s">
        <v>2453</v>
      </c>
      <c r="C209" s="7" t="s">
        <v>40</v>
      </c>
      <c r="D209" s="7" t="s">
        <v>2459</v>
      </c>
      <c r="E209" s="7"/>
      <c r="F209" s="7" t="s">
        <v>1917</v>
      </c>
    </row>
    <row r="210" ht="22.5" customHeight="1">
      <c r="A210" s="7" t="s">
        <v>2452</v>
      </c>
      <c r="B210" s="8" t="s">
        <v>2453</v>
      </c>
      <c r="C210" s="7" t="s">
        <v>236</v>
      </c>
      <c r="D210" s="7" t="s">
        <v>2460</v>
      </c>
      <c r="E210" s="7"/>
      <c r="F210" s="7" t="s">
        <v>1917</v>
      </c>
    </row>
    <row r="211" ht="22.5" customHeight="1">
      <c r="A211" s="7" t="s">
        <v>2452</v>
      </c>
      <c r="B211" s="8" t="s">
        <v>2453</v>
      </c>
      <c r="C211" s="7" t="s">
        <v>43</v>
      </c>
      <c r="D211" s="7" t="s">
        <v>2461</v>
      </c>
      <c r="E211" s="7"/>
      <c r="F211" s="7" t="s">
        <v>1917</v>
      </c>
    </row>
    <row r="212" ht="22.5" customHeight="1">
      <c r="A212" s="7" t="s">
        <v>2452</v>
      </c>
      <c r="B212" s="8" t="s">
        <v>2453</v>
      </c>
      <c r="C212" s="7" t="s">
        <v>239</v>
      </c>
      <c r="D212" s="7" t="s">
        <v>2462</v>
      </c>
      <c r="E212" s="7"/>
      <c r="F212" s="7" t="s">
        <v>1917</v>
      </c>
    </row>
    <row r="213" ht="22.5" customHeight="1">
      <c r="A213" s="7" t="s">
        <v>2452</v>
      </c>
      <c r="B213" s="8" t="s">
        <v>2453</v>
      </c>
      <c r="C213" s="7" t="s">
        <v>103</v>
      </c>
      <c r="D213" s="7" t="s">
        <v>2463</v>
      </c>
      <c r="E213" s="7"/>
      <c r="F213" s="7" t="s">
        <v>1917</v>
      </c>
    </row>
    <row r="214" ht="22.5" customHeight="1">
      <c r="A214" s="7" t="s">
        <v>2452</v>
      </c>
      <c r="B214" s="8" t="s">
        <v>2464</v>
      </c>
      <c r="C214" s="7" t="s">
        <v>30</v>
      </c>
      <c r="D214" s="7" t="s">
        <v>2465</v>
      </c>
      <c r="E214" s="7"/>
      <c r="F214" s="7" t="s">
        <v>16</v>
      </c>
    </row>
    <row r="215" ht="22.5" customHeight="1">
      <c r="A215" s="7" t="s">
        <v>2452</v>
      </c>
      <c r="B215" s="8" t="s">
        <v>2464</v>
      </c>
      <c r="C215" s="7" t="s">
        <v>36</v>
      </c>
      <c r="D215" s="7" t="s">
        <v>2466</v>
      </c>
      <c r="E215" s="7"/>
      <c r="F215" s="7" t="s">
        <v>16</v>
      </c>
    </row>
    <row r="216" ht="22.5" customHeight="1">
      <c r="A216" s="7" t="s">
        <v>2452</v>
      </c>
      <c r="B216" s="8" t="s">
        <v>2464</v>
      </c>
      <c r="C216" s="7" t="s">
        <v>230</v>
      </c>
      <c r="D216" s="7" t="s">
        <v>2467</v>
      </c>
      <c r="E216" s="7"/>
      <c r="F216" s="7" t="s">
        <v>16</v>
      </c>
    </row>
    <row r="217" ht="22.5" customHeight="1">
      <c r="A217" s="7" t="s">
        <v>2452</v>
      </c>
      <c r="B217" s="8" t="s">
        <v>2464</v>
      </c>
      <c r="C217" s="7" t="s">
        <v>38</v>
      </c>
      <c r="D217" s="7" t="s">
        <v>2468</v>
      </c>
      <c r="E217" s="7"/>
      <c r="F217" s="7" t="s">
        <v>16</v>
      </c>
    </row>
    <row r="218" ht="22.5" customHeight="1">
      <c r="A218" s="7" t="s">
        <v>2452</v>
      </c>
      <c r="B218" s="8" t="s">
        <v>2464</v>
      </c>
      <c r="C218" s="7" t="s">
        <v>233</v>
      </c>
      <c r="D218" s="7" t="s">
        <v>2469</v>
      </c>
      <c r="E218" s="7"/>
      <c r="F218" s="7" t="s">
        <v>16</v>
      </c>
    </row>
    <row r="219" ht="22.5" customHeight="1">
      <c r="A219" s="7" t="s">
        <v>2452</v>
      </c>
      <c r="B219" s="8" t="s">
        <v>2464</v>
      </c>
      <c r="C219" s="7" t="s">
        <v>40</v>
      </c>
      <c r="D219" s="7" t="s">
        <v>2470</v>
      </c>
      <c r="E219" s="7"/>
      <c r="F219" s="7" t="s">
        <v>16</v>
      </c>
    </row>
    <row r="220" ht="22.5" customHeight="1">
      <c r="A220" s="7" t="s">
        <v>2452</v>
      </c>
      <c r="B220" s="8" t="s">
        <v>2464</v>
      </c>
      <c r="C220" s="7" t="s">
        <v>236</v>
      </c>
      <c r="D220" s="7" t="s">
        <v>2471</v>
      </c>
      <c r="E220" s="7"/>
      <c r="F220" s="7" t="s">
        <v>16</v>
      </c>
    </row>
    <row r="221" ht="22.5" customHeight="1">
      <c r="A221" s="7" t="s">
        <v>2452</v>
      </c>
      <c r="B221" s="8" t="s">
        <v>2464</v>
      </c>
      <c r="C221" s="7" t="s">
        <v>43</v>
      </c>
      <c r="D221" s="7" t="s">
        <v>2472</v>
      </c>
      <c r="E221" s="7"/>
      <c r="F221" s="7" t="s">
        <v>16</v>
      </c>
    </row>
    <row r="222" ht="22.5" customHeight="1">
      <c r="A222" s="7" t="s">
        <v>2452</v>
      </c>
      <c r="B222" s="8" t="s">
        <v>2464</v>
      </c>
      <c r="C222" s="7" t="s">
        <v>239</v>
      </c>
      <c r="D222" s="7" t="s">
        <v>2473</v>
      </c>
      <c r="E222" s="7"/>
      <c r="F222" s="7" t="s">
        <v>16</v>
      </c>
    </row>
    <row r="223" ht="22.5" customHeight="1">
      <c r="A223" s="7" t="s">
        <v>2452</v>
      </c>
      <c r="B223" s="8" t="s">
        <v>2464</v>
      </c>
      <c r="C223" s="7" t="s">
        <v>103</v>
      </c>
      <c r="D223" s="7" t="s">
        <v>2474</v>
      </c>
      <c r="E223" s="7"/>
      <c r="F223" s="7" t="s">
        <v>16</v>
      </c>
    </row>
    <row r="224" ht="22.5" customHeight="1">
      <c r="A224" s="7" t="s">
        <v>2452</v>
      </c>
      <c r="B224" s="8" t="s">
        <v>2475</v>
      </c>
      <c r="C224" s="7" t="s">
        <v>30</v>
      </c>
      <c r="D224" s="7" t="s">
        <v>2476</v>
      </c>
      <c r="E224" s="7" t="s">
        <v>48</v>
      </c>
      <c r="F224" s="7" t="s">
        <v>16</v>
      </c>
    </row>
    <row r="225" ht="22.5" customHeight="1">
      <c r="A225" s="7" t="s">
        <v>2452</v>
      </c>
      <c r="B225" s="8" t="s">
        <v>2475</v>
      </c>
      <c r="C225" s="7" t="s">
        <v>598</v>
      </c>
      <c r="D225" s="7" t="s">
        <v>2477</v>
      </c>
      <c r="E225" s="7" t="s">
        <v>48</v>
      </c>
      <c r="F225" s="7" t="s">
        <v>16</v>
      </c>
    </row>
    <row r="226" ht="22.5" customHeight="1">
      <c r="A226" s="7" t="s">
        <v>2452</v>
      </c>
      <c r="B226" s="8" t="s">
        <v>2475</v>
      </c>
      <c r="C226" s="7" t="s">
        <v>36</v>
      </c>
      <c r="D226" s="7" t="s">
        <v>2478</v>
      </c>
      <c r="E226" s="7" t="s">
        <v>48</v>
      </c>
      <c r="F226" s="7" t="s">
        <v>16</v>
      </c>
    </row>
    <row r="227" ht="22.5" customHeight="1">
      <c r="A227" s="7" t="s">
        <v>2452</v>
      </c>
      <c r="B227" s="8" t="s">
        <v>2475</v>
      </c>
      <c r="C227" s="7" t="s">
        <v>230</v>
      </c>
      <c r="D227" s="7" t="s">
        <v>2479</v>
      </c>
      <c r="E227" s="7" t="s">
        <v>48</v>
      </c>
      <c r="F227" s="7" t="s">
        <v>16</v>
      </c>
    </row>
    <row r="228" ht="22.5" customHeight="1">
      <c r="A228" s="7" t="s">
        <v>2452</v>
      </c>
      <c r="B228" s="8" t="s">
        <v>2475</v>
      </c>
      <c r="C228" s="7" t="s">
        <v>38</v>
      </c>
      <c r="D228" s="7" t="s">
        <v>2480</v>
      </c>
      <c r="E228" s="7" t="s">
        <v>48</v>
      </c>
      <c r="F228" s="7" t="s">
        <v>16</v>
      </c>
    </row>
    <row r="229" ht="22.5" customHeight="1">
      <c r="A229" s="7" t="s">
        <v>2452</v>
      </c>
      <c r="B229" s="8" t="s">
        <v>2475</v>
      </c>
      <c r="C229" s="7" t="s">
        <v>233</v>
      </c>
      <c r="D229" s="7" t="s">
        <v>2481</v>
      </c>
      <c r="E229" s="7" t="s">
        <v>48</v>
      </c>
      <c r="F229" s="7" t="s">
        <v>16</v>
      </c>
    </row>
    <row r="230" ht="22.5" customHeight="1">
      <c r="A230" s="7" t="s">
        <v>2452</v>
      </c>
      <c r="B230" s="8" t="s">
        <v>2475</v>
      </c>
      <c r="C230" s="7" t="s">
        <v>40</v>
      </c>
      <c r="D230" s="7" t="s">
        <v>2482</v>
      </c>
      <c r="E230" s="7" t="s">
        <v>48</v>
      </c>
      <c r="F230" s="7" t="s">
        <v>16</v>
      </c>
    </row>
    <row r="231" ht="22.5" customHeight="1">
      <c r="A231" s="7" t="s">
        <v>2452</v>
      </c>
      <c r="B231" s="8" t="s">
        <v>2475</v>
      </c>
      <c r="C231" s="7" t="s">
        <v>236</v>
      </c>
      <c r="D231" s="7" t="s">
        <v>2483</v>
      </c>
      <c r="E231" s="7" t="s">
        <v>48</v>
      </c>
      <c r="F231" s="7" t="s">
        <v>16</v>
      </c>
    </row>
    <row r="232" ht="22.5" customHeight="1">
      <c r="A232" s="7" t="s">
        <v>2452</v>
      </c>
      <c r="B232" s="8" t="s">
        <v>2475</v>
      </c>
      <c r="C232" s="7" t="s">
        <v>43</v>
      </c>
      <c r="D232" s="7" t="s">
        <v>2484</v>
      </c>
      <c r="E232" s="7" t="s">
        <v>48</v>
      </c>
      <c r="F232" s="7" t="s">
        <v>16</v>
      </c>
    </row>
    <row r="233" ht="22.5" customHeight="1">
      <c r="A233" s="7" t="s">
        <v>2452</v>
      </c>
      <c r="B233" s="8" t="s">
        <v>2475</v>
      </c>
      <c r="C233" s="7" t="s">
        <v>239</v>
      </c>
      <c r="D233" s="7" t="s">
        <v>2485</v>
      </c>
      <c r="E233" s="7" t="s">
        <v>48</v>
      </c>
      <c r="F233" s="7" t="s">
        <v>16</v>
      </c>
    </row>
    <row r="234" ht="22.5" customHeight="1">
      <c r="A234" s="7" t="s">
        <v>2452</v>
      </c>
      <c r="B234" s="8" t="s">
        <v>2475</v>
      </c>
      <c r="C234" s="7" t="s">
        <v>103</v>
      </c>
      <c r="D234" s="7" t="s">
        <v>2486</v>
      </c>
      <c r="E234" s="7" t="s">
        <v>48</v>
      </c>
      <c r="F234" s="7" t="s">
        <v>16</v>
      </c>
    </row>
    <row r="235" ht="22.5" customHeight="1">
      <c r="A235" s="7" t="s">
        <v>2251</v>
      </c>
      <c r="B235" s="8" t="s">
        <v>2487</v>
      </c>
      <c r="C235" s="7" t="s">
        <v>30</v>
      </c>
      <c r="D235" s="7" t="s">
        <v>2488</v>
      </c>
      <c r="E235" s="7" t="s">
        <v>48</v>
      </c>
      <c r="F235" s="7" t="s">
        <v>1917</v>
      </c>
    </row>
    <row r="236" ht="22.5" customHeight="1">
      <c r="A236" s="7" t="s">
        <v>2251</v>
      </c>
      <c r="B236" s="8" t="s">
        <v>2487</v>
      </c>
      <c r="C236" s="7" t="s">
        <v>36</v>
      </c>
      <c r="D236" s="7" t="s">
        <v>2489</v>
      </c>
      <c r="E236" s="7" t="s">
        <v>48</v>
      </c>
      <c r="F236" s="7" t="s">
        <v>1917</v>
      </c>
    </row>
    <row r="237" ht="22.5" customHeight="1">
      <c r="A237" s="7" t="s">
        <v>2251</v>
      </c>
      <c r="B237" s="8" t="s">
        <v>2487</v>
      </c>
      <c r="C237" s="7" t="s">
        <v>230</v>
      </c>
      <c r="D237" s="7" t="s">
        <v>2490</v>
      </c>
      <c r="E237" s="7" t="s">
        <v>48</v>
      </c>
      <c r="F237" s="7" t="s">
        <v>1917</v>
      </c>
    </row>
    <row r="238" ht="22.5" customHeight="1">
      <c r="A238" s="7" t="s">
        <v>2251</v>
      </c>
      <c r="B238" s="8" t="s">
        <v>2487</v>
      </c>
      <c r="C238" s="7" t="s">
        <v>38</v>
      </c>
      <c r="D238" s="7" t="s">
        <v>2491</v>
      </c>
      <c r="E238" s="7" t="s">
        <v>48</v>
      </c>
      <c r="F238" s="7" t="s">
        <v>1917</v>
      </c>
    </row>
    <row r="239" ht="22.5" customHeight="1">
      <c r="A239" s="7" t="s">
        <v>2251</v>
      </c>
      <c r="B239" s="8" t="s">
        <v>2487</v>
      </c>
      <c r="C239" s="7" t="s">
        <v>233</v>
      </c>
      <c r="D239" s="7" t="s">
        <v>2492</v>
      </c>
      <c r="E239" s="7" t="s">
        <v>48</v>
      </c>
      <c r="F239" s="7" t="s">
        <v>1917</v>
      </c>
    </row>
    <row r="240" ht="22.5" customHeight="1">
      <c r="A240" s="7" t="s">
        <v>2251</v>
      </c>
      <c r="B240" s="8" t="s">
        <v>2487</v>
      </c>
      <c r="C240" s="7" t="s">
        <v>40</v>
      </c>
      <c r="D240" s="7" t="s">
        <v>2493</v>
      </c>
      <c r="E240" s="7" t="s">
        <v>48</v>
      </c>
      <c r="F240" s="7" t="s">
        <v>1917</v>
      </c>
    </row>
    <row r="241" ht="22.5" customHeight="1">
      <c r="A241" s="7" t="s">
        <v>2251</v>
      </c>
      <c r="B241" s="8" t="s">
        <v>2487</v>
      </c>
      <c r="C241" s="7" t="s">
        <v>236</v>
      </c>
      <c r="D241" s="7" t="s">
        <v>2494</v>
      </c>
      <c r="E241" s="7" t="s">
        <v>48</v>
      </c>
      <c r="F241" s="7" t="s">
        <v>1917</v>
      </c>
    </row>
    <row r="242" ht="22.5" customHeight="1">
      <c r="A242" s="7" t="s">
        <v>2251</v>
      </c>
      <c r="B242" s="8" t="s">
        <v>2487</v>
      </c>
      <c r="C242" s="7" t="s">
        <v>43</v>
      </c>
      <c r="D242" s="7" t="s">
        <v>2495</v>
      </c>
      <c r="E242" s="7" t="s">
        <v>48</v>
      </c>
      <c r="F242" s="7" t="s">
        <v>1917</v>
      </c>
    </row>
    <row r="243" ht="22.5" customHeight="1">
      <c r="A243" s="7" t="s">
        <v>2251</v>
      </c>
      <c r="B243" s="8" t="s">
        <v>2487</v>
      </c>
      <c r="C243" s="7" t="s">
        <v>239</v>
      </c>
      <c r="D243" s="7" t="s">
        <v>2496</v>
      </c>
      <c r="E243" s="7" t="s">
        <v>48</v>
      </c>
      <c r="F243" s="7" t="s">
        <v>1917</v>
      </c>
    </row>
    <row r="244" ht="22.5" customHeight="1">
      <c r="A244" s="7" t="s">
        <v>2251</v>
      </c>
      <c r="B244" s="8" t="s">
        <v>2487</v>
      </c>
      <c r="C244" s="7" t="s">
        <v>103</v>
      </c>
      <c r="D244" s="7" t="s">
        <v>2497</v>
      </c>
      <c r="E244" s="7" t="s">
        <v>48</v>
      </c>
      <c r="F244" s="7" t="s">
        <v>1917</v>
      </c>
    </row>
    <row r="245" ht="22.5" customHeight="1">
      <c r="A245" s="7" t="s">
        <v>2217</v>
      </c>
      <c r="B245" s="8" t="s">
        <v>2498</v>
      </c>
      <c r="C245" s="7" t="s">
        <v>30</v>
      </c>
      <c r="D245" s="7" t="s">
        <v>2499</v>
      </c>
      <c r="E245" s="7"/>
      <c r="F245" s="7" t="s">
        <v>16</v>
      </c>
    </row>
    <row r="246" ht="22.5" customHeight="1">
      <c r="A246" s="7" t="s">
        <v>2217</v>
      </c>
      <c r="B246" s="8" t="s">
        <v>2498</v>
      </c>
      <c r="C246" s="7" t="s">
        <v>598</v>
      </c>
      <c r="D246" s="7" t="s">
        <v>2500</v>
      </c>
      <c r="E246" s="7"/>
      <c r="F246" s="7" t="s">
        <v>16</v>
      </c>
    </row>
    <row r="247" ht="22.5" customHeight="1">
      <c r="A247" s="7" t="s">
        <v>2217</v>
      </c>
      <c r="B247" s="8" t="s">
        <v>2498</v>
      </c>
      <c r="C247" s="7" t="s">
        <v>36</v>
      </c>
      <c r="D247" s="7" t="s">
        <v>2501</v>
      </c>
      <c r="E247" s="7"/>
      <c r="F247" s="7" t="s">
        <v>16</v>
      </c>
    </row>
    <row r="248" ht="22.5" customHeight="1">
      <c r="A248" s="7" t="s">
        <v>2217</v>
      </c>
      <c r="B248" s="8" t="s">
        <v>2498</v>
      </c>
      <c r="C248" s="7" t="s">
        <v>230</v>
      </c>
      <c r="D248" s="7" t="s">
        <v>2502</v>
      </c>
      <c r="E248" s="7"/>
      <c r="F248" s="7" t="s">
        <v>16</v>
      </c>
    </row>
    <row r="249" ht="22.5" customHeight="1">
      <c r="A249" s="7" t="s">
        <v>2217</v>
      </c>
      <c r="B249" s="8" t="s">
        <v>2498</v>
      </c>
      <c r="C249" s="7" t="s">
        <v>38</v>
      </c>
      <c r="D249" s="7" t="s">
        <v>2503</v>
      </c>
      <c r="E249" s="7"/>
      <c r="F249" s="7" t="s">
        <v>16</v>
      </c>
    </row>
    <row r="250" ht="22.5" customHeight="1">
      <c r="A250" s="7" t="s">
        <v>2217</v>
      </c>
      <c r="B250" s="8" t="s">
        <v>2498</v>
      </c>
      <c r="C250" s="7" t="s">
        <v>233</v>
      </c>
      <c r="D250" s="7" t="s">
        <v>2504</v>
      </c>
      <c r="E250" s="7"/>
      <c r="F250" s="7" t="s">
        <v>16</v>
      </c>
    </row>
    <row r="251" ht="22.5" customHeight="1">
      <c r="A251" s="7" t="s">
        <v>2217</v>
      </c>
      <c r="B251" s="8" t="s">
        <v>2498</v>
      </c>
      <c r="C251" s="7" t="s">
        <v>40</v>
      </c>
      <c r="D251" s="7" t="s">
        <v>2505</v>
      </c>
      <c r="E251" s="7"/>
      <c r="F251" s="7" t="s">
        <v>16</v>
      </c>
    </row>
    <row r="252" ht="22.5" customHeight="1">
      <c r="A252" s="7" t="s">
        <v>2217</v>
      </c>
      <c r="B252" s="8" t="s">
        <v>2498</v>
      </c>
      <c r="C252" s="7" t="s">
        <v>236</v>
      </c>
      <c r="D252" s="7" t="s">
        <v>2506</v>
      </c>
      <c r="E252" s="7"/>
      <c r="F252" s="7" t="s">
        <v>16</v>
      </c>
    </row>
    <row r="253" ht="22.5" customHeight="1">
      <c r="A253" s="7" t="s">
        <v>2217</v>
      </c>
      <c r="B253" s="8" t="s">
        <v>2498</v>
      </c>
      <c r="C253" s="7" t="s">
        <v>43</v>
      </c>
      <c r="D253" s="7" t="s">
        <v>2507</v>
      </c>
      <c r="E253" s="7"/>
      <c r="F253" s="7" t="s">
        <v>16</v>
      </c>
    </row>
    <row r="254" ht="22.5" customHeight="1">
      <c r="A254" s="7" t="s">
        <v>2217</v>
      </c>
      <c r="B254" s="8" t="s">
        <v>2498</v>
      </c>
      <c r="C254" s="7" t="s">
        <v>239</v>
      </c>
      <c r="D254" s="7" t="s">
        <v>2508</v>
      </c>
      <c r="E254" s="7"/>
      <c r="F254" s="7" t="s">
        <v>16</v>
      </c>
    </row>
    <row r="255" ht="22.5" customHeight="1">
      <c r="A255" s="7" t="s">
        <v>2217</v>
      </c>
      <c r="B255" s="8" t="s">
        <v>2498</v>
      </c>
      <c r="C255" s="7" t="s">
        <v>103</v>
      </c>
      <c r="D255" s="7" t="s">
        <v>2509</v>
      </c>
      <c r="E255" s="7"/>
      <c r="F255" s="7" t="s">
        <v>16</v>
      </c>
    </row>
    <row r="256" ht="22.5" customHeight="1">
      <c r="A256" s="7" t="s">
        <v>2452</v>
      </c>
      <c r="B256" s="8" t="s">
        <v>2510</v>
      </c>
      <c r="C256" s="7" t="s">
        <v>30</v>
      </c>
      <c r="D256" s="7" t="s">
        <v>2511</v>
      </c>
      <c r="E256" s="7" t="s">
        <v>105</v>
      </c>
      <c r="F256" s="7" t="s">
        <v>1917</v>
      </c>
    </row>
    <row r="257" ht="22.5" customHeight="1">
      <c r="A257" s="7" t="s">
        <v>2452</v>
      </c>
      <c r="B257" s="8" t="s">
        <v>2510</v>
      </c>
      <c r="C257" s="7" t="s">
        <v>598</v>
      </c>
      <c r="D257" s="7" t="s">
        <v>2512</v>
      </c>
      <c r="E257" s="7" t="s">
        <v>105</v>
      </c>
      <c r="F257" s="7" t="s">
        <v>1917</v>
      </c>
    </row>
    <row r="258" ht="22.5" customHeight="1">
      <c r="A258" s="7" t="s">
        <v>2452</v>
      </c>
      <c r="B258" s="8" t="s">
        <v>2510</v>
      </c>
      <c r="C258" s="7" t="s">
        <v>36</v>
      </c>
      <c r="D258" s="7" t="s">
        <v>2513</v>
      </c>
      <c r="E258" s="7" t="s">
        <v>105</v>
      </c>
      <c r="F258" s="7" t="s">
        <v>1917</v>
      </c>
    </row>
    <row r="259" ht="22.5" customHeight="1">
      <c r="A259" s="7" t="s">
        <v>2452</v>
      </c>
      <c r="B259" s="8" t="s">
        <v>2510</v>
      </c>
      <c r="C259" s="7" t="s">
        <v>230</v>
      </c>
      <c r="D259" s="7" t="s">
        <v>2514</v>
      </c>
      <c r="E259" s="7" t="s">
        <v>105</v>
      </c>
      <c r="F259" s="7" t="s">
        <v>1917</v>
      </c>
    </row>
    <row r="260" ht="22.5" customHeight="1">
      <c r="A260" s="7" t="s">
        <v>2452</v>
      </c>
      <c r="B260" s="8" t="s">
        <v>2510</v>
      </c>
      <c r="C260" s="7" t="s">
        <v>38</v>
      </c>
      <c r="D260" s="7" t="s">
        <v>2515</v>
      </c>
      <c r="E260" s="7" t="s">
        <v>105</v>
      </c>
      <c r="F260" s="7" t="s">
        <v>1917</v>
      </c>
    </row>
    <row r="261" ht="22.5" customHeight="1">
      <c r="A261" s="7" t="s">
        <v>2452</v>
      </c>
      <c r="B261" s="8" t="s">
        <v>2510</v>
      </c>
      <c r="C261" s="7" t="s">
        <v>233</v>
      </c>
      <c r="D261" s="7" t="s">
        <v>2516</v>
      </c>
      <c r="E261" s="7" t="s">
        <v>105</v>
      </c>
      <c r="F261" s="7" t="s">
        <v>1917</v>
      </c>
    </row>
    <row r="262" ht="22.5" customHeight="1">
      <c r="A262" s="7" t="s">
        <v>2452</v>
      </c>
      <c r="B262" s="8" t="s">
        <v>2510</v>
      </c>
      <c r="C262" s="7" t="s">
        <v>40</v>
      </c>
      <c r="D262" s="7" t="s">
        <v>2517</v>
      </c>
      <c r="E262" s="7" t="s">
        <v>105</v>
      </c>
      <c r="F262" s="7" t="s">
        <v>1917</v>
      </c>
    </row>
    <row r="263" ht="22.5" customHeight="1">
      <c r="A263" s="7" t="s">
        <v>2452</v>
      </c>
      <c r="B263" s="8" t="s">
        <v>2510</v>
      </c>
      <c r="C263" s="7" t="s">
        <v>236</v>
      </c>
      <c r="D263" s="7" t="s">
        <v>2518</v>
      </c>
      <c r="E263" s="7" t="s">
        <v>105</v>
      </c>
      <c r="F263" s="7" t="s">
        <v>1917</v>
      </c>
    </row>
    <row r="264" ht="22.5" customHeight="1">
      <c r="A264" s="7" t="s">
        <v>2452</v>
      </c>
      <c r="B264" s="8" t="s">
        <v>2510</v>
      </c>
      <c r="C264" s="7" t="s">
        <v>43</v>
      </c>
      <c r="D264" s="7" t="s">
        <v>2519</v>
      </c>
      <c r="E264" s="7" t="s">
        <v>105</v>
      </c>
      <c r="F264" s="7" t="s">
        <v>1917</v>
      </c>
    </row>
    <row r="265" ht="22.5" customHeight="1">
      <c r="A265" s="7" t="s">
        <v>2452</v>
      </c>
      <c r="B265" s="8" t="s">
        <v>2510</v>
      </c>
      <c r="C265" s="7" t="s">
        <v>239</v>
      </c>
      <c r="D265" s="7" t="s">
        <v>2520</v>
      </c>
      <c r="E265" s="7" t="s">
        <v>105</v>
      </c>
      <c r="F265" s="7" t="s">
        <v>1917</v>
      </c>
    </row>
    <row r="266" ht="22.5" customHeight="1">
      <c r="A266" s="7" t="s">
        <v>2452</v>
      </c>
      <c r="B266" s="8" t="s">
        <v>2510</v>
      </c>
      <c r="C266" s="7" t="s">
        <v>103</v>
      </c>
      <c r="D266" s="7" t="s">
        <v>2521</v>
      </c>
      <c r="E266" s="7" t="s">
        <v>105</v>
      </c>
      <c r="F266" s="7" t="s">
        <v>1917</v>
      </c>
    </row>
    <row r="267" ht="22.5" customHeight="1">
      <c r="A267" s="7" t="s">
        <v>2295</v>
      </c>
      <c r="B267" s="8" t="s">
        <v>2522</v>
      </c>
      <c r="C267" s="7" t="s">
        <v>36</v>
      </c>
      <c r="D267" s="7" t="s">
        <v>2523</v>
      </c>
      <c r="E267" s="7"/>
      <c r="F267" s="7" t="s">
        <v>16</v>
      </c>
    </row>
    <row r="268" ht="22.5" customHeight="1">
      <c r="A268" s="7" t="s">
        <v>2295</v>
      </c>
      <c r="B268" s="8" t="s">
        <v>2522</v>
      </c>
      <c r="C268" s="7" t="s">
        <v>38</v>
      </c>
      <c r="D268" s="7" t="s">
        <v>2524</v>
      </c>
      <c r="E268" s="7"/>
      <c r="F268" s="7" t="s">
        <v>16</v>
      </c>
    </row>
    <row r="269" ht="22.5" customHeight="1">
      <c r="A269" s="7" t="s">
        <v>2295</v>
      </c>
      <c r="B269" s="8" t="s">
        <v>2522</v>
      </c>
      <c r="C269" s="7" t="s">
        <v>40</v>
      </c>
      <c r="D269" s="7" t="s">
        <v>2525</v>
      </c>
      <c r="E269" s="7"/>
      <c r="F269" s="7" t="s">
        <v>16</v>
      </c>
    </row>
    <row r="270" ht="22.5" customHeight="1">
      <c r="A270" s="7" t="s">
        <v>2295</v>
      </c>
      <c r="B270" s="8" t="s">
        <v>2522</v>
      </c>
      <c r="C270" s="7" t="s">
        <v>43</v>
      </c>
      <c r="D270" s="7" t="s">
        <v>2526</v>
      </c>
      <c r="E270" s="7"/>
      <c r="F270" s="7" t="s">
        <v>16</v>
      </c>
    </row>
    <row r="271" ht="22.5" customHeight="1">
      <c r="A271" s="7" t="s">
        <v>2295</v>
      </c>
      <c r="B271" s="8" t="s">
        <v>2522</v>
      </c>
      <c r="C271" s="7" t="s">
        <v>43</v>
      </c>
      <c r="D271" s="7" t="s">
        <v>2527</v>
      </c>
      <c r="E271" s="7" t="s">
        <v>48</v>
      </c>
      <c r="F271" s="7" t="s">
        <v>16</v>
      </c>
    </row>
    <row r="272" ht="22.5" customHeight="1">
      <c r="A272" s="7" t="s">
        <v>2452</v>
      </c>
      <c r="B272" s="8" t="s">
        <v>2528</v>
      </c>
      <c r="C272" s="7" t="s">
        <v>30</v>
      </c>
      <c r="D272" s="7" t="s">
        <v>2529</v>
      </c>
      <c r="E272" s="7"/>
      <c r="F272" s="7" t="s">
        <v>16</v>
      </c>
    </row>
    <row r="273" ht="22.5" customHeight="1">
      <c r="A273" s="7" t="s">
        <v>2452</v>
      </c>
      <c r="B273" s="8" t="s">
        <v>2528</v>
      </c>
      <c r="C273" s="7" t="s">
        <v>598</v>
      </c>
      <c r="D273" s="7" t="s">
        <v>2530</v>
      </c>
      <c r="E273" s="7"/>
      <c r="F273" s="7" t="s">
        <v>16</v>
      </c>
    </row>
    <row r="274" ht="22.5" customHeight="1">
      <c r="A274" s="7" t="s">
        <v>2452</v>
      </c>
      <c r="B274" s="8" t="s">
        <v>2528</v>
      </c>
      <c r="C274" s="7" t="s">
        <v>36</v>
      </c>
      <c r="D274" s="7" t="s">
        <v>2531</v>
      </c>
      <c r="E274" s="7"/>
      <c r="F274" s="7" t="s">
        <v>16</v>
      </c>
    </row>
    <row r="275" ht="22.5" customHeight="1">
      <c r="A275" s="7" t="s">
        <v>2452</v>
      </c>
      <c r="B275" s="8" t="s">
        <v>2528</v>
      </c>
      <c r="C275" s="7" t="s">
        <v>230</v>
      </c>
      <c r="D275" s="7" t="s">
        <v>2532</v>
      </c>
      <c r="E275" s="7"/>
      <c r="F275" s="7" t="s">
        <v>16</v>
      </c>
    </row>
    <row r="276" ht="22.5" customHeight="1">
      <c r="A276" s="7" t="s">
        <v>2452</v>
      </c>
      <c r="B276" s="8" t="s">
        <v>2528</v>
      </c>
      <c r="C276" s="7" t="s">
        <v>38</v>
      </c>
      <c r="D276" s="7" t="s">
        <v>2533</v>
      </c>
      <c r="E276" s="7"/>
      <c r="F276" s="7" t="s">
        <v>16</v>
      </c>
    </row>
    <row r="277" ht="22.5" customHeight="1">
      <c r="A277" s="7" t="s">
        <v>2452</v>
      </c>
      <c r="B277" s="8" t="s">
        <v>2528</v>
      </c>
      <c r="C277" s="7" t="s">
        <v>233</v>
      </c>
      <c r="D277" s="7" t="s">
        <v>2534</v>
      </c>
      <c r="E277" s="7"/>
      <c r="F277" s="7" t="s">
        <v>16</v>
      </c>
    </row>
    <row r="278" ht="22.5" customHeight="1">
      <c r="A278" s="7" t="s">
        <v>2452</v>
      </c>
      <c r="B278" s="8" t="s">
        <v>2528</v>
      </c>
      <c r="C278" s="7" t="s">
        <v>40</v>
      </c>
      <c r="D278" s="7" t="s">
        <v>2535</v>
      </c>
      <c r="E278" s="7"/>
      <c r="F278" s="7" t="s">
        <v>16</v>
      </c>
    </row>
    <row r="279" ht="22.5" customHeight="1">
      <c r="A279" s="7" t="s">
        <v>2452</v>
      </c>
      <c r="B279" s="8" t="s">
        <v>2528</v>
      </c>
      <c r="C279" s="7" t="s">
        <v>236</v>
      </c>
      <c r="D279" s="7" t="s">
        <v>2536</v>
      </c>
      <c r="E279" s="7"/>
      <c r="F279" s="7" t="s">
        <v>16</v>
      </c>
    </row>
    <row r="280" ht="22.5" customHeight="1">
      <c r="A280" s="7" t="s">
        <v>2452</v>
      </c>
      <c r="B280" s="8" t="s">
        <v>2528</v>
      </c>
      <c r="C280" s="7" t="s">
        <v>43</v>
      </c>
      <c r="D280" s="7" t="s">
        <v>2537</v>
      </c>
      <c r="E280" s="7"/>
      <c r="F280" s="7" t="s">
        <v>16</v>
      </c>
    </row>
    <row r="281" ht="22.5" customHeight="1">
      <c r="A281" s="7" t="s">
        <v>2452</v>
      </c>
      <c r="B281" s="8" t="s">
        <v>2528</v>
      </c>
      <c r="C281" s="7" t="s">
        <v>239</v>
      </c>
      <c r="D281" s="7" t="s">
        <v>2538</v>
      </c>
      <c r="E281" s="7"/>
      <c r="F281" s="7" t="s">
        <v>16</v>
      </c>
    </row>
    <row r="282" ht="22.5" customHeight="1">
      <c r="A282" s="7" t="s">
        <v>2452</v>
      </c>
      <c r="B282" s="8" t="s">
        <v>2528</v>
      </c>
      <c r="C282" s="7" t="s">
        <v>103</v>
      </c>
      <c r="D282" s="7" t="s">
        <v>2539</v>
      </c>
      <c r="E282" s="7"/>
      <c r="F282" s="7" t="s">
        <v>16</v>
      </c>
    </row>
    <row r="283" ht="22.5" customHeight="1">
      <c r="A283" s="7" t="s">
        <v>2284</v>
      </c>
      <c r="B283" s="8" t="s">
        <v>2540</v>
      </c>
      <c r="C283" s="7" t="s">
        <v>38</v>
      </c>
      <c r="D283" s="7" t="s">
        <v>2541</v>
      </c>
      <c r="E283" s="7" t="s">
        <v>48</v>
      </c>
      <c r="F283" s="7" t="s">
        <v>1917</v>
      </c>
    </row>
    <row r="284" ht="22.5" customHeight="1">
      <c r="A284" s="7" t="s">
        <v>2284</v>
      </c>
      <c r="B284" s="8" t="s">
        <v>2540</v>
      </c>
      <c r="C284" s="7" t="s">
        <v>233</v>
      </c>
      <c r="D284" s="7" t="s">
        <v>2542</v>
      </c>
      <c r="E284" s="7" t="s">
        <v>48</v>
      </c>
      <c r="F284" s="7" t="s">
        <v>1917</v>
      </c>
    </row>
    <row r="285" ht="22.5" customHeight="1">
      <c r="A285" s="7" t="s">
        <v>2284</v>
      </c>
      <c r="B285" s="8" t="s">
        <v>2540</v>
      </c>
      <c r="C285" s="7" t="s">
        <v>40</v>
      </c>
      <c r="D285" s="7" t="s">
        <v>2543</v>
      </c>
      <c r="E285" s="7" t="s">
        <v>48</v>
      </c>
      <c r="F285" s="7" t="s">
        <v>1917</v>
      </c>
    </row>
    <row r="286" ht="22.5" customHeight="1">
      <c r="A286" s="7" t="s">
        <v>2284</v>
      </c>
      <c r="B286" s="8" t="s">
        <v>2540</v>
      </c>
      <c r="C286" s="7" t="s">
        <v>236</v>
      </c>
      <c r="D286" s="7" t="s">
        <v>2544</v>
      </c>
      <c r="E286" s="7" t="s">
        <v>48</v>
      </c>
      <c r="F286" s="7" t="s">
        <v>1917</v>
      </c>
    </row>
    <row r="287" ht="22.5" customHeight="1">
      <c r="A287" s="7" t="s">
        <v>2284</v>
      </c>
      <c r="B287" s="8" t="s">
        <v>2540</v>
      </c>
      <c r="C287" s="7" t="s">
        <v>43</v>
      </c>
      <c r="D287" s="7" t="s">
        <v>2545</v>
      </c>
      <c r="E287" s="7" t="s">
        <v>48</v>
      </c>
      <c r="F287" s="7" t="s">
        <v>1917</v>
      </c>
    </row>
    <row r="288" ht="22.5" customHeight="1">
      <c r="A288" s="7" t="s">
        <v>2284</v>
      </c>
      <c r="B288" s="8" t="s">
        <v>2540</v>
      </c>
      <c r="C288" s="7" t="s">
        <v>239</v>
      </c>
      <c r="D288" s="7" t="s">
        <v>2546</v>
      </c>
      <c r="E288" s="7" t="s">
        <v>48</v>
      </c>
      <c r="F288" s="7" t="s">
        <v>1917</v>
      </c>
    </row>
    <row r="289" ht="22.5" customHeight="1">
      <c r="A289" s="7" t="s">
        <v>2284</v>
      </c>
      <c r="B289" s="8" t="s">
        <v>2540</v>
      </c>
      <c r="C289" s="7" t="s">
        <v>103</v>
      </c>
      <c r="D289" s="7" t="s">
        <v>2547</v>
      </c>
      <c r="E289" s="7" t="s">
        <v>48</v>
      </c>
      <c r="F289" s="7" t="s">
        <v>1917</v>
      </c>
    </row>
    <row r="290" ht="22.5" customHeight="1">
      <c r="A290" s="7" t="s">
        <v>2295</v>
      </c>
      <c r="B290" s="8" t="s">
        <v>2548</v>
      </c>
      <c r="C290" s="7" t="s">
        <v>36</v>
      </c>
      <c r="D290" s="7" t="s">
        <v>2549</v>
      </c>
      <c r="E290" s="7"/>
      <c r="F290" s="7" t="s">
        <v>16</v>
      </c>
    </row>
    <row r="291" ht="22.5" customHeight="1">
      <c r="A291" s="7" t="s">
        <v>2295</v>
      </c>
      <c r="B291" s="8" t="s">
        <v>2548</v>
      </c>
      <c r="C291" s="7" t="s">
        <v>38</v>
      </c>
      <c r="D291" s="7" t="s">
        <v>2550</v>
      </c>
      <c r="E291" s="7"/>
      <c r="F291" s="7" t="s">
        <v>16</v>
      </c>
    </row>
    <row r="292" ht="22.5" customHeight="1">
      <c r="A292" s="7" t="s">
        <v>2295</v>
      </c>
      <c r="B292" s="8" t="s">
        <v>2548</v>
      </c>
      <c r="C292" s="7" t="s">
        <v>40</v>
      </c>
      <c r="D292" s="7" t="s">
        <v>2551</v>
      </c>
      <c r="E292" s="7"/>
      <c r="F292" s="7" t="s">
        <v>16</v>
      </c>
    </row>
    <row r="293" ht="22.5" customHeight="1">
      <c r="A293" s="7" t="s">
        <v>2295</v>
      </c>
      <c r="B293" s="8" t="s">
        <v>2548</v>
      </c>
      <c r="C293" s="7" t="s">
        <v>43</v>
      </c>
      <c r="D293" s="7" t="s">
        <v>2552</v>
      </c>
      <c r="E293" s="7"/>
      <c r="F293" s="7" t="s">
        <v>16</v>
      </c>
    </row>
    <row r="294" ht="22.5" customHeight="1">
      <c r="A294" s="7" t="s">
        <v>2295</v>
      </c>
      <c r="B294" s="8" t="s">
        <v>2548</v>
      </c>
      <c r="C294" s="7" t="s">
        <v>43</v>
      </c>
      <c r="D294" s="7" t="s">
        <v>2553</v>
      </c>
      <c r="E294" s="7" t="s">
        <v>48</v>
      </c>
      <c r="F294" s="7" t="s">
        <v>16</v>
      </c>
    </row>
    <row r="295" ht="22.5" customHeight="1">
      <c r="A295" s="7" t="s">
        <v>2295</v>
      </c>
      <c r="B295" s="8" t="s">
        <v>2554</v>
      </c>
      <c r="C295" s="7" t="s">
        <v>40</v>
      </c>
      <c r="D295" s="7" t="s">
        <v>2555</v>
      </c>
      <c r="E295" s="7"/>
      <c r="F295" s="7" t="s">
        <v>16</v>
      </c>
    </row>
    <row r="296" ht="22.5" customHeight="1">
      <c r="A296" s="7" t="s">
        <v>2295</v>
      </c>
      <c r="B296" s="8" t="s">
        <v>2554</v>
      </c>
      <c r="C296" s="7" t="s">
        <v>43</v>
      </c>
      <c r="D296" s="7" t="s">
        <v>2556</v>
      </c>
      <c r="E296" s="7"/>
      <c r="F296" s="7" t="s">
        <v>16</v>
      </c>
    </row>
    <row r="297" ht="22.5" customHeight="1">
      <c r="A297" s="7" t="s">
        <v>2295</v>
      </c>
      <c r="B297" s="8" t="s">
        <v>2554</v>
      </c>
      <c r="C297" s="7" t="s">
        <v>43</v>
      </c>
      <c r="D297" s="7" t="s">
        <v>2557</v>
      </c>
      <c r="E297" s="7"/>
      <c r="F297" s="7" t="s">
        <v>16</v>
      </c>
    </row>
    <row r="298" ht="22.5" customHeight="1">
      <c r="A298" s="7" t="s">
        <v>2295</v>
      </c>
      <c r="B298" s="8" t="s">
        <v>2558</v>
      </c>
      <c r="C298" s="7" t="s">
        <v>36</v>
      </c>
      <c r="D298" s="7" t="s">
        <v>2559</v>
      </c>
      <c r="E298" s="7"/>
      <c r="F298" s="7" t="s">
        <v>16</v>
      </c>
    </row>
    <row r="299" ht="22.5" customHeight="1">
      <c r="A299" s="7" t="s">
        <v>2295</v>
      </c>
      <c r="B299" s="8" t="s">
        <v>2558</v>
      </c>
      <c r="C299" s="7" t="s">
        <v>38</v>
      </c>
      <c r="D299" s="7" t="s">
        <v>2560</v>
      </c>
      <c r="E299" s="7"/>
      <c r="F299" s="7" t="s">
        <v>16</v>
      </c>
    </row>
    <row r="300" ht="22.5" customHeight="1">
      <c r="A300" s="7" t="s">
        <v>2295</v>
      </c>
      <c r="B300" s="8" t="s">
        <v>2558</v>
      </c>
      <c r="C300" s="7" t="s">
        <v>40</v>
      </c>
      <c r="D300" s="7" t="s">
        <v>2561</v>
      </c>
      <c r="E300" s="7"/>
      <c r="F300" s="7" t="s">
        <v>16</v>
      </c>
    </row>
    <row r="301" ht="22.5" customHeight="1">
      <c r="A301" s="7" t="s">
        <v>2295</v>
      </c>
      <c r="B301" s="8" t="s">
        <v>2558</v>
      </c>
      <c r="C301" s="7" t="s">
        <v>43</v>
      </c>
      <c r="D301" s="7" t="s">
        <v>2562</v>
      </c>
      <c r="E301" s="7"/>
      <c r="F301" s="7" t="s">
        <v>16</v>
      </c>
    </row>
    <row r="302" ht="22.5" customHeight="1">
      <c r="A302" s="7" t="s">
        <v>2295</v>
      </c>
      <c r="B302" s="8" t="s">
        <v>2558</v>
      </c>
      <c r="C302" s="7" t="s">
        <v>43</v>
      </c>
      <c r="D302" s="7" t="s">
        <v>2563</v>
      </c>
      <c r="E302" s="7" t="s">
        <v>48</v>
      </c>
      <c r="F302" s="7" t="s">
        <v>16</v>
      </c>
    </row>
    <row r="303" ht="22.5" customHeight="1">
      <c r="A303" s="7" t="s">
        <v>2230</v>
      </c>
      <c r="B303" s="8" t="s">
        <v>2564</v>
      </c>
      <c r="C303" s="7" t="s">
        <v>30</v>
      </c>
      <c r="D303" s="7" t="s">
        <v>2565</v>
      </c>
      <c r="E303" s="7" t="s">
        <v>48</v>
      </c>
      <c r="F303" s="7" t="s">
        <v>1917</v>
      </c>
    </row>
    <row r="304" ht="22.5" customHeight="1">
      <c r="A304" s="7" t="s">
        <v>2230</v>
      </c>
      <c r="B304" s="8" t="s">
        <v>2564</v>
      </c>
      <c r="C304" s="7" t="s">
        <v>598</v>
      </c>
      <c r="D304" s="7" t="s">
        <v>2566</v>
      </c>
      <c r="E304" s="7" t="s">
        <v>48</v>
      </c>
      <c r="F304" s="7" t="s">
        <v>1917</v>
      </c>
    </row>
    <row r="305" ht="22.5" customHeight="1">
      <c r="A305" s="7" t="s">
        <v>2230</v>
      </c>
      <c r="B305" s="8" t="s">
        <v>2564</v>
      </c>
      <c r="C305" s="7" t="s">
        <v>36</v>
      </c>
      <c r="D305" s="7" t="s">
        <v>2567</v>
      </c>
      <c r="E305" s="7" t="s">
        <v>48</v>
      </c>
      <c r="F305" s="7" t="s">
        <v>1917</v>
      </c>
    </row>
    <row r="306" ht="22.5" customHeight="1">
      <c r="A306" s="7" t="s">
        <v>2230</v>
      </c>
      <c r="B306" s="8" t="s">
        <v>2564</v>
      </c>
      <c r="C306" s="7" t="s">
        <v>230</v>
      </c>
      <c r="D306" s="7" t="s">
        <v>2568</v>
      </c>
      <c r="E306" s="7" t="s">
        <v>48</v>
      </c>
      <c r="F306" s="7" t="s">
        <v>1917</v>
      </c>
    </row>
    <row r="307" ht="22.5" customHeight="1">
      <c r="A307" s="7" t="s">
        <v>2230</v>
      </c>
      <c r="B307" s="8" t="s">
        <v>2564</v>
      </c>
      <c r="C307" s="7" t="s">
        <v>38</v>
      </c>
      <c r="D307" s="7" t="s">
        <v>2569</v>
      </c>
      <c r="E307" s="7" t="s">
        <v>48</v>
      </c>
      <c r="F307" s="7" t="s">
        <v>1917</v>
      </c>
    </row>
    <row r="308" ht="22.5" customHeight="1">
      <c r="A308" s="7" t="s">
        <v>2230</v>
      </c>
      <c r="B308" s="8" t="s">
        <v>2564</v>
      </c>
      <c r="C308" s="7" t="s">
        <v>233</v>
      </c>
      <c r="D308" s="7" t="s">
        <v>2570</v>
      </c>
      <c r="E308" s="7" t="s">
        <v>48</v>
      </c>
      <c r="F308" s="7" t="s">
        <v>1917</v>
      </c>
    </row>
    <row r="309" ht="22.5" customHeight="1">
      <c r="A309" s="7" t="s">
        <v>2230</v>
      </c>
      <c r="B309" s="8" t="s">
        <v>2564</v>
      </c>
      <c r="C309" s="7" t="s">
        <v>40</v>
      </c>
      <c r="D309" s="7" t="s">
        <v>2571</v>
      </c>
      <c r="E309" s="7" t="s">
        <v>48</v>
      </c>
      <c r="F309" s="7" t="s">
        <v>1917</v>
      </c>
    </row>
    <row r="310" ht="22.5" customHeight="1">
      <c r="A310" s="7" t="s">
        <v>2230</v>
      </c>
      <c r="B310" s="8" t="s">
        <v>2564</v>
      </c>
      <c r="C310" s="7" t="s">
        <v>236</v>
      </c>
      <c r="D310" s="7" t="s">
        <v>2572</v>
      </c>
      <c r="E310" s="7" t="s">
        <v>48</v>
      </c>
      <c r="F310" s="7" t="s">
        <v>1917</v>
      </c>
    </row>
    <row r="311" ht="22.5" customHeight="1">
      <c r="A311" s="7" t="s">
        <v>2230</v>
      </c>
      <c r="B311" s="8" t="s">
        <v>2564</v>
      </c>
      <c r="C311" s="7" t="s">
        <v>43</v>
      </c>
      <c r="D311" s="7" t="s">
        <v>2573</v>
      </c>
      <c r="E311" s="7" t="s">
        <v>48</v>
      </c>
      <c r="F311" s="7" t="s">
        <v>1917</v>
      </c>
    </row>
    <row r="312" ht="22.5" customHeight="1">
      <c r="A312" s="7" t="s">
        <v>2230</v>
      </c>
      <c r="B312" s="8" t="s">
        <v>2564</v>
      </c>
      <c r="C312" s="7" t="s">
        <v>239</v>
      </c>
      <c r="D312" s="7" t="s">
        <v>2574</v>
      </c>
      <c r="E312" s="7" t="s">
        <v>48</v>
      </c>
      <c r="F312" s="7" t="s">
        <v>1917</v>
      </c>
    </row>
    <row r="313" ht="22.5" customHeight="1">
      <c r="A313" s="7" t="s">
        <v>2230</v>
      </c>
      <c r="B313" s="8" t="s">
        <v>2564</v>
      </c>
      <c r="C313" s="7" t="s">
        <v>103</v>
      </c>
      <c r="D313" s="7" t="s">
        <v>2575</v>
      </c>
      <c r="E313" s="7" t="s">
        <v>48</v>
      </c>
      <c r="F313" s="7" t="s">
        <v>1917</v>
      </c>
    </row>
    <row r="314" ht="22.5" customHeight="1">
      <c r="A314" s="7" t="s">
        <v>2452</v>
      </c>
      <c r="B314" s="8" t="s">
        <v>2576</v>
      </c>
      <c r="C314" s="7" t="s">
        <v>30</v>
      </c>
      <c r="D314" s="7" t="s">
        <v>2577</v>
      </c>
      <c r="E314" s="7"/>
      <c r="F314" s="7" t="s">
        <v>16</v>
      </c>
    </row>
    <row r="315" ht="22.5" customHeight="1">
      <c r="A315" s="7" t="s">
        <v>2452</v>
      </c>
      <c r="B315" s="8" t="s">
        <v>2576</v>
      </c>
      <c r="C315" s="7" t="s">
        <v>36</v>
      </c>
      <c r="D315" s="7" t="s">
        <v>2578</v>
      </c>
      <c r="E315" s="7"/>
      <c r="F315" s="7" t="s">
        <v>16</v>
      </c>
    </row>
    <row r="316" ht="22.5" customHeight="1">
      <c r="A316" s="7" t="s">
        <v>2452</v>
      </c>
      <c r="B316" s="8" t="s">
        <v>2576</v>
      </c>
      <c r="C316" s="7" t="s">
        <v>38</v>
      </c>
      <c r="D316" s="7" t="s">
        <v>2579</v>
      </c>
      <c r="E316" s="7"/>
      <c r="F316" s="7" t="s">
        <v>16</v>
      </c>
    </row>
    <row r="317" ht="22.5" customHeight="1">
      <c r="A317" s="7" t="s">
        <v>2452</v>
      </c>
      <c r="B317" s="8" t="s">
        <v>2576</v>
      </c>
      <c r="C317" s="7" t="s">
        <v>233</v>
      </c>
      <c r="D317" s="7" t="s">
        <v>2580</v>
      </c>
      <c r="E317" s="7"/>
      <c r="F317" s="7" t="s">
        <v>16</v>
      </c>
    </row>
    <row r="318" ht="22.5" customHeight="1">
      <c r="A318" s="7" t="s">
        <v>2452</v>
      </c>
      <c r="B318" s="8" t="s">
        <v>2576</v>
      </c>
      <c r="C318" s="7" t="s">
        <v>40</v>
      </c>
      <c r="D318" s="7" t="s">
        <v>2581</v>
      </c>
      <c r="E318" s="7"/>
      <c r="F318" s="7" t="s">
        <v>16</v>
      </c>
    </row>
    <row r="319" ht="22.5" customHeight="1">
      <c r="A319" s="7" t="s">
        <v>2452</v>
      </c>
      <c r="B319" s="8" t="s">
        <v>2576</v>
      </c>
      <c r="C319" s="7" t="s">
        <v>236</v>
      </c>
      <c r="D319" s="7" t="s">
        <v>2582</v>
      </c>
      <c r="E319" s="7"/>
      <c r="F319" s="7" t="s">
        <v>16</v>
      </c>
    </row>
    <row r="320" ht="22.5" customHeight="1">
      <c r="A320" s="7" t="s">
        <v>2452</v>
      </c>
      <c r="B320" s="8" t="s">
        <v>2576</v>
      </c>
      <c r="C320" s="7" t="s">
        <v>43</v>
      </c>
      <c r="D320" s="7" t="s">
        <v>2583</v>
      </c>
      <c r="E320" s="7"/>
      <c r="F320" s="7" t="s">
        <v>16</v>
      </c>
    </row>
    <row r="321" ht="22.5" customHeight="1">
      <c r="A321" s="7" t="s">
        <v>2452</v>
      </c>
      <c r="B321" s="8" t="s">
        <v>2576</v>
      </c>
      <c r="C321" s="7" t="s">
        <v>239</v>
      </c>
      <c r="D321" s="7" t="s">
        <v>2584</v>
      </c>
      <c r="E321" s="7"/>
      <c r="F321" s="7" t="s">
        <v>16</v>
      </c>
    </row>
    <row r="322" ht="22.5" customHeight="1">
      <c r="A322" s="7" t="s">
        <v>2452</v>
      </c>
      <c r="B322" s="8" t="s">
        <v>2576</v>
      </c>
      <c r="C322" s="7" t="s">
        <v>103</v>
      </c>
      <c r="D322" s="7" t="s">
        <v>2585</v>
      </c>
      <c r="E322" s="7"/>
      <c r="F322" s="7" t="s">
        <v>16</v>
      </c>
    </row>
    <row r="323" ht="22.5" customHeight="1">
      <c r="A323" s="7" t="s">
        <v>2380</v>
      </c>
      <c r="B323" s="8" t="s">
        <v>2586</v>
      </c>
      <c r="C323" s="7" t="s">
        <v>30</v>
      </c>
      <c r="D323" s="7" t="s">
        <v>2587</v>
      </c>
      <c r="E323" s="7"/>
      <c r="F323" s="7" t="s">
        <v>16</v>
      </c>
    </row>
    <row r="324" ht="22.5" customHeight="1">
      <c r="A324" s="7" t="s">
        <v>2380</v>
      </c>
      <c r="B324" s="8" t="s">
        <v>2586</v>
      </c>
      <c r="C324" s="7" t="s">
        <v>30</v>
      </c>
      <c r="D324" s="7" t="s">
        <v>2588</v>
      </c>
      <c r="E324" s="7"/>
      <c r="F324" s="7" t="s">
        <v>16</v>
      </c>
    </row>
    <row r="325" ht="22.5" customHeight="1">
      <c r="A325" s="7" t="s">
        <v>2380</v>
      </c>
      <c r="B325" s="8" t="s">
        <v>2586</v>
      </c>
      <c r="C325" s="7" t="s">
        <v>30</v>
      </c>
      <c r="D325" s="7" t="s">
        <v>2589</v>
      </c>
      <c r="E325" s="7"/>
      <c r="F325" s="7" t="s">
        <v>16</v>
      </c>
    </row>
    <row r="326" ht="22.5" customHeight="1">
      <c r="A326" s="7" t="s">
        <v>2380</v>
      </c>
      <c r="B326" s="8" t="s">
        <v>2586</v>
      </c>
      <c r="C326" s="7" t="s">
        <v>598</v>
      </c>
      <c r="D326" s="7" t="s">
        <v>2590</v>
      </c>
      <c r="E326" s="7"/>
      <c r="F326" s="7" t="s">
        <v>16</v>
      </c>
    </row>
    <row r="327" ht="22.5" customHeight="1">
      <c r="A327" s="7" t="s">
        <v>2380</v>
      </c>
      <c r="B327" s="8" t="s">
        <v>2586</v>
      </c>
      <c r="C327" s="7" t="s">
        <v>598</v>
      </c>
      <c r="D327" s="7" t="s">
        <v>2591</v>
      </c>
      <c r="E327" s="7"/>
      <c r="F327" s="7" t="s">
        <v>16</v>
      </c>
    </row>
    <row r="328" ht="22.5" customHeight="1">
      <c r="A328" s="7" t="s">
        <v>2380</v>
      </c>
      <c r="B328" s="8" t="s">
        <v>2586</v>
      </c>
      <c r="C328" s="7" t="s">
        <v>36</v>
      </c>
      <c r="D328" s="7" t="s">
        <v>2592</v>
      </c>
      <c r="E328" s="7"/>
      <c r="F328" s="7" t="s">
        <v>16</v>
      </c>
    </row>
    <row r="329" ht="22.5" customHeight="1">
      <c r="A329" s="7" t="s">
        <v>2380</v>
      </c>
      <c r="B329" s="8" t="s">
        <v>2586</v>
      </c>
      <c r="C329" s="7" t="s">
        <v>36</v>
      </c>
      <c r="D329" s="7" t="s">
        <v>2593</v>
      </c>
      <c r="E329" s="7"/>
      <c r="F329" s="7" t="s">
        <v>16</v>
      </c>
    </row>
    <row r="330" ht="22.5" customHeight="1">
      <c r="A330" s="7" t="s">
        <v>2380</v>
      </c>
      <c r="B330" s="8" t="s">
        <v>2586</v>
      </c>
      <c r="C330" s="7" t="s">
        <v>230</v>
      </c>
      <c r="D330" s="7" t="s">
        <v>2594</v>
      </c>
      <c r="E330" s="7"/>
      <c r="F330" s="7" t="s">
        <v>16</v>
      </c>
    </row>
    <row r="331" ht="22.5" customHeight="1">
      <c r="A331" s="7" t="s">
        <v>2380</v>
      </c>
      <c r="B331" s="8" t="s">
        <v>2586</v>
      </c>
      <c r="C331" s="7" t="s">
        <v>230</v>
      </c>
      <c r="D331" s="7" t="s">
        <v>2595</v>
      </c>
      <c r="E331" s="7"/>
      <c r="F331" s="7" t="s">
        <v>16</v>
      </c>
    </row>
    <row r="332" ht="22.5" customHeight="1">
      <c r="A332" s="7" t="s">
        <v>2380</v>
      </c>
      <c r="B332" s="8" t="s">
        <v>2586</v>
      </c>
      <c r="C332" s="7" t="s">
        <v>38</v>
      </c>
      <c r="D332" s="7" t="s">
        <v>2596</v>
      </c>
      <c r="E332" s="7"/>
      <c r="F332" s="7" t="s">
        <v>16</v>
      </c>
    </row>
    <row r="333" ht="22.5" customHeight="1">
      <c r="A333" s="7" t="s">
        <v>2380</v>
      </c>
      <c r="B333" s="8" t="s">
        <v>2586</v>
      </c>
      <c r="C333" s="7" t="s">
        <v>38</v>
      </c>
      <c r="D333" s="7" t="s">
        <v>2597</v>
      </c>
      <c r="E333" s="7"/>
      <c r="F333" s="7" t="s">
        <v>16</v>
      </c>
    </row>
    <row r="334" ht="22.5" customHeight="1">
      <c r="A334" s="7" t="s">
        <v>2380</v>
      </c>
      <c r="B334" s="8" t="s">
        <v>2586</v>
      </c>
      <c r="C334" s="7" t="s">
        <v>233</v>
      </c>
      <c r="D334" s="7" t="s">
        <v>2598</v>
      </c>
      <c r="E334" s="7"/>
      <c r="F334" s="7" t="s">
        <v>16</v>
      </c>
    </row>
    <row r="335" ht="22.5" customHeight="1">
      <c r="A335" s="7" t="s">
        <v>2380</v>
      </c>
      <c r="B335" s="8" t="s">
        <v>2586</v>
      </c>
      <c r="C335" s="7" t="s">
        <v>233</v>
      </c>
      <c r="D335" s="7" t="s">
        <v>2599</v>
      </c>
      <c r="E335" s="7"/>
      <c r="F335" s="7" t="s">
        <v>16</v>
      </c>
    </row>
    <row r="336" ht="22.5" customHeight="1">
      <c r="A336" s="7" t="s">
        <v>2380</v>
      </c>
      <c r="B336" s="8" t="s">
        <v>2586</v>
      </c>
      <c r="C336" s="7" t="s">
        <v>40</v>
      </c>
      <c r="D336" s="7" t="s">
        <v>2600</v>
      </c>
      <c r="E336" s="7"/>
      <c r="F336" s="7" t="s">
        <v>16</v>
      </c>
    </row>
    <row r="337" ht="22.5" customHeight="1">
      <c r="A337" s="7" t="s">
        <v>2380</v>
      </c>
      <c r="B337" s="8" t="s">
        <v>2586</v>
      </c>
      <c r="C337" s="7" t="s">
        <v>40</v>
      </c>
      <c r="D337" s="7" t="s">
        <v>2601</v>
      </c>
      <c r="E337" s="7"/>
      <c r="F337" s="7" t="s">
        <v>16</v>
      </c>
    </row>
    <row r="338" ht="22.5" customHeight="1">
      <c r="A338" s="7" t="s">
        <v>2380</v>
      </c>
      <c r="B338" s="8" t="s">
        <v>2586</v>
      </c>
      <c r="C338" s="7" t="s">
        <v>236</v>
      </c>
      <c r="D338" s="7" t="s">
        <v>2602</v>
      </c>
      <c r="E338" s="7"/>
      <c r="F338" s="7" t="s">
        <v>16</v>
      </c>
    </row>
    <row r="339" ht="22.5" customHeight="1">
      <c r="A339" s="7" t="s">
        <v>2380</v>
      </c>
      <c r="B339" s="8" t="s">
        <v>2586</v>
      </c>
      <c r="C339" s="7" t="s">
        <v>236</v>
      </c>
      <c r="D339" s="7" t="s">
        <v>2603</v>
      </c>
      <c r="E339" s="7"/>
      <c r="F339" s="7" t="s">
        <v>16</v>
      </c>
    </row>
    <row r="340" ht="22.5" customHeight="1">
      <c r="A340" s="7" t="s">
        <v>2380</v>
      </c>
      <c r="B340" s="8" t="s">
        <v>2586</v>
      </c>
      <c r="C340" s="7" t="s">
        <v>43</v>
      </c>
      <c r="D340" s="7" t="s">
        <v>2604</v>
      </c>
      <c r="E340" s="7"/>
      <c r="F340" s="7" t="s">
        <v>16</v>
      </c>
    </row>
    <row r="341" ht="22.5" customHeight="1">
      <c r="A341" s="7" t="s">
        <v>2380</v>
      </c>
      <c r="B341" s="8" t="s">
        <v>2586</v>
      </c>
      <c r="C341" s="7" t="s">
        <v>43</v>
      </c>
      <c r="D341" s="7" t="s">
        <v>2605</v>
      </c>
      <c r="E341" s="7"/>
      <c r="F341" s="7" t="s">
        <v>16</v>
      </c>
    </row>
    <row r="342" ht="22.5" customHeight="1">
      <c r="A342" s="7" t="s">
        <v>2380</v>
      </c>
      <c r="B342" s="8" t="s">
        <v>2586</v>
      </c>
      <c r="C342" s="7" t="s">
        <v>239</v>
      </c>
      <c r="D342" s="7" t="s">
        <v>2606</v>
      </c>
      <c r="E342" s="7"/>
      <c r="F342" s="7" t="s">
        <v>16</v>
      </c>
    </row>
    <row r="343" ht="22.5" customHeight="1">
      <c r="A343" s="7" t="s">
        <v>2380</v>
      </c>
      <c r="B343" s="8" t="s">
        <v>2586</v>
      </c>
      <c r="C343" s="7" t="s">
        <v>239</v>
      </c>
      <c r="D343" s="7" t="s">
        <v>2607</v>
      </c>
      <c r="E343" s="7"/>
      <c r="F343" s="7" t="s">
        <v>16</v>
      </c>
    </row>
    <row r="344" ht="22.5" customHeight="1">
      <c r="A344" s="7" t="s">
        <v>2380</v>
      </c>
      <c r="B344" s="8" t="s">
        <v>2586</v>
      </c>
      <c r="C344" s="7" t="s">
        <v>103</v>
      </c>
      <c r="D344" s="7" t="s">
        <v>2608</v>
      </c>
      <c r="E344" s="7"/>
      <c r="F344" s="7" t="s">
        <v>16</v>
      </c>
    </row>
    <row r="345" ht="22.5" customHeight="1">
      <c r="A345" s="7" t="s">
        <v>2380</v>
      </c>
      <c r="B345" s="8" t="s">
        <v>2586</v>
      </c>
      <c r="C345" s="7" t="s">
        <v>103</v>
      </c>
      <c r="D345" s="7" t="s">
        <v>2609</v>
      </c>
      <c r="E345" s="7"/>
      <c r="F345" s="7" t="s">
        <v>16</v>
      </c>
    </row>
    <row r="346" ht="22.5" customHeight="1">
      <c r="A346" s="7" t="s">
        <v>2295</v>
      </c>
      <c r="B346" s="8" t="s">
        <v>2610</v>
      </c>
      <c r="C346" s="7" t="s">
        <v>40</v>
      </c>
      <c r="D346" s="7" t="s">
        <v>2611</v>
      </c>
      <c r="E346" s="7"/>
      <c r="F346" s="7" t="s">
        <v>16</v>
      </c>
    </row>
    <row r="347" ht="22.5" customHeight="1">
      <c r="A347" s="7" t="s">
        <v>2295</v>
      </c>
      <c r="B347" s="8" t="s">
        <v>2610</v>
      </c>
      <c r="C347" s="7" t="s">
        <v>43</v>
      </c>
      <c r="D347" s="7" t="s">
        <v>2612</v>
      </c>
      <c r="E347" s="7"/>
      <c r="F347" s="7" t="s">
        <v>16</v>
      </c>
    </row>
    <row r="348" ht="22.5" customHeight="1">
      <c r="A348" s="7" t="s">
        <v>2295</v>
      </c>
      <c r="B348" s="8" t="s">
        <v>2610</v>
      </c>
      <c r="C348" s="7" t="s">
        <v>43</v>
      </c>
      <c r="D348" s="7" t="s">
        <v>2613</v>
      </c>
      <c r="E348" s="7" t="s">
        <v>48</v>
      </c>
      <c r="F348" s="7" t="s">
        <v>16</v>
      </c>
    </row>
    <row r="349" ht="22.5" customHeight="1">
      <c r="A349" s="7" t="s">
        <v>2251</v>
      </c>
      <c r="B349" s="8" t="s">
        <v>2614</v>
      </c>
      <c r="C349" s="7" t="s">
        <v>36</v>
      </c>
      <c r="D349" s="7" t="s">
        <v>2615</v>
      </c>
      <c r="E349" s="7"/>
      <c r="F349" s="7" t="s">
        <v>16</v>
      </c>
    </row>
    <row r="350" ht="22.5" customHeight="1">
      <c r="A350" s="7" t="s">
        <v>2251</v>
      </c>
      <c r="B350" s="8" t="s">
        <v>2614</v>
      </c>
      <c r="C350" s="7" t="s">
        <v>230</v>
      </c>
      <c r="D350" s="7" t="s">
        <v>2616</v>
      </c>
      <c r="E350" s="7"/>
      <c r="F350" s="7" t="s">
        <v>16</v>
      </c>
    </row>
    <row r="351" ht="22.5" customHeight="1">
      <c r="A351" s="7" t="s">
        <v>2251</v>
      </c>
      <c r="B351" s="8" t="s">
        <v>2614</v>
      </c>
      <c r="C351" s="7" t="s">
        <v>38</v>
      </c>
      <c r="D351" s="7" t="s">
        <v>2617</v>
      </c>
      <c r="E351" s="7"/>
      <c r="F351" s="7" t="s">
        <v>16</v>
      </c>
    </row>
    <row r="352" ht="22.5" customHeight="1">
      <c r="A352" s="7" t="s">
        <v>2251</v>
      </c>
      <c r="B352" s="8" t="s">
        <v>2614</v>
      </c>
      <c r="C352" s="7" t="s">
        <v>233</v>
      </c>
      <c r="D352" s="7" t="s">
        <v>2618</v>
      </c>
      <c r="E352" s="7"/>
      <c r="F352" s="7" t="s">
        <v>16</v>
      </c>
    </row>
    <row r="353" ht="22.5" customHeight="1">
      <c r="A353" s="7" t="s">
        <v>2251</v>
      </c>
      <c r="B353" s="8" t="s">
        <v>2614</v>
      </c>
      <c r="C353" s="7" t="s">
        <v>40</v>
      </c>
      <c r="D353" s="7" t="s">
        <v>2619</v>
      </c>
      <c r="E353" s="7"/>
      <c r="F353" s="7" t="s">
        <v>16</v>
      </c>
    </row>
    <row r="354" ht="22.5" customHeight="1">
      <c r="A354" s="7" t="s">
        <v>2251</v>
      </c>
      <c r="B354" s="8" t="s">
        <v>2614</v>
      </c>
      <c r="C354" s="7" t="s">
        <v>236</v>
      </c>
      <c r="D354" s="7" t="s">
        <v>2620</v>
      </c>
      <c r="E354" s="7"/>
      <c r="F354" s="7" t="s">
        <v>16</v>
      </c>
    </row>
    <row r="355" ht="22.5" customHeight="1">
      <c r="A355" s="7" t="s">
        <v>2251</v>
      </c>
      <c r="B355" s="8" t="s">
        <v>2614</v>
      </c>
      <c r="C355" s="7" t="s">
        <v>43</v>
      </c>
      <c r="D355" s="7" t="s">
        <v>2621</v>
      </c>
      <c r="E355" s="7"/>
      <c r="F355" s="7" t="s">
        <v>16</v>
      </c>
    </row>
    <row r="356" ht="22.5" customHeight="1">
      <c r="A356" s="7" t="s">
        <v>2251</v>
      </c>
      <c r="B356" s="8" t="s">
        <v>2614</v>
      </c>
      <c r="C356" s="7" t="s">
        <v>239</v>
      </c>
      <c r="D356" s="7" t="s">
        <v>2622</v>
      </c>
      <c r="E356" s="7"/>
      <c r="F356" s="7" t="s">
        <v>16</v>
      </c>
    </row>
    <row r="357" ht="22.5" customHeight="1">
      <c r="A357" s="7" t="s">
        <v>2251</v>
      </c>
      <c r="B357" s="8" t="s">
        <v>2614</v>
      </c>
      <c r="C357" s="7" t="s">
        <v>103</v>
      </c>
      <c r="D357" s="7" t="s">
        <v>2623</v>
      </c>
      <c r="E357" s="7"/>
      <c r="F357" s="7" t="s">
        <v>16</v>
      </c>
    </row>
    <row r="358" ht="22.5" customHeight="1">
      <c r="A358" s="7" t="s">
        <v>2624</v>
      </c>
      <c r="B358" s="8" t="s">
        <v>2625</v>
      </c>
      <c r="C358" s="7" t="s">
        <v>36</v>
      </c>
      <c r="D358" s="7" t="s">
        <v>2626</v>
      </c>
      <c r="E358" s="7"/>
      <c r="F358" s="7" t="s">
        <v>16</v>
      </c>
    </row>
    <row r="359" ht="22.5" customHeight="1">
      <c r="A359" s="7" t="s">
        <v>2624</v>
      </c>
      <c r="B359" s="8" t="s">
        <v>2625</v>
      </c>
      <c r="C359" s="7" t="s">
        <v>230</v>
      </c>
      <c r="D359" s="7" t="s">
        <v>2627</v>
      </c>
      <c r="E359" s="7"/>
      <c r="F359" s="7" t="s">
        <v>16</v>
      </c>
    </row>
    <row r="360" ht="22.5" customHeight="1">
      <c r="A360" s="7" t="s">
        <v>2624</v>
      </c>
      <c r="B360" s="8" t="s">
        <v>2625</v>
      </c>
      <c r="C360" s="7" t="s">
        <v>38</v>
      </c>
      <c r="D360" s="7" t="s">
        <v>2628</v>
      </c>
      <c r="E360" s="7"/>
      <c r="F360" s="7" t="s">
        <v>16</v>
      </c>
    </row>
    <row r="361" ht="22.5" customHeight="1">
      <c r="A361" s="7" t="s">
        <v>2624</v>
      </c>
      <c r="B361" s="8" t="s">
        <v>2625</v>
      </c>
      <c r="C361" s="7" t="s">
        <v>233</v>
      </c>
      <c r="D361" s="7" t="s">
        <v>2629</v>
      </c>
      <c r="E361" s="7"/>
      <c r="F361" s="7" t="s">
        <v>16</v>
      </c>
    </row>
    <row r="362" ht="22.5" customHeight="1">
      <c r="A362" s="7" t="s">
        <v>2624</v>
      </c>
      <c r="B362" s="8" t="s">
        <v>2625</v>
      </c>
      <c r="C362" s="7" t="s">
        <v>40</v>
      </c>
      <c r="D362" s="7" t="s">
        <v>2630</v>
      </c>
      <c r="E362" s="7"/>
      <c r="F362" s="7" t="s">
        <v>16</v>
      </c>
    </row>
    <row r="363" ht="22.5" customHeight="1">
      <c r="A363" s="7" t="s">
        <v>2624</v>
      </c>
      <c r="B363" s="8" t="s">
        <v>2625</v>
      </c>
      <c r="C363" s="7" t="s">
        <v>236</v>
      </c>
      <c r="D363" s="7" t="s">
        <v>2631</v>
      </c>
      <c r="E363" s="7"/>
      <c r="F363" s="7" t="s">
        <v>16</v>
      </c>
    </row>
    <row r="364" ht="22.5" customHeight="1">
      <c r="A364" s="7" t="s">
        <v>2624</v>
      </c>
      <c r="B364" s="8" t="s">
        <v>2625</v>
      </c>
      <c r="C364" s="7" t="s">
        <v>43</v>
      </c>
      <c r="D364" s="7" t="s">
        <v>2632</v>
      </c>
      <c r="E364" s="7"/>
      <c r="F364" s="7" t="s">
        <v>16</v>
      </c>
    </row>
    <row r="365" ht="22.5" customHeight="1">
      <c r="A365" s="7" t="s">
        <v>2624</v>
      </c>
      <c r="B365" s="8" t="s">
        <v>2625</v>
      </c>
      <c r="C365" s="7" t="s">
        <v>239</v>
      </c>
      <c r="D365" s="7" t="s">
        <v>2633</v>
      </c>
      <c r="E365" s="7"/>
      <c r="F365" s="7" t="s">
        <v>16</v>
      </c>
    </row>
    <row r="366" ht="22.5" customHeight="1">
      <c r="A366" s="7" t="s">
        <v>2624</v>
      </c>
      <c r="B366" s="8" t="s">
        <v>2625</v>
      </c>
      <c r="C366" s="7" t="s">
        <v>103</v>
      </c>
      <c r="D366" s="7" t="s">
        <v>2634</v>
      </c>
      <c r="E366" s="7"/>
      <c r="F366" s="7" t="s">
        <v>16</v>
      </c>
    </row>
    <row r="367" ht="22.5" customHeight="1">
      <c r="A367" s="7" t="s">
        <v>2624</v>
      </c>
      <c r="B367" s="8" t="s">
        <v>2635</v>
      </c>
      <c r="C367" s="7" t="s">
        <v>36</v>
      </c>
      <c r="D367" s="7" t="s">
        <v>2636</v>
      </c>
      <c r="E367" s="7"/>
      <c r="F367" s="7" t="s">
        <v>16</v>
      </c>
    </row>
    <row r="368" ht="22.5" customHeight="1">
      <c r="A368" s="7" t="s">
        <v>2624</v>
      </c>
      <c r="B368" s="8" t="s">
        <v>2635</v>
      </c>
      <c r="C368" s="7" t="s">
        <v>230</v>
      </c>
      <c r="D368" s="7" t="s">
        <v>2637</v>
      </c>
      <c r="E368" s="7"/>
      <c r="F368" s="7" t="s">
        <v>16</v>
      </c>
    </row>
    <row r="369" ht="22.5" customHeight="1">
      <c r="A369" s="7" t="s">
        <v>2624</v>
      </c>
      <c r="B369" s="8" t="s">
        <v>2635</v>
      </c>
      <c r="C369" s="7" t="s">
        <v>38</v>
      </c>
      <c r="D369" s="7" t="s">
        <v>2638</v>
      </c>
      <c r="E369" s="7"/>
      <c r="F369" s="7" t="s">
        <v>16</v>
      </c>
    </row>
    <row r="370" ht="22.5" customHeight="1">
      <c r="A370" s="7" t="s">
        <v>2624</v>
      </c>
      <c r="B370" s="8" t="s">
        <v>2635</v>
      </c>
      <c r="C370" s="7" t="s">
        <v>233</v>
      </c>
      <c r="D370" s="7" t="s">
        <v>2639</v>
      </c>
      <c r="E370" s="7"/>
      <c r="F370" s="7" t="s">
        <v>16</v>
      </c>
    </row>
    <row r="371" ht="22.5" customHeight="1">
      <c r="A371" s="7" t="s">
        <v>2624</v>
      </c>
      <c r="B371" s="8" t="s">
        <v>2635</v>
      </c>
      <c r="C371" s="7" t="s">
        <v>40</v>
      </c>
      <c r="D371" s="7" t="s">
        <v>2640</v>
      </c>
      <c r="E371" s="7"/>
      <c r="F371" s="7" t="s">
        <v>16</v>
      </c>
    </row>
    <row r="372" ht="22.5" customHeight="1">
      <c r="A372" s="7" t="s">
        <v>2624</v>
      </c>
      <c r="B372" s="8" t="s">
        <v>2635</v>
      </c>
      <c r="C372" s="7" t="s">
        <v>236</v>
      </c>
      <c r="D372" s="7" t="s">
        <v>2641</v>
      </c>
      <c r="E372" s="7"/>
      <c r="F372" s="7" t="s">
        <v>16</v>
      </c>
    </row>
    <row r="373" ht="22.5" customHeight="1">
      <c r="A373" s="7" t="s">
        <v>2624</v>
      </c>
      <c r="B373" s="8" t="s">
        <v>2635</v>
      </c>
      <c r="C373" s="7" t="s">
        <v>43</v>
      </c>
      <c r="D373" s="7" t="s">
        <v>2642</v>
      </c>
      <c r="E373" s="7"/>
      <c r="F373" s="7" t="s">
        <v>16</v>
      </c>
    </row>
    <row r="374" ht="22.5" customHeight="1">
      <c r="A374" s="7" t="s">
        <v>2624</v>
      </c>
      <c r="B374" s="8" t="s">
        <v>2635</v>
      </c>
      <c r="C374" s="7" t="s">
        <v>239</v>
      </c>
      <c r="D374" s="7" t="s">
        <v>2643</v>
      </c>
      <c r="E374" s="7"/>
      <c r="F374" s="7" t="s">
        <v>16</v>
      </c>
    </row>
    <row r="375" ht="22.5" customHeight="1">
      <c r="A375" s="7" t="s">
        <v>2624</v>
      </c>
      <c r="B375" s="8" t="s">
        <v>2635</v>
      </c>
      <c r="C375" s="7" t="s">
        <v>103</v>
      </c>
      <c r="D375" s="7" t="s">
        <v>2644</v>
      </c>
      <c r="E375" s="7"/>
      <c r="F375" s="7" t="s">
        <v>16</v>
      </c>
    </row>
    <row r="376" ht="22.5" customHeight="1">
      <c r="A376" s="7" t="s">
        <v>2624</v>
      </c>
      <c r="B376" s="8" t="s">
        <v>2645</v>
      </c>
      <c r="C376" s="7" t="s">
        <v>36</v>
      </c>
      <c r="D376" s="7" t="s">
        <v>2646</v>
      </c>
      <c r="E376" s="7"/>
      <c r="F376" s="7" t="s">
        <v>16</v>
      </c>
    </row>
    <row r="377" ht="22.5" customHeight="1">
      <c r="A377" s="7" t="s">
        <v>2624</v>
      </c>
      <c r="B377" s="8" t="s">
        <v>2645</v>
      </c>
      <c r="C377" s="7" t="s">
        <v>230</v>
      </c>
      <c r="D377" s="7" t="s">
        <v>2647</v>
      </c>
      <c r="E377" s="7"/>
      <c r="F377" s="7" t="s">
        <v>16</v>
      </c>
    </row>
    <row r="378" ht="22.5" customHeight="1">
      <c r="A378" s="7" t="s">
        <v>2624</v>
      </c>
      <c r="B378" s="8" t="s">
        <v>2645</v>
      </c>
      <c r="C378" s="7" t="s">
        <v>38</v>
      </c>
      <c r="D378" s="7" t="s">
        <v>2648</v>
      </c>
      <c r="E378" s="7"/>
      <c r="F378" s="7" t="s">
        <v>16</v>
      </c>
    </row>
    <row r="379" ht="22.5" customHeight="1">
      <c r="A379" s="7" t="s">
        <v>2624</v>
      </c>
      <c r="B379" s="8" t="s">
        <v>2645</v>
      </c>
      <c r="C379" s="7" t="s">
        <v>233</v>
      </c>
      <c r="D379" s="7" t="s">
        <v>2649</v>
      </c>
      <c r="E379" s="7"/>
      <c r="F379" s="7" t="s">
        <v>16</v>
      </c>
    </row>
    <row r="380" ht="22.5" customHeight="1">
      <c r="A380" s="7" t="s">
        <v>2624</v>
      </c>
      <c r="B380" s="8" t="s">
        <v>2645</v>
      </c>
      <c r="C380" s="7" t="s">
        <v>40</v>
      </c>
      <c r="D380" s="7" t="s">
        <v>2650</v>
      </c>
      <c r="E380" s="7"/>
      <c r="F380" s="7" t="s">
        <v>16</v>
      </c>
    </row>
    <row r="381" ht="22.5" customHeight="1">
      <c r="A381" s="7" t="s">
        <v>2624</v>
      </c>
      <c r="B381" s="8" t="s">
        <v>2645</v>
      </c>
      <c r="C381" s="7" t="s">
        <v>236</v>
      </c>
      <c r="D381" s="7" t="s">
        <v>2651</v>
      </c>
      <c r="E381" s="7"/>
      <c r="F381" s="7" t="s">
        <v>16</v>
      </c>
    </row>
    <row r="382" ht="22.5" customHeight="1">
      <c r="A382" s="7" t="s">
        <v>2624</v>
      </c>
      <c r="B382" s="8" t="s">
        <v>2645</v>
      </c>
      <c r="C382" s="7" t="s">
        <v>43</v>
      </c>
      <c r="D382" s="7" t="s">
        <v>2652</v>
      </c>
      <c r="E382" s="7"/>
      <c r="F382" s="7" t="s">
        <v>16</v>
      </c>
    </row>
    <row r="383" ht="22.5" customHeight="1">
      <c r="A383" s="7" t="s">
        <v>2624</v>
      </c>
      <c r="B383" s="8" t="s">
        <v>2645</v>
      </c>
      <c r="C383" s="7" t="s">
        <v>239</v>
      </c>
      <c r="D383" s="7" t="s">
        <v>2653</v>
      </c>
      <c r="E383" s="7"/>
      <c r="F383" s="7" t="s">
        <v>16</v>
      </c>
    </row>
    <row r="384" ht="22.5" customHeight="1">
      <c r="A384" s="7" t="s">
        <v>2624</v>
      </c>
      <c r="B384" s="8" t="s">
        <v>2645</v>
      </c>
      <c r="C384" s="7" t="s">
        <v>103</v>
      </c>
      <c r="D384" s="7" t="s">
        <v>2654</v>
      </c>
      <c r="E384" s="7"/>
      <c r="F384" s="7" t="s">
        <v>16</v>
      </c>
    </row>
    <row r="385" ht="22.5" customHeight="1">
      <c r="A385" s="7" t="s">
        <v>2624</v>
      </c>
      <c r="B385" s="8" t="s">
        <v>2645</v>
      </c>
      <c r="C385" s="7" t="s">
        <v>103</v>
      </c>
      <c r="D385" s="7" t="s">
        <v>2655</v>
      </c>
      <c r="E385" s="7"/>
      <c r="F385" s="7" t="s">
        <v>16</v>
      </c>
    </row>
    <row r="386" ht="22.5" customHeight="1">
      <c r="A386" s="7" t="s">
        <v>2624</v>
      </c>
      <c r="B386" s="8" t="s">
        <v>2656</v>
      </c>
      <c r="C386" s="7" t="s">
        <v>36</v>
      </c>
      <c r="D386" s="7" t="s">
        <v>2657</v>
      </c>
      <c r="E386" s="7"/>
      <c r="F386" s="7" t="s">
        <v>16</v>
      </c>
    </row>
    <row r="387" ht="22.5" customHeight="1">
      <c r="A387" s="7" t="s">
        <v>2624</v>
      </c>
      <c r="B387" s="8" t="s">
        <v>2656</v>
      </c>
      <c r="C387" s="7" t="s">
        <v>230</v>
      </c>
      <c r="D387" s="7" t="s">
        <v>2658</v>
      </c>
      <c r="E387" s="7"/>
      <c r="F387" s="7" t="s">
        <v>16</v>
      </c>
    </row>
    <row r="388" ht="22.5" customHeight="1">
      <c r="A388" s="7" t="s">
        <v>2624</v>
      </c>
      <c r="B388" s="8" t="s">
        <v>2656</v>
      </c>
      <c r="C388" s="7" t="s">
        <v>38</v>
      </c>
      <c r="D388" s="7" t="s">
        <v>2659</v>
      </c>
      <c r="E388" s="7"/>
      <c r="F388" s="7" t="s">
        <v>16</v>
      </c>
    </row>
    <row r="389" ht="22.5" customHeight="1">
      <c r="A389" s="7" t="s">
        <v>2624</v>
      </c>
      <c r="B389" s="8" t="s">
        <v>2656</v>
      </c>
      <c r="C389" s="7" t="s">
        <v>233</v>
      </c>
      <c r="D389" s="7" t="s">
        <v>2660</v>
      </c>
      <c r="E389" s="7"/>
      <c r="F389" s="7" t="s">
        <v>16</v>
      </c>
    </row>
    <row r="390" ht="22.5" customHeight="1">
      <c r="A390" s="7" t="s">
        <v>2624</v>
      </c>
      <c r="B390" s="8" t="s">
        <v>2656</v>
      </c>
      <c r="C390" s="7" t="s">
        <v>40</v>
      </c>
      <c r="D390" s="7" t="s">
        <v>2661</v>
      </c>
      <c r="E390" s="7"/>
      <c r="F390" s="7" t="s">
        <v>16</v>
      </c>
    </row>
    <row r="391" ht="22.5" customHeight="1">
      <c r="A391" s="7" t="s">
        <v>2624</v>
      </c>
      <c r="B391" s="8" t="s">
        <v>2656</v>
      </c>
      <c r="C391" s="7" t="s">
        <v>236</v>
      </c>
      <c r="D391" s="7" t="s">
        <v>2662</v>
      </c>
      <c r="E391" s="7"/>
      <c r="F391" s="7" t="s">
        <v>16</v>
      </c>
    </row>
    <row r="392" ht="22.5" customHeight="1">
      <c r="A392" s="7" t="s">
        <v>2624</v>
      </c>
      <c r="B392" s="8" t="s">
        <v>2656</v>
      </c>
      <c r="C392" s="7" t="s">
        <v>43</v>
      </c>
      <c r="D392" s="7" t="s">
        <v>2663</v>
      </c>
      <c r="E392" s="7"/>
      <c r="F392" s="7" t="s">
        <v>16</v>
      </c>
    </row>
    <row r="393" ht="22.5" customHeight="1">
      <c r="A393" s="7" t="s">
        <v>2624</v>
      </c>
      <c r="B393" s="8" t="s">
        <v>2656</v>
      </c>
      <c r="C393" s="7" t="s">
        <v>239</v>
      </c>
      <c r="D393" s="7" t="s">
        <v>2664</v>
      </c>
      <c r="E393" s="7"/>
      <c r="F393" s="7" t="s">
        <v>16</v>
      </c>
    </row>
    <row r="394" ht="22.5" customHeight="1">
      <c r="A394" s="7" t="s">
        <v>2624</v>
      </c>
      <c r="B394" s="8" t="s">
        <v>2656</v>
      </c>
      <c r="C394" s="7" t="s">
        <v>103</v>
      </c>
      <c r="D394" s="7" t="s">
        <v>2665</v>
      </c>
      <c r="E394" s="7"/>
      <c r="F394" s="7" t="s">
        <v>16</v>
      </c>
    </row>
    <row r="395" ht="22.5" customHeight="1">
      <c r="A395" s="7" t="s">
        <v>2217</v>
      </c>
      <c r="B395" s="8" t="s">
        <v>2666</v>
      </c>
      <c r="C395" s="7" t="s">
        <v>38</v>
      </c>
      <c r="D395" s="7" t="s">
        <v>2667</v>
      </c>
      <c r="E395" s="7" t="s">
        <v>48</v>
      </c>
      <c r="F395" s="7" t="s">
        <v>1917</v>
      </c>
    </row>
    <row r="396" ht="22.5" customHeight="1">
      <c r="A396" s="7" t="s">
        <v>2217</v>
      </c>
      <c r="B396" s="8" t="s">
        <v>2666</v>
      </c>
      <c r="C396" s="7" t="s">
        <v>233</v>
      </c>
      <c r="D396" s="7" t="s">
        <v>2668</v>
      </c>
      <c r="E396" s="7" t="s">
        <v>48</v>
      </c>
      <c r="F396" s="7" t="s">
        <v>1917</v>
      </c>
    </row>
    <row r="397" ht="22.5" customHeight="1">
      <c r="A397" s="7" t="s">
        <v>2217</v>
      </c>
      <c r="B397" s="8" t="s">
        <v>2666</v>
      </c>
      <c r="C397" s="7" t="s">
        <v>40</v>
      </c>
      <c r="D397" s="7" t="s">
        <v>2669</v>
      </c>
      <c r="E397" s="7" t="s">
        <v>48</v>
      </c>
      <c r="F397" s="7" t="s">
        <v>1917</v>
      </c>
    </row>
    <row r="398" ht="22.5" customHeight="1">
      <c r="A398" s="7" t="s">
        <v>2217</v>
      </c>
      <c r="B398" s="8" t="s">
        <v>2666</v>
      </c>
      <c r="C398" s="7" t="s">
        <v>236</v>
      </c>
      <c r="D398" s="7" t="s">
        <v>2670</v>
      </c>
      <c r="E398" s="7" t="s">
        <v>48</v>
      </c>
      <c r="F398" s="7" t="s">
        <v>1917</v>
      </c>
    </row>
    <row r="399" ht="22.5" customHeight="1">
      <c r="A399" s="7" t="s">
        <v>2217</v>
      </c>
      <c r="B399" s="8" t="s">
        <v>2666</v>
      </c>
      <c r="C399" s="7" t="s">
        <v>43</v>
      </c>
      <c r="D399" s="7" t="s">
        <v>2671</v>
      </c>
      <c r="E399" s="7" t="s">
        <v>48</v>
      </c>
      <c r="F399" s="7" t="s">
        <v>1917</v>
      </c>
    </row>
    <row r="400" ht="22.5" customHeight="1">
      <c r="A400" s="7" t="s">
        <v>2217</v>
      </c>
      <c r="B400" s="8" t="s">
        <v>2666</v>
      </c>
      <c r="C400" s="7" t="s">
        <v>239</v>
      </c>
      <c r="D400" s="7" t="s">
        <v>2672</v>
      </c>
      <c r="E400" s="7" t="s">
        <v>48</v>
      </c>
      <c r="F400" s="7" t="s">
        <v>1917</v>
      </c>
    </row>
    <row r="401" ht="22.5" customHeight="1">
      <c r="A401" s="7" t="s">
        <v>2217</v>
      </c>
      <c r="B401" s="8" t="s">
        <v>2666</v>
      </c>
      <c r="C401" s="7" t="s">
        <v>103</v>
      </c>
      <c r="D401" s="7" t="s">
        <v>2673</v>
      </c>
      <c r="E401" s="7" t="s">
        <v>48</v>
      </c>
      <c r="F401" s="7" t="s">
        <v>1917</v>
      </c>
    </row>
    <row r="402" ht="22.5" customHeight="1">
      <c r="A402" s="7" t="s">
        <v>2380</v>
      </c>
      <c r="B402" s="8" t="s">
        <v>2674</v>
      </c>
      <c r="C402" s="7" t="s">
        <v>40</v>
      </c>
      <c r="D402" s="7" t="s">
        <v>2675</v>
      </c>
      <c r="E402" s="7"/>
      <c r="F402" s="7" t="s">
        <v>16</v>
      </c>
    </row>
    <row r="403" ht="22.5" customHeight="1">
      <c r="A403" s="7" t="s">
        <v>2380</v>
      </c>
      <c r="B403" s="8" t="s">
        <v>2674</v>
      </c>
      <c r="C403" s="7" t="s">
        <v>40</v>
      </c>
      <c r="D403" s="7" t="s">
        <v>2676</v>
      </c>
      <c r="E403" s="7"/>
      <c r="F403" s="7" t="s">
        <v>16</v>
      </c>
    </row>
    <row r="404" ht="22.5" customHeight="1">
      <c r="A404" s="7" t="s">
        <v>2380</v>
      </c>
      <c r="B404" s="8" t="s">
        <v>2674</v>
      </c>
      <c r="C404" s="7" t="s">
        <v>236</v>
      </c>
      <c r="D404" s="7" t="s">
        <v>2677</v>
      </c>
      <c r="E404" s="7"/>
      <c r="F404" s="7" t="s">
        <v>16</v>
      </c>
    </row>
    <row r="405" ht="22.5" customHeight="1">
      <c r="A405" s="7" t="s">
        <v>2380</v>
      </c>
      <c r="B405" s="8" t="s">
        <v>2674</v>
      </c>
      <c r="C405" s="7" t="s">
        <v>236</v>
      </c>
      <c r="D405" s="7" t="s">
        <v>2678</v>
      </c>
      <c r="E405" s="7"/>
      <c r="F405" s="7" t="s">
        <v>16</v>
      </c>
    </row>
    <row r="406" ht="22.5" customHeight="1">
      <c r="A406" s="7" t="s">
        <v>2380</v>
      </c>
      <c r="B406" s="8" t="s">
        <v>2674</v>
      </c>
      <c r="C406" s="7" t="s">
        <v>43</v>
      </c>
      <c r="D406" s="7" t="s">
        <v>2679</v>
      </c>
      <c r="E406" s="7"/>
      <c r="F406" s="7" t="s">
        <v>16</v>
      </c>
    </row>
    <row r="407" ht="22.5" customHeight="1">
      <c r="A407" s="7" t="s">
        <v>2380</v>
      </c>
      <c r="B407" s="8" t="s">
        <v>2674</v>
      </c>
      <c r="C407" s="7" t="s">
        <v>43</v>
      </c>
      <c r="D407" s="7" t="s">
        <v>2680</v>
      </c>
      <c r="E407" s="7"/>
      <c r="F407" s="7" t="s">
        <v>16</v>
      </c>
    </row>
    <row r="408" ht="22.5" customHeight="1">
      <c r="A408" s="7" t="s">
        <v>2380</v>
      </c>
      <c r="B408" s="8" t="s">
        <v>2674</v>
      </c>
      <c r="C408" s="7" t="s">
        <v>239</v>
      </c>
      <c r="D408" s="7" t="s">
        <v>2681</v>
      </c>
      <c r="E408" s="7"/>
      <c r="F408" s="7" t="s">
        <v>16</v>
      </c>
    </row>
    <row r="409" ht="22.5" customHeight="1">
      <c r="A409" s="7" t="s">
        <v>2380</v>
      </c>
      <c r="B409" s="8" t="s">
        <v>2674</v>
      </c>
      <c r="C409" s="7" t="s">
        <v>239</v>
      </c>
      <c r="D409" s="7" t="s">
        <v>2682</v>
      </c>
      <c r="E409" s="7"/>
      <c r="F409" s="7" t="s">
        <v>16</v>
      </c>
    </row>
    <row r="410" ht="22.5" customHeight="1">
      <c r="A410" s="7" t="s">
        <v>2380</v>
      </c>
      <c r="B410" s="8" t="s">
        <v>2674</v>
      </c>
      <c r="C410" s="7" t="s">
        <v>103</v>
      </c>
      <c r="D410" s="7" t="s">
        <v>2683</v>
      </c>
      <c r="E410" s="7"/>
      <c r="F410" s="7" t="s">
        <v>16</v>
      </c>
    </row>
    <row r="411" ht="22.5" customHeight="1">
      <c r="A411" s="7" t="s">
        <v>2380</v>
      </c>
      <c r="B411" s="8" t="s">
        <v>2674</v>
      </c>
      <c r="C411" s="7" t="s">
        <v>103</v>
      </c>
      <c r="D411" s="7" t="s">
        <v>2684</v>
      </c>
      <c r="E411" s="7"/>
      <c r="F411" s="7" t="s">
        <v>16</v>
      </c>
    </row>
    <row r="412" ht="22.5" customHeight="1">
      <c r="A412" s="7" t="s">
        <v>2284</v>
      </c>
      <c r="B412" s="8" t="s">
        <v>2685</v>
      </c>
      <c r="C412" s="7" t="s">
        <v>38</v>
      </c>
      <c r="D412" s="7" t="s">
        <v>2686</v>
      </c>
      <c r="E412" s="7"/>
      <c r="F412" s="7" t="s">
        <v>16</v>
      </c>
    </row>
    <row r="413" ht="22.5" customHeight="1">
      <c r="A413" s="7" t="s">
        <v>2284</v>
      </c>
      <c r="B413" s="8" t="s">
        <v>2685</v>
      </c>
      <c r="C413" s="7" t="s">
        <v>233</v>
      </c>
      <c r="D413" s="7" t="s">
        <v>2687</v>
      </c>
      <c r="E413" s="7"/>
      <c r="F413" s="7" t="s">
        <v>16</v>
      </c>
    </row>
    <row r="414" ht="22.5" customHeight="1">
      <c r="A414" s="7" t="s">
        <v>2284</v>
      </c>
      <c r="B414" s="8" t="s">
        <v>2685</v>
      </c>
      <c r="C414" s="7" t="s">
        <v>40</v>
      </c>
      <c r="D414" s="7" t="s">
        <v>2688</v>
      </c>
      <c r="E414" s="7"/>
      <c r="F414" s="7" t="s">
        <v>16</v>
      </c>
    </row>
    <row r="415" ht="22.5" customHeight="1">
      <c r="A415" s="7" t="s">
        <v>2284</v>
      </c>
      <c r="B415" s="8" t="s">
        <v>2685</v>
      </c>
      <c r="C415" s="7" t="s">
        <v>236</v>
      </c>
      <c r="D415" s="7" t="s">
        <v>2689</v>
      </c>
      <c r="E415" s="7"/>
      <c r="F415" s="7" t="s">
        <v>16</v>
      </c>
    </row>
    <row r="416" ht="22.5" customHeight="1">
      <c r="A416" s="7" t="s">
        <v>2284</v>
      </c>
      <c r="B416" s="8" t="s">
        <v>2685</v>
      </c>
      <c r="C416" s="7" t="s">
        <v>43</v>
      </c>
      <c r="D416" s="7" t="s">
        <v>2690</v>
      </c>
      <c r="E416" s="7"/>
      <c r="F416" s="7" t="s">
        <v>16</v>
      </c>
    </row>
    <row r="417" ht="22.5" customHeight="1">
      <c r="A417" s="7" t="s">
        <v>2284</v>
      </c>
      <c r="B417" s="8" t="s">
        <v>2685</v>
      </c>
      <c r="C417" s="7" t="s">
        <v>239</v>
      </c>
      <c r="D417" s="7" t="s">
        <v>2691</v>
      </c>
      <c r="E417" s="7"/>
      <c r="F417" s="7" t="s">
        <v>16</v>
      </c>
    </row>
    <row r="418" ht="22.5" customHeight="1">
      <c r="A418" s="7" t="s">
        <v>2284</v>
      </c>
      <c r="B418" s="8" t="s">
        <v>2685</v>
      </c>
      <c r="C418" s="7" t="s">
        <v>103</v>
      </c>
      <c r="D418" s="7" t="s">
        <v>2692</v>
      </c>
      <c r="E418" s="7"/>
      <c r="F418" s="7" t="s">
        <v>16</v>
      </c>
    </row>
    <row r="419" ht="22.5" customHeight="1">
      <c r="A419" s="7" t="s">
        <v>2217</v>
      </c>
      <c r="B419" s="8" t="s">
        <v>2693</v>
      </c>
      <c r="C419" s="7" t="s">
        <v>38</v>
      </c>
      <c r="D419" s="7" t="s">
        <v>2694</v>
      </c>
      <c r="E419" s="7"/>
      <c r="F419" s="7" t="s">
        <v>16</v>
      </c>
    </row>
    <row r="420" ht="22.5" customHeight="1">
      <c r="A420" s="7" t="s">
        <v>2217</v>
      </c>
      <c r="B420" s="8" t="s">
        <v>2693</v>
      </c>
      <c r="C420" s="7" t="s">
        <v>233</v>
      </c>
      <c r="D420" s="7" t="s">
        <v>2695</v>
      </c>
      <c r="E420" s="7"/>
      <c r="F420" s="7" t="s">
        <v>16</v>
      </c>
    </row>
    <row r="421" ht="22.5" customHeight="1">
      <c r="A421" s="7" t="s">
        <v>2217</v>
      </c>
      <c r="B421" s="8" t="s">
        <v>2693</v>
      </c>
      <c r="C421" s="7" t="s">
        <v>40</v>
      </c>
      <c r="D421" s="7" t="s">
        <v>2696</v>
      </c>
      <c r="E421" s="7"/>
      <c r="F421" s="7" t="s">
        <v>16</v>
      </c>
    </row>
    <row r="422" ht="22.5" customHeight="1">
      <c r="A422" s="7" t="s">
        <v>2217</v>
      </c>
      <c r="B422" s="8" t="s">
        <v>2693</v>
      </c>
      <c r="C422" s="7" t="s">
        <v>236</v>
      </c>
      <c r="D422" s="7" t="s">
        <v>2697</v>
      </c>
      <c r="E422" s="7"/>
      <c r="F422" s="7" t="s">
        <v>16</v>
      </c>
    </row>
    <row r="423" ht="22.5" customHeight="1">
      <c r="A423" s="7" t="s">
        <v>2217</v>
      </c>
      <c r="B423" s="8" t="s">
        <v>2693</v>
      </c>
      <c r="C423" s="7" t="s">
        <v>43</v>
      </c>
      <c r="D423" s="7" t="s">
        <v>2698</v>
      </c>
      <c r="E423" s="7"/>
      <c r="F423" s="7" t="s">
        <v>16</v>
      </c>
    </row>
    <row r="424" ht="22.5" customHeight="1">
      <c r="A424" s="7" t="s">
        <v>2217</v>
      </c>
      <c r="B424" s="8" t="s">
        <v>2693</v>
      </c>
      <c r="C424" s="7" t="s">
        <v>239</v>
      </c>
      <c r="D424" s="7" t="s">
        <v>2699</v>
      </c>
      <c r="E424" s="7"/>
      <c r="F424" s="7" t="s">
        <v>16</v>
      </c>
    </row>
    <row r="425" ht="22.5" customHeight="1">
      <c r="A425" s="7" t="s">
        <v>2217</v>
      </c>
      <c r="B425" s="8" t="s">
        <v>2693</v>
      </c>
      <c r="C425" s="7" t="s">
        <v>103</v>
      </c>
      <c r="D425" s="7" t="s">
        <v>2700</v>
      </c>
      <c r="E425" s="7"/>
      <c r="F425" s="7" t="s">
        <v>16</v>
      </c>
    </row>
    <row r="426" ht="22.5" customHeight="1">
      <c r="A426" s="7" t="s">
        <v>2380</v>
      </c>
      <c r="B426" s="8" t="s">
        <v>2701</v>
      </c>
      <c r="C426" s="7" t="s">
        <v>30</v>
      </c>
      <c r="D426" s="7" t="s">
        <v>2702</v>
      </c>
      <c r="E426" s="7" t="s">
        <v>105</v>
      </c>
      <c r="F426" s="7" t="s">
        <v>1917</v>
      </c>
    </row>
    <row r="427" ht="22.5" customHeight="1">
      <c r="A427" s="7" t="s">
        <v>2380</v>
      </c>
      <c r="B427" s="8" t="s">
        <v>2701</v>
      </c>
      <c r="C427" s="7" t="s">
        <v>30</v>
      </c>
      <c r="D427" s="7" t="s">
        <v>2703</v>
      </c>
      <c r="E427" s="7" t="s">
        <v>2704</v>
      </c>
      <c r="F427" s="7" t="s">
        <v>1917</v>
      </c>
    </row>
    <row r="428" ht="22.5" customHeight="1">
      <c r="A428" s="7" t="s">
        <v>2380</v>
      </c>
      <c r="B428" s="8" t="s">
        <v>2701</v>
      </c>
      <c r="C428" s="7" t="s">
        <v>598</v>
      </c>
      <c r="D428" s="7" t="s">
        <v>2705</v>
      </c>
      <c r="E428" s="7" t="s">
        <v>105</v>
      </c>
      <c r="F428" s="7" t="s">
        <v>1917</v>
      </c>
    </row>
    <row r="429" ht="22.5" customHeight="1">
      <c r="A429" s="7" t="s">
        <v>2380</v>
      </c>
      <c r="B429" s="8" t="s">
        <v>2701</v>
      </c>
      <c r="C429" s="7" t="s">
        <v>598</v>
      </c>
      <c r="D429" s="7" t="s">
        <v>2706</v>
      </c>
      <c r="E429" s="7" t="s">
        <v>2704</v>
      </c>
      <c r="F429" s="7" t="s">
        <v>1917</v>
      </c>
    </row>
    <row r="430" ht="22.5" customHeight="1">
      <c r="A430" s="7" t="s">
        <v>2380</v>
      </c>
      <c r="B430" s="8" t="s">
        <v>2701</v>
      </c>
      <c r="C430" s="7" t="s">
        <v>36</v>
      </c>
      <c r="D430" s="7" t="s">
        <v>2707</v>
      </c>
      <c r="E430" s="7" t="s">
        <v>105</v>
      </c>
      <c r="F430" s="7" t="s">
        <v>1917</v>
      </c>
    </row>
    <row r="431" ht="22.5" customHeight="1">
      <c r="A431" s="7" t="s">
        <v>2380</v>
      </c>
      <c r="B431" s="8" t="s">
        <v>2701</v>
      </c>
      <c r="C431" s="7" t="s">
        <v>36</v>
      </c>
      <c r="D431" s="7" t="s">
        <v>2708</v>
      </c>
      <c r="E431" s="7" t="s">
        <v>2704</v>
      </c>
      <c r="F431" s="7" t="s">
        <v>1917</v>
      </c>
    </row>
    <row r="432" ht="22.5" customHeight="1">
      <c r="A432" s="7" t="s">
        <v>2380</v>
      </c>
      <c r="B432" s="8" t="s">
        <v>2701</v>
      </c>
      <c r="C432" s="7" t="s">
        <v>230</v>
      </c>
      <c r="D432" s="7" t="s">
        <v>2709</v>
      </c>
      <c r="E432" s="7" t="s">
        <v>105</v>
      </c>
      <c r="F432" s="7" t="s">
        <v>1917</v>
      </c>
    </row>
    <row r="433" ht="22.5" customHeight="1">
      <c r="A433" s="7" t="s">
        <v>2380</v>
      </c>
      <c r="B433" s="8" t="s">
        <v>2701</v>
      </c>
      <c r="C433" s="7" t="s">
        <v>230</v>
      </c>
      <c r="D433" s="7" t="s">
        <v>2710</v>
      </c>
      <c r="E433" s="7" t="s">
        <v>2704</v>
      </c>
      <c r="F433" s="7" t="s">
        <v>1917</v>
      </c>
    </row>
    <row r="434" ht="22.5" customHeight="1">
      <c r="A434" s="7" t="s">
        <v>2380</v>
      </c>
      <c r="B434" s="8" t="s">
        <v>2701</v>
      </c>
      <c r="C434" s="7" t="s">
        <v>38</v>
      </c>
      <c r="D434" s="7" t="s">
        <v>2711</v>
      </c>
      <c r="E434" s="7" t="s">
        <v>105</v>
      </c>
      <c r="F434" s="7" t="s">
        <v>1917</v>
      </c>
    </row>
    <row r="435" ht="22.5" customHeight="1">
      <c r="A435" s="7" t="s">
        <v>2380</v>
      </c>
      <c r="B435" s="8" t="s">
        <v>2701</v>
      </c>
      <c r="C435" s="7" t="s">
        <v>38</v>
      </c>
      <c r="D435" s="7" t="s">
        <v>2712</v>
      </c>
      <c r="E435" s="7" t="s">
        <v>2704</v>
      </c>
      <c r="F435" s="7" t="s">
        <v>1917</v>
      </c>
    </row>
    <row r="436" ht="22.5" customHeight="1">
      <c r="A436" s="7" t="s">
        <v>2380</v>
      </c>
      <c r="B436" s="8" t="s">
        <v>2701</v>
      </c>
      <c r="C436" s="7" t="s">
        <v>233</v>
      </c>
      <c r="D436" s="7" t="s">
        <v>2713</v>
      </c>
      <c r="E436" s="7" t="s">
        <v>105</v>
      </c>
      <c r="F436" s="7" t="s">
        <v>1917</v>
      </c>
    </row>
    <row r="437" ht="22.5" customHeight="1">
      <c r="A437" s="7" t="s">
        <v>2380</v>
      </c>
      <c r="B437" s="8" t="s">
        <v>2701</v>
      </c>
      <c r="C437" s="7" t="s">
        <v>233</v>
      </c>
      <c r="D437" s="7" t="s">
        <v>2714</v>
      </c>
      <c r="E437" s="7" t="s">
        <v>2704</v>
      </c>
      <c r="F437" s="7" t="s">
        <v>1917</v>
      </c>
    </row>
    <row r="438" ht="22.5" customHeight="1">
      <c r="A438" s="7" t="s">
        <v>2380</v>
      </c>
      <c r="B438" s="8" t="s">
        <v>2701</v>
      </c>
      <c r="C438" s="7" t="s">
        <v>40</v>
      </c>
      <c r="D438" s="7" t="s">
        <v>2715</v>
      </c>
      <c r="E438" s="7" t="s">
        <v>105</v>
      </c>
      <c r="F438" s="7" t="s">
        <v>1917</v>
      </c>
    </row>
    <row r="439" ht="22.5" customHeight="1">
      <c r="A439" s="7" t="s">
        <v>2380</v>
      </c>
      <c r="B439" s="8" t="s">
        <v>2701</v>
      </c>
      <c r="C439" s="7" t="s">
        <v>40</v>
      </c>
      <c r="D439" s="7" t="s">
        <v>2716</v>
      </c>
      <c r="E439" s="7" t="s">
        <v>2704</v>
      </c>
      <c r="F439" s="7" t="s">
        <v>1917</v>
      </c>
    </row>
    <row r="440" ht="22.5" customHeight="1">
      <c r="A440" s="7" t="s">
        <v>2380</v>
      </c>
      <c r="B440" s="8" t="s">
        <v>2701</v>
      </c>
      <c r="C440" s="7" t="s">
        <v>236</v>
      </c>
      <c r="D440" s="7" t="s">
        <v>2717</v>
      </c>
      <c r="E440" s="7" t="s">
        <v>105</v>
      </c>
      <c r="F440" s="7" t="s">
        <v>1917</v>
      </c>
    </row>
    <row r="441" ht="22.5" customHeight="1">
      <c r="A441" s="7" t="s">
        <v>2380</v>
      </c>
      <c r="B441" s="8" t="s">
        <v>2701</v>
      </c>
      <c r="C441" s="7" t="s">
        <v>236</v>
      </c>
      <c r="D441" s="7" t="s">
        <v>2718</v>
      </c>
      <c r="E441" s="7" t="s">
        <v>2704</v>
      </c>
      <c r="F441" s="7" t="s">
        <v>1917</v>
      </c>
    </row>
    <row r="442" ht="22.5" customHeight="1">
      <c r="A442" s="7" t="s">
        <v>2380</v>
      </c>
      <c r="B442" s="8" t="s">
        <v>2701</v>
      </c>
      <c r="C442" s="7" t="s">
        <v>43</v>
      </c>
      <c r="D442" s="7" t="s">
        <v>2719</v>
      </c>
      <c r="E442" s="7" t="s">
        <v>105</v>
      </c>
      <c r="F442" s="7" t="s">
        <v>1917</v>
      </c>
    </row>
    <row r="443" ht="22.5" customHeight="1">
      <c r="A443" s="7" t="s">
        <v>2380</v>
      </c>
      <c r="B443" s="8" t="s">
        <v>2701</v>
      </c>
      <c r="C443" s="7" t="s">
        <v>43</v>
      </c>
      <c r="D443" s="7" t="s">
        <v>2720</v>
      </c>
      <c r="E443" s="7" t="s">
        <v>2704</v>
      </c>
      <c r="F443" s="7" t="s">
        <v>1917</v>
      </c>
    </row>
    <row r="444" ht="22.5" customHeight="1">
      <c r="A444" s="7" t="s">
        <v>2380</v>
      </c>
      <c r="B444" s="8" t="s">
        <v>2701</v>
      </c>
      <c r="C444" s="7" t="s">
        <v>239</v>
      </c>
      <c r="D444" s="7" t="s">
        <v>2721</v>
      </c>
      <c r="E444" s="7" t="s">
        <v>105</v>
      </c>
      <c r="F444" s="7" t="s">
        <v>1917</v>
      </c>
    </row>
    <row r="445" ht="22.5" customHeight="1">
      <c r="A445" s="7" t="s">
        <v>2380</v>
      </c>
      <c r="B445" s="8" t="s">
        <v>2701</v>
      </c>
      <c r="C445" s="7" t="s">
        <v>239</v>
      </c>
      <c r="D445" s="7" t="s">
        <v>2722</v>
      </c>
      <c r="E445" s="7" t="s">
        <v>2704</v>
      </c>
      <c r="F445" s="7" t="s">
        <v>1917</v>
      </c>
    </row>
    <row r="446" ht="22.5" customHeight="1">
      <c r="A446" s="7" t="s">
        <v>2380</v>
      </c>
      <c r="B446" s="8" t="s">
        <v>2701</v>
      </c>
      <c r="C446" s="7" t="s">
        <v>103</v>
      </c>
      <c r="D446" s="7" t="s">
        <v>2723</v>
      </c>
      <c r="E446" s="7" t="s">
        <v>105</v>
      </c>
      <c r="F446" s="7" t="s">
        <v>1917</v>
      </c>
    </row>
    <row r="447" ht="22.5" customHeight="1">
      <c r="A447" s="7" t="s">
        <v>2380</v>
      </c>
      <c r="B447" s="8" t="s">
        <v>2701</v>
      </c>
      <c r="C447" s="7" t="s">
        <v>103</v>
      </c>
      <c r="D447" s="7" t="s">
        <v>2724</v>
      </c>
      <c r="E447" s="7" t="s">
        <v>2704</v>
      </c>
      <c r="F447" s="7" t="s">
        <v>1917</v>
      </c>
    </row>
    <row r="448" ht="22.5" customHeight="1">
      <c r="A448" s="7" t="s">
        <v>2725</v>
      </c>
      <c r="B448" s="8" t="s">
        <v>2726</v>
      </c>
      <c r="C448" s="7" t="s">
        <v>36</v>
      </c>
      <c r="D448" s="7" t="s">
        <v>2727</v>
      </c>
      <c r="E448" s="7"/>
      <c r="F448" s="7" t="s">
        <v>16</v>
      </c>
    </row>
    <row r="449" ht="22.5" customHeight="1">
      <c r="A449" s="7" t="s">
        <v>2725</v>
      </c>
      <c r="B449" s="8" t="s">
        <v>2726</v>
      </c>
      <c r="C449" s="7" t="s">
        <v>230</v>
      </c>
      <c r="D449" s="7" t="s">
        <v>2728</v>
      </c>
      <c r="E449" s="7"/>
      <c r="F449" s="7" t="s">
        <v>16</v>
      </c>
    </row>
    <row r="450" ht="22.5" customHeight="1">
      <c r="A450" s="7" t="s">
        <v>2725</v>
      </c>
      <c r="B450" s="8" t="s">
        <v>2726</v>
      </c>
      <c r="C450" s="7" t="s">
        <v>38</v>
      </c>
      <c r="D450" s="7" t="s">
        <v>2729</v>
      </c>
      <c r="E450" s="7"/>
      <c r="F450" s="7" t="s">
        <v>16</v>
      </c>
    </row>
    <row r="451" ht="22.5" customHeight="1">
      <c r="A451" s="7" t="s">
        <v>2725</v>
      </c>
      <c r="B451" s="8" t="s">
        <v>2726</v>
      </c>
      <c r="C451" s="7" t="s">
        <v>233</v>
      </c>
      <c r="D451" s="7" t="s">
        <v>2730</v>
      </c>
      <c r="E451" s="7"/>
      <c r="F451" s="7" t="s">
        <v>16</v>
      </c>
    </row>
    <row r="452" ht="22.5" customHeight="1">
      <c r="A452" s="7" t="s">
        <v>2725</v>
      </c>
      <c r="B452" s="8" t="s">
        <v>2726</v>
      </c>
      <c r="C452" s="7" t="s">
        <v>40</v>
      </c>
      <c r="D452" s="7" t="s">
        <v>2731</v>
      </c>
      <c r="E452" s="7"/>
      <c r="F452" s="7" t="s">
        <v>16</v>
      </c>
    </row>
    <row r="453" ht="22.5" customHeight="1">
      <c r="A453" s="7" t="s">
        <v>2725</v>
      </c>
      <c r="B453" s="8" t="s">
        <v>2726</v>
      </c>
      <c r="C453" s="7" t="s">
        <v>236</v>
      </c>
      <c r="D453" s="7" t="s">
        <v>2732</v>
      </c>
      <c r="E453" s="7"/>
      <c r="F453" s="7" t="s">
        <v>16</v>
      </c>
    </row>
    <row r="454" ht="22.5" customHeight="1">
      <c r="A454" s="7" t="s">
        <v>2725</v>
      </c>
      <c r="B454" s="8" t="s">
        <v>2726</v>
      </c>
      <c r="C454" s="7" t="s">
        <v>43</v>
      </c>
      <c r="D454" s="7" t="s">
        <v>2733</v>
      </c>
      <c r="E454" s="7"/>
      <c r="F454" s="7" t="s">
        <v>16</v>
      </c>
    </row>
    <row r="455" ht="22.5" customHeight="1">
      <c r="A455" s="7" t="s">
        <v>2725</v>
      </c>
      <c r="B455" s="8" t="s">
        <v>2726</v>
      </c>
      <c r="C455" s="7" t="s">
        <v>239</v>
      </c>
      <c r="D455" s="7" t="s">
        <v>2734</v>
      </c>
      <c r="E455" s="7"/>
      <c r="F455" s="7" t="s">
        <v>16</v>
      </c>
    </row>
    <row r="456" ht="22.5" customHeight="1">
      <c r="A456" s="7" t="s">
        <v>2725</v>
      </c>
      <c r="B456" s="8" t="s">
        <v>2726</v>
      </c>
      <c r="C456" s="7" t="s">
        <v>103</v>
      </c>
      <c r="D456" s="7" t="s">
        <v>2735</v>
      </c>
      <c r="E456" s="7"/>
      <c r="F456" s="7" t="s">
        <v>16</v>
      </c>
    </row>
    <row r="457" ht="22.5" customHeight="1">
      <c r="A457" s="7" t="s">
        <v>2251</v>
      </c>
      <c r="B457" s="8" t="s">
        <v>2736</v>
      </c>
      <c r="C457" s="7" t="s">
        <v>43</v>
      </c>
      <c r="D457" s="7" t="s">
        <v>2737</v>
      </c>
      <c r="E457" s="7" t="s">
        <v>48</v>
      </c>
      <c r="F457" s="7" t="s">
        <v>16</v>
      </c>
    </row>
    <row r="458" ht="22.5" customHeight="1">
      <c r="A458" s="7" t="s">
        <v>2624</v>
      </c>
      <c r="B458" s="8" t="s">
        <v>2738</v>
      </c>
      <c r="C458" s="7" t="s">
        <v>36</v>
      </c>
      <c r="D458" s="7" t="s">
        <v>2739</v>
      </c>
      <c r="E458" s="7"/>
      <c r="F458" s="7" t="s">
        <v>16</v>
      </c>
    </row>
    <row r="459" ht="22.5" customHeight="1">
      <c r="A459" s="7" t="s">
        <v>2624</v>
      </c>
      <c r="B459" s="8" t="s">
        <v>2738</v>
      </c>
      <c r="C459" s="7" t="s">
        <v>36</v>
      </c>
      <c r="D459" s="7" t="s">
        <v>2740</v>
      </c>
      <c r="E459" s="7"/>
      <c r="F459" s="7" t="s">
        <v>16</v>
      </c>
    </row>
    <row r="460" ht="22.5" customHeight="1">
      <c r="A460" s="7" t="s">
        <v>2624</v>
      </c>
      <c r="B460" s="8" t="s">
        <v>2738</v>
      </c>
      <c r="C460" s="7" t="s">
        <v>230</v>
      </c>
      <c r="D460" s="7" t="s">
        <v>2741</v>
      </c>
      <c r="E460" s="7"/>
      <c r="F460" s="7" t="s">
        <v>16</v>
      </c>
    </row>
    <row r="461" ht="22.5" customHeight="1">
      <c r="A461" s="7" t="s">
        <v>2624</v>
      </c>
      <c r="B461" s="8" t="s">
        <v>2738</v>
      </c>
      <c r="C461" s="7" t="s">
        <v>38</v>
      </c>
      <c r="D461" s="7" t="s">
        <v>2742</v>
      </c>
      <c r="E461" s="7"/>
      <c r="F461" s="7" t="s">
        <v>16</v>
      </c>
    </row>
    <row r="462" ht="22.5" customHeight="1">
      <c r="A462" s="7" t="s">
        <v>2624</v>
      </c>
      <c r="B462" s="8" t="s">
        <v>2738</v>
      </c>
      <c r="C462" s="7" t="s">
        <v>233</v>
      </c>
      <c r="D462" s="7" t="s">
        <v>2743</v>
      </c>
      <c r="E462" s="7"/>
      <c r="F462" s="7" t="s">
        <v>16</v>
      </c>
    </row>
    <row r="463" ht="22.5" customHeight="1">
      <c r="A463" s="7" t="s">
        <v>2624</v>
      </c>
      <c r="B463" s="8" t="s">
        <v>2738</v>
      </c>
      <c r="C463" s="7" t="s">
        <v>40</v>
      </c>
      <c r="D463" s="7" t="s">
        <v>2744</v>
      </c>
      <c r="E463" s="7"/>
      <c r="F463" s="7" t="s">
        <v>16</v>
      </c>
    </row>
    <row r="464" ht="22.5" customHeight="1">
      <c r="A464" s="7" t="s">
        <v>2624</v>
      </c>
      <c r="B464" s="8" t="s">
        <v>2738</v>
      </c>
      <c r="C464" s="7" t="s">
        <v>236</v>
      </c>
      <c r="D464" s="7" t="s">
        <v>2745</v>
      </c>
      <c r="E464" s="7"/>
      <c r="F464" s="7" t="s">
        <v>16</v>
      </c>
    </row>
    <row r="465" ht="22.5" customHeight="1">
      <c r="A465" s="7" t="s">
        <v>2624</v>
      </c>
      <c r="B465" s="8" t="s">
        <v>2738</v>
      </c>
      <c r="C465" s="7" t="s">
        <v>43</v>
      </c>
      <c r="D465" s="7" t="s">
        <v>2746</v>
      </c>
      <c r="E465" s="7"/>
      <c r="F465" s="7" t="s">
        <v>16</v>
      </c>
    </row>
    <row r="466" ht="22.5" customHeight="1">
      <c r="A466" s="7" t="s">
        <v>2624</v>
      </c>
      <c r="B466" s="8" t="s">
        <v>2738</v>
      </c>
      <c r="C466" s="7" t="s">
        <v>239</v>
      </c>
      <c r="D466" s="7" t="s">
        <v>2747</v>
      </c>
      <c r="E466" s="7"/>
      <c r="F466" s="7" t="s">
        <v>16</v>
      </c>
    </row>
    <row r="467" ht="22.5" customHeight="1">
      <c r="A467" s="7" t="s">
        <v>2624</v>
      </c>
      <c r="B467" s="8" t="s">
        <v>2738</v>
      </c>
      <c r="C467" s="7" t="s">
        <v>103</v>
      </c>
      <c r="D467" s="7" t="s">
        <v>2748</v>
      </c>
      <c r="E467" s="7"/>
      <c r="F467" s="7" t="s">
        <v>16</v>
      </c>
    </row>
    <row r="468" ht="22.5" customHeight="1">
      <c r="A468" s="7" t="s">
        <v>2301</v>
      </c>
      <c r="B468" s="8" t="s">
        <v>2749</v>
      </c>
      <c r="C468" s="7" t="s">
        <v>30</v>
      </c>
      <c r="D468" s="7" t="s">
        <v>2750</v>
      </c>
      <c r="E468" s="7"/>
      <c r="F468" s="7" t="s">
        <v>16</v>
      </c>
    </row>
    <row r="469" ht="22.5" customHeight="1">
      <c r="A469" s="7" t="s">
        <v>2301</v>
      </c>
      <c r="B469" s="8" t="s">
        <v>2749</v>
      </c>
      <c r="C469" s="7" t="s">
        <v>36</v>
      </c>
      <c r="D469" s="7" t="s">
        <v>2751</v>
      </c>
      <c r="E469" s="7"/>
      <c r="F469" s="7" t="s">
        <v>16</v>
      </c>
    </row>
    <row r="470" ht="22.5" customHeight="1">
      <c r="A470" s="7" t="s">
        <v>2301</v>
      </c>
      <c r="B470" s="8" t="s">
        <v>2749</v>
      </c>
      <c r="C470" s="7" t="s">
        <v>38</v>
      </c>
      <c r="D470" s="7" t="s">
        <v>2752</v>
      </c>
      <c r="E470" s="7"/>
      <c r="F470" s="7" t="s">
        <v>16</v>
      </c>
    </row>
    <row r="471" ht="22.5" customHeight="1">
      <c r="A471" s="7" t="s">
        <v>2301</v>
      </c>
      <c r="B471" s="8" t="s">
        <v>2749</v>
      </c>
      <c r="C471" s="7" t="s">
        <v>233</v>
      </c>
      <c r="D471" s="7" t="s">
        <v>2753</v>
      </c>
      <c r="E471" s="7"/>
      <c r="F471" s="7" t="s">
        <v>16</v>
      </c>
    </row>
    <row r="472" ht="22.5" customHeight="1">
      <c r="A472" s="7" t="s">
        <v>2301</v>
      </c>
      <c r="B472" s="8" t="s">
        <v>2749</v>
      </c>
      <c r="C472" s="7" t="s">
        <v>40</v>
      </c>
      <c r="D472" s="7" t="s">
        <v>2754</v>
      </c>
      <c r="E472" s="7"/>
      <c r="F472" s="7" t="s">
        <v>16</v>
      </c>
    </row>
    <row r="473" ht="22.5" customHeight="1">
      <c r="A473" s="7" t="s">
        <v>2301</v>
      </c>
      <c r="B473" s="8" t="s">
        <v>2749</v>
      </c>
      <c r="C473" s="7" t="s">
        <v>236</v>
      </c>
      <c r="D473" s="7" t="s">
        <v>2755</v>
      </c>
      <c r="E473" s="7"/>
      <c r="F473" s="7" t="s">
        <v>16</v>
      </c>
    </row>
    <row r="474" ht="22.5" customHeight="1">
      <c r="A474" s="7" t="s">
        <v>2301</v>
      </c>
      <c r="B474" s="8" t="s">
        <v>2749</v>
      </c>
      <c r="C474" s="7" t="s">
        <v>43</v>
      </c>
      <c r="D474" s="7" t="s">
        <v>2756</v>
      </c>
      <c r="E474" s="7"/>
      <c r="F474" s="7" t="s">
        <v>16</v>
      </c>
    </row>
    <row r="475" ht="22.5" customHeight="1">
      <c r="A475" s="7" t="s">
        <v>2301</v>
      </c>
      <c r="B475" s="8" t="s">
        <v>2749</v>
      </c>
      <c r="C475" s="7" t="s">
        <v>239</v>
      </c>
      <c r="D475" s="7" t="s">
        <v>2757</v>
      </c>
      <c r="E475" s="7"/>
      <c r="F475" s="7" t="s">
        <v>16</v>
      </c>
    </row>
    <row r="476" ht="22.5" customHeight="1">
      <c r="A476" s="7" t="s">
        <v>2301</v>
      </c>
      <c r="B476" s="8" t="s">
        <v>2749</v>
      </c>
      <c r="C476" s="7" t="s">
        <v>103</v>
      </c>
      <c r="D476" s="7" t="s">
        <v>2758</v>
      </c>
      <c r="E476" s="7"/>
      <c r="F476" s="7" t="s">
        <v>16</v>
      </c>
    </row>
    <row r="477" ht="22.5" customHeight="1">
      <c r="A477" s="7" t="s">
        <v>2217</v>
      </c>
      <c r="B477" s="8" t="s">
        <v>2759</v>
      </c>
      <c r="C477" s="7" t="s">
        <v>30</v>
      </c>
      <c r="D477" s="7" t="s">
        <v>2760</v>
      </c>
      <c r="E477" s="7"/>
      <c r="F477" s="7" t="s">
        <v>16</v>
      </c>
    </row>
    <row r="478" ht="22.5" customHeight="1">
      <c r="A478" s="7" t="s">
        <v>2217</v>
      </c>
      <c r="B478" s="8" t="s">
        <v>2759</v>
      </c>
      <c r="C478" s="7" t="s">
        <v>598</v>
      </c>
      <c r="D478" s="7" t="s">
        <v>2761</v>
      </c>
      <c r="E478" s="7"/>
      <c r="F478" s="7" t="s">
        <v>16</v>
      </c>
    </row>
    <row r="479" ht="22.5" customHeight="1">
      <c r="A479" s="7" t="s">
        <v>2217</v>
      </c>
      <c r="B479" s="8" t="s">
        <v>2759</v>
      </c>
      <c r="C479" s="7" t="s">
        <v>36</v>
      </c>
      <c r="D479" s="7" t="s">
        <v>2762</v>
      </c>
      <c r="E479" s="7"/>
      <c r="F479" s="7" t="s">
        <v>16</v>
      </c>
    </row>
    <row r="480" ht="22.5" customHeight="1">
      <c r="A480" s="7" t="s">
        <v>2217</v>
      </c>
      <c r="B480" s="8" t="s">
        <v>2759</v>
      </c>
      <c r="C480" s="7" t="s">
        <v>230</v>
      </c>
      <c r="D480" s="7" t="s">
        <v>2763</v>
      </c>
      <c r="E480" s="7"/>
      <c r="F480" s="7" t="s">
        <v>16</v>
      </c>
    </row>
    <row r="481" ht="22.5" customHeight="1">
      <c r="A481" s="7" t="s">
        <v>2217</v>
      </c>
      <c r="B481" s="8" t="s">
        <v>2759</v>
      </c>
      <c r="C481" s="7" t="s">
        <v>38</v>
      </c>
      <c r="D481" s="7" t="s">
        <v>2764</v>
      </c>
      <c r="E481" s="7"/>
      <c r="F481" s="7" t="s">
        <v>16</v>
      </c>
    </row>
    <row r="482" ht="22.5" customHeight="1">
      <c r="A482" s="7" t="s">
        <v>2217</v>
      </c>
      <c r="B482" s="8" t="s">
        <v>2759</v>
      </c>
      <c r="C482" s="7" t="s">
        <v>233</v>
      </c>
      <c r="D482" s="7" t="s">
        <v>2765</v>
      </c>
      <c r="E482" s="7"/>
      <c r="F482" s="7" t="s">
        <v>16</v>
      </c>
    </row>
    <row r="483" ht="22.5" customHeight="1">
      <c r="A483" s="7" t="s">
        <v>2217</v>
      </c>
      <c r="B483" s="8" t="s">
        <v>2759</v>
      </c>
      <c r="C483" s="7" t="s">
        <v>40</v>
      </c>
      <c r="D483" s="7" t="s">
        <v>2766</v>
      </c>
      <c r="E483" s="7"/>
      <c r="F483" s="7" t="s">
        <v>16</v>
      </c>
    </row>
    <row r="484" ht="22.5" customHeight="1">
      <c r="A484" s="7" t="s">
        <v>2217</v>
      </c>
      <c r="B484" s="8" t="s">
        <v>2759</v>
      </c>
      <c r="C484" s="7" t="s">
        <v>236</v>
      </c>
      <c r="D484" s="7" t="s">
        <v>2767</v>
      </c>
      <c r="E484" s="7"/>
      <c r="F484" s="7" t="s">
        <v>16</v>
      </c>
    </row>
    <row r="485" ht="22.5" customHeight="1">
      <c r="A485" s="7" t="s">
        <v>2217</v>
      </c>
      <c r="B485" s="8" t="s">
        <v>2759</v>
      </c>
      <c r="C485" s="7" t="s">
        <v>43</v>
      </c>
      <c r="D485" s="7" t="s">
        <v>2768</v>
      </c>
      <c r="E485" s="7"/>
      <c r="F485" s="7" t="s">
        <v>16</v>
      </c>
    </row>
    <row r="486" ht="22.5" customHeight="1">
      <c r="A486" s="7" t="s">
        <v>2217</v>
      </c>
      <c r="B486" s="8" t="s">
        <v>2759</v>
      </c>
      <c r="C486" s="7" t="s">
        <v>239</v>
      </c>
      <c r="D486" s="7" t="s">
        <v>2769</v>
      </c>
      <c r="E486" s="7"/>
      <c r="F486" s="7" t="s">
        <v>16</v>
      </c>
    </row>
    <row r="487" ht="22.5" customHeight="1">
      <c r="A487" s="7" t="s">
        <v>2217</v>
      </c>
      <c r="B487" s="8" t="s">
        <v>2759</v>
      </c>
      <c r="C487" s="7" t="s">
        <v>103</v>
      </c>
      <c r="D487" s="7" t="s">
        <v>2770</v>
      </c>
      <c r="E487" s="7"/>
      <c r="F487" s="7" t="s">
        <v>16</v>
      </c>
    </row>
    <row r="488" ht="22.5" customHeight="1">
      <c r="A488" s="7" t="s">
        <v>2301</v>
      </c>
      <c r="B488" s="8" t="s">
        <v>2771</v>
      </c>
      <c r="C488" s="7" t="s">
        <v>30</v>
      </c>
      <c r="D488" s="7" t="s">
        <v>2772</v>
      </c>
      <c r="E488" s="7" t="s">
        <v>48</v>
      </c>
      <c r="F488" s="7" t="s">
        <v>16</v>
      </c>
    </row>
    <row r="489" ht="22.5" customHeight="1">
      <c r="A489" s="7" t="s">
        <v>2301</v>
      </c>
      <c r="B489" s="8" t="s">
        <v>2771</v>
      </c>
      <c r="C489" s="7" t="s">
        <v>598</v>
      </c>
      <c r="D489" s="7" t="s">
        <v>2773</v>
      </c>
      <c r="E489" s="7" t="s">
        <v>48</v>
      </c>
      <c r="F489" s="7" t="s">
        <v>16</v>
      </c>
    </row>
    <row r="490" ht="22.5" customHeight="1">
      <c r="A490" s="7" t="s">
        <v>2301</v>
      </c>
      <c r="B490" s="8" t="s">
        <v>2771</v>
      </c>
      <c r="C490" s="7" t="s">
        <v>36</v>
      </c>
      <c r="D490" s="7" t="s">
        <v>2774</v>
      </c>
      <c r="E490" s="7" t="s">
        <v>48</v>
      </c>
      <c r="F490" s="7" t="s">
        <v>16</v>
      </c>
    </row>
    <row r="491" ht="22.5" customHeight="1">
      <c r="A491" s="7" t="s">
        <v>2301</v>
      </c>
      <c r="B491" s="8" t="s">
        <v>2771</v>
      </c>
      <c r="C491" s="7" t="s">
        <v>230</v>
      </c>
      <c r="D491" s="7" t="s">
        <v>2775</v>
      </c>
      <c r="E491" s="7" t="s">
        <v>48</v>
      </c>
      <c r="F491" s="7" t="s">
        <v>16</v>
      </c>
    </row>
    <row r="492" ht="22.5" customHeight="1">
      <c r="A492" s="7" t="s">
        <v>2301</v>
      </c>
      <c r="B492" s="8" t="s">
        <v>2771</v>
      </c>
      <c r="C492" s="7" t="s">
        <v>38</v>
      </c>
      <c r="D492" s="7" t="s">
        <v>2776</v>
      </c>
      <c r="E492" s="7" t="s">
        <v>48</v>
      </c>
      <c r="F492" s="7" t="s">
        <v>16</v>
      </c>
    </row>
    <row r="493" ht="22.5" customHeight="1">
      <c r="A493" s="7" t="s">
        <v>2301</v>
      </c>
      <c r="B493" s="8" t="s">
        <v>2771</v>
      </c>
      <c r="C493" s="7" t="s">
        <v>233</v>
      </c>
      <c r="D493" s="7" t="s">
        <v>2777</v>
      </c>
      <c r="E493" s="7" t="s">
        <v>48</v>
      </c>
      <c r="F493" s="7" t="s">
        <v>16</v>
      </c>
    </row>
    <row r="494" ht="22.5" customHeight="1">
      <c r="A494" s="7" t="s">
        <v>2301</v>
      </c>
      <c r="B494" s="8" t="s">
        <v>2771</v>
      </c>
      <c r="C494" s="7" t="s">
        <v>40</v>
      </c>
      <c r="D494" s="7" t="s">
        <v>2778</v>
      </c>
      <c r="E494" s="7" t="s">
        <v>48</v>
      </c>
      <c r="F494" s="7" t="s">
        <v>16</v>
      </c>
    </row>
    <row r="495" ht="22.5" customHeight="1">
      <c r="A495" s="7" t="s">
        <v>2301</v>
      </c>
      <c r="B495" s="8" t="s">
        <v>2771</v>
      </c>
      <c r="C495" s="7" t="s">
        <v>236</v>
      </c>
      <c r="D495" s="7" t="s">
        <v>2779</v>
      </c>
      <c r="E495" s="7" t="s">
        <v>48</v>
      </c>
      <c r="F495" s="7" t="s">
        <v>16</v>
      </c>
    </row>
    <row r="496" ht="22.5" customHeight="1">
      <c r="A496" s="7" t="s">
        <v>2301</v>
      </c>
      <c r="B496" s="8" t="s">
        <v>2771</v>
      </c>
      <c r="C496" s="7" t="s">
        <v>43</v>
      </c>
      <c r="D496" s="7" t="s">
        <v>2780</v>
      </c>
      <c r="E496" s="7" t="s">
        <v>48</v>
      </c>
      <c r="F496" s="7" t="s">
        <v>16</v>
      </c>
    </row>
    <row r="497" ht="22.5" customHeight="1">
      <c r="A497" s="7" t="s">
        <v>2301</v>
      </c>
      <c r="B497" s="8" t="s">
        <v>2771</v>
      </c>
      <c r="C497" s="7" t="s">
        <v>239</v>
      </c>
      <c r="D497" s="7" t="s">
        <v>2781</v>
      </c>
      <c r="E497" s="7" t="s">
        <v>48</v>
      </c>
      <c r="F497" s="7" t="s">
        <v>16</v>
      </c>
    </row>
    <row r="498" ht="22.5" customHeight="1">
      <c r="A498" s="7" t="s">
        <v>2301</v>
      </c>
      <c r="B498" s="8" t="s">
        <v>2771</v>
      </c>
      <c r="C498" s="7" t="s">
        <v>103</v>
      </c>
      <c r="D498" s="7" t="s">
        <v>2782</v>
      </c>
      <c r="E498" s="7" t="s">
        <v>48</v>
      </c>
      <c r="F498" s="7" t="s">
        <v>16</v>
      </c>
    </row>
    <row r="499" ht="22.5" customHeight="1">
      <c r="A499" s="7" t="s">
        <v>2217</v>
      </c>
      <c r="B499" s="8" t="s">
        <v>2783</v>
      </c>
      <c r="C499" s="7" t="s">
        <v>38</v>
      </c>
      <c r="D499" s="7" t="s">
        <v>2784</v>
      </c>
      <c r="E499" s="7" t="s">
        <v>48</v>
      </c>
      <c r="F499" s="7" t="s">
        <v>1917</v>
      </c>
    </row>
    <row r="500" ht="22.5" customHeight="1">
      <c r="A500" s="7" t="s">
        <v>2217</v>
      </c>
      <c r="B500" s="8" t="s">
        <v>2783</v>
      </c>
      <c r="C500" s="7" t="s">
        <v>233</v>
      </c>
      <c r="D500" s="7" t="s">
        <v>2785</v>
      </c>
      <c r="E500" s="7" t="s">
        <v>48</v>
      </c>
      <c r="F500" s="7" t="s">
        <v>1917</v>
      </c>
    </row>
    <row r="501" ht="22.5" customHeight="1">
      <c r="A501" s="7" t="s">
        <v>2217</v>
      </c>
      <c r="B501" s="8" t="s">
        <v>2783</v>
      </c>
      <c r="C501" s="7" t="s">
        <v>40</v>
      </c>
      <c r="D501" s="7" t="s">
        <v>2786</v>
      </c>
      <c r="E501" s="7" t="s">
        <v>48</v>
      </c>
      <c r="F501" s="7" t="s">
        <v>1917</v>
      </c>
    </row>
    <row r="502" ht="22.5" customHeight="1">
      <c r="A502" s="7" t="s">
        <v>2217</v>
      </c>
      <c r="B502" s="8" t="s">
        <v>2783</v>
      </c>
      <c r="C502" s="7" t="s">
        <v>236</v>
      </c>
      <c r="D502" s="7" t="s">
        <v>2787</v>
      </c>
      <c r="E502" s="7" t="s">
        <v>48</v>
      </c>
      <c r="F502" s="7" t="s">
        <v>1917</v>
      </c>
    </row>
    <row r="503" ht="22.5" customHeight="1">
      <c r="A503" s="7" t="s">
        <v>2217</v>
      </c>
      <c r="B503" s="8" t="s">
        <v>2783</v>
      </c>
      <c r="C503" s="7" t="s">
        <v>43</v>
      </c>
      <c r="D503" s="7" t="s">
        <v>2788</v>
      </c>
      <c r="E503" s="7" t="s">
        <v>48</v>
      </c>
      <c r="F503" s="7" t="s">
        <v>1917</v>
      </c>
    </row>
    <row r="504" ht="22.5" customHeight="1">
      <c r="A504" s="7" t="s">
        <v>2217</v>
      </c>
      <c r="B504" s="8" t="s">
        <v>2783</v>
      </c>
      <c r="C504" s="7" t="s">
        <v>239</v>
      </c>
      <c r="D504" s="7" t="s">
        <v>2789</v>
      </c>
      <c r="E504" s="7" t="s">
        <v>48</v>
      </c>
      <c r="F504" s="7" t="s">
        <v>1917</v>
      </c>
    </row>
    <row r="505" ht="22.5" customHeight="1">
      <c r="A505" s="7" t="s">
        <v>2217</v>
      </c>
      <c r="B505" s="8" t="s">
        <v>2783</v>
      </c>
      <c r="C505" s="7" t="s">
        <v>103</v>
      </c>
      <c r="D505" s="7" t="s">
        <v>2790</v>
      </c>
      <c r="E505" s="7" t="s">
        <v>48</v>
      </c>
      <c r="F505" s="7" t="s">
        <v>1917</v>
      </c>
    </row>
    <row r="506" ht="22.5" customHeight="1">
      <c r="A506" s="7" t="s">
        <v>2725</v>
      </c>
      <c r="B506" s="8" t="s">
        <v>2791</v>
      </c>
      <c r="C506" s="7" t="s">
        <v>30</v>
      </c>
      <c r="D506" s="7" t="s">
        <v>2792</v>
      </c>
      <c r="E506" s="7"/>
      <c r="F506" s="7" t="s">
        <v>16</v>
      </c>
    </row>
    <row r="507" ht="22.5" customHeight="1">
      <c r="A507" s="7" t="s">
        <v>2725</v>
      </c>
      <c r="B507" s="8" t="s">
        <v>2791</v>
      </c>
      <c r="C507" s="7" t="s">
        <v>598</v>
      </c>
      <c r="D507" s="7" t="s">
        <v>2793</v>
      </c>
      <c r="E507" s="7"/>
      <c r="F507" s="7" t="s">
        <v>16</v>
      </c>
    </row>
    <row r="508" ht="22.5" customHeight="1">
      <c r="A508" s="7" t="s">
        <v>2725</v>
      </c>
      <c r="B508" s="8" t="s">
        <v>2791</v>
      </c>
      <c r="C508" s="7" t="s">
        <v>36</v>
      </c>
      <c r="D508" s="7" t="s">
        <v>2794</v>
      </c>
      <c r="E508" s="7"/>
      <c r="F508" s="7" t="s">
        <v>16</v>
      </c>
    </row>
    <row r="509" ht="22.5" customHeight="1">
      <c r="A509" s="7" t="s">
        <v>2725</v>
      </c>
      <c r="B509" s="8" t="s">
        <v>2791</v>
      </c>
      <c r="C509" s="7" t="s">
        <v>230</v>
      </c>
      <c r="D509" s="7" t="s">
        <v>2795</v>
      </c>
      <c r="E509" s="7"/>
      <c r="F509" s="7" t="s">
        <v>16</v>
      </c>
    </row>
    <row r="510" ht="22.5" customHeight="1">
      <c r="A510" s="7" t="s">
        <v>2725</v>
      </c>
      <c r="B510" s="8" t="s">
        <v>2791</v>
      </c>
      <c r="C510" s="7" t="s">
        <v>38</v>
      </c>
      <c r="D510" s="7" t="s">
        <v>2796</v>
      </c>
      <c r="E510" s="7"/>
      <c r="F510" s="7" t="s">
        <v>16</v>
      </c>
    </row>
    <row r="511" ht="22.5" customHeight="1">
      <c r="A511" s="7" t="s">
        <v>2725</v>
      </c>
      <c r="B511" s="8" t="s">
        <v>2791</v>
      </c>
      <c r="C511" s="7" t="s">
        <v>233</v>
      </c>
      <c r="D511" s="7" t="s">
        <v>2797</v>
      </c>
      <c r="E511" s="7"/>
      <c r="F511" s="7" t="s">
        <v>16</v>
      </c>
    </row>
    <row r="512" ht="22.5" customHeight="1">
      <c r="A512" s="7" t="s">
        <v>2725</v>
      </c>
      <c r="B512" s="8" t="s">
        <v>2791</v>
      </c>
      <c r="C512" s="7" t="s">
        <v>40</v>
      </c>
      <c r="D512" s="7" t="s">
        <v>2798</v>
      </c>
      <c r="E512" s="7"/>
      <c r="F512" s="7" t="s">
        <v>16</v>
      </c>
    </row>
    <row r="513" ht="22.5" customHeight="1">
      <c r="A513" s="7" t="s">
        <v>2725</v>
      </c>
      <c r="B513" s="8" t="s">
        <v>2791</v>
      </c>
      <c r="C513" s="7" t="s">
        <v>236</v>
      </c>
      <c r="D513" s="7" t="s">
        <v>2799</v>
      </c>
      <c r="E513" s="7"/>
      <c r="F513" s="7" t="s">
        <v>16</v>
      </c>
    </row>
    <row r="514" ht="22.5" customHeight="1">
      <c r="A514" s="7" t="s">
        <v>2725</v>
      </c>
      <c r="B514" s="8" t="s">
        <v>2791</v>
      </c>
      <c r="C514" s="7" t="s">
        <v>43</v>
      </c>
      <c r="D514" s="7" t="s">
        <v>2800</v>
      </c>
      <c r="E514" s="7"/>
      <c r="F514" s="7" t="s">
        <v>16</v>
      </c>
    </row>
    <row r="515" ht="22.5" customHeight="1">
      <c r="A515" s="7" t="s">
        <v>2725</v>
      </c>
      <c r="B515" s="8" t="s">
        <v>2791</v>
      </c>
      <c r="C515" s="7" t="s">
        <v>239</v>
      </c>
      <c r="D515" s="7" t="s">
        <v>2801</v>
      </c>
      <c r="E515" s="7"/>
      <c r="F515" s="7" t="s">
        <v>16</v>
      </c>
    </row>
    <row r="516" ht="22.5" customHeight="1">
      <c r="A516" s="7" t="s">
        <v>2725</v>
      </c>
      <c r="B516" s="8" t="s">
        <v>2791</v>
      </c>
      <c r="C516" s="7" t="s">
        <v>103</v>
      </c>
      <c r="D516" s="7" t="s">
        <v>2802</v>
      </c>
      <c r="E516" s="7"/>
      <c r="F516" s="7" t="s">
        <v>16</v>
      </c>
    </row>
    <row r="517" ht="22.5" customHeight="1">
      <c r="A517" s="7" t="s">
        <v>2230</v>
      </c>
      <c r="B517" s="8" t="s">
        <v>2803</v>
      </c>
      <c r="C517" s="7" t="s">
        <v>30</v>
      </c>
      <c r="D517" s="7" t="s">
        <v>2804</v>
      </c>
      <c r="E517" s="7"/>
      <c r="F517" s="7" t="s">
        <v>16</v>
      </c>
    </row>
    <row r="518" ht="22.5" customHeight="1">
      <c r="A518" s="7" t="s">
        <v>2230</v>
      </c>
      <c r="B518" s="8" t="s">
        <v>2803</v>
      </c>
      <c r="C518" s="7" t="s">
        <v>36</v>
      </c>
      <c r="D518" s="7" t="s">
        <v>2805</v>
      </c>
      <c r="E518" s="7"/>
      <c r="F518" s="7" t="s">
        <v>16</v>
      </c>
    </row>
    <row r="519" ht="22.5" customHeight="1">
      <c r="A519" s="7" t="s">
        <v>2230</v>
      </c>
      <c r="B519" s="8" t="s">
        <v>2803</v>
      </c>
      <c r="C519" s="7" t="s">
        <v>230</v>
      </c>
      <c r="D519" s="7" t="s">
        <v>2806</v>
      </c>
      <c r="E519" s="7"/>
      <c r="F519" s="7" t="s">
        <v>16</v>
      </c>
    </row>
    <row r="520" ht="22.5" customHeight="1">
      <c r="A520" s="7" t="s">
        <v>2230</v>
      </c>
      <c r="B520" s="8" t="s">
        <v>2803</v>
      </c>
      <c r="C520" s="7" t="s">
        <v>38</v>
      </c>
      <c r="D520" s="7" t="s">
        <v>2807</v>
      </c>
      <c r="E520" s="7"/>
      <c r="F520" s="7" t="s">
        <v>16</v>
      </c>
    </row>
    <row r="521" ht="22.5" customHeight="1">
      <c r="A521" s="7" t="s">
        <v>2230</v>
      </c>
      <c r="B521" s="8" t="s">
        <v>2803</v>
      </c>
      <c r="C521" s="7" t="s">
        <v>233</v>
      </c>
      <c r="D521" s="7" t="s">
        <v>2808</v>
      </c>
      <c r="E521" s="7"/>
      <c r="F521" s="7" t="s">
        <v>16</v>
      </c>
    </row>
    <row r="522" ht="22.5" customHeight="1">
      <c r="A522" s="7" t="s">
        <v>2230</v>
      </c>
      <c r="B522" s="8" t="s">
        <v>2803</v>
      </c>
      <c r="C522" s="7" t="s">
        <v>40</v>
      </c>
      <c r="D522" s="7" t="s">
        <v>2809</v>
      </c>
      <c r="E522" s="7"/>
      <c r="F522" s="7" t="s">
        <v>16</v>
      </c>
    </row>
    <row r="523" ht="22.5" customHeight="1">
      <c r="A523" s="7" t="s">
        <v>2230</v>
      </c>
      <c r="B523" s="8" t="s">
        <v>2803</v>
      </c>
      <c r="C523" s="7" t="s">
        <v>236</v>
      </c>
      <c r="D523" s="7" t="s">
        <v>2810</v>
      </c>
      <c r="E523" s="7"/>
      <c r="F523" s="7" t="s">
        <v>16</v>
      </c>
    </row>
    <row r="524" ht="22.5" customHeight="1">
      <c r="A524" s="7" t="s">
        <v>2230</v>
      </c>
      <c r="B524" s="8" t="s">
        <v>2803</v>
      </c>
      <c r="C524" s="7" t="s">
        <v>43</v>
      </c>
      <c r="D524" s="7" t="s">
        <v>2811</v>
      </c>
      <c r="E524" s="7"/>
      <c r="F524" s="7" t="s">
        <v>16</v>
      </c>
    </row>
    <row r="525" ht="22.5" customHeight="1">
      <c r="A525" s="7" t="s">
        <v>2230</v>
      </c>
      <c r="B525" s="8" t="s">
        <v>2803</v>
      </c>
      <c r="C525" s="7" t="s">
        <v>239</v>
      </c>
      <c r="D525" s="7" t="s">
        <v>2812</v>
      </c>
      <c r="E525" s="7"/>
      <c r="F525" s="7" t="s">
        <v>16</v>
      </c>
    </row>
    <row r="526" ht="22.5" customHeight="1">
      <c r="A526" s="7" t="s">
        <v>2230</v>
      </c>
      <c r="B526" s="8" t="s">
        <v>2803</v>
      </c>
      <c r="C526" s="7" t="s">
        <v>103</v>
      </c>
      <c r="D526" s="7" t="s">
        <v>2813</v>
      </c>
      <c r="E526" s="7"/>
      <c r="F526" s="7" t="s">
        <v>16</v>
      </c>
    </row>
    <row r="527" ht="22.5" customHeight="1">
      <c r="A527" s="7" t="s">
        <v>2284</v>
      </c>
      <c r="B527" s="8" t="s">
        <v>2814</v>
      </c>
      <c r="C527" s="7" t="s">
        <v>30</v>
      </c>
      <c r="D527" s="7" t="s">
        <v>2815</v>
      </c>
      <c r="E527" s="7"/>
      <c r="F527" s="7" t="s">
        <v>16</v>
      </c>
    </row>
    <row r="528" ht="22.5" customHeight="1">
      <c r="A528" s="7" t="s">
        <v>2284</v>
      </c>
      <c r="B528" s="8" t="s">
        <v>2814</v>
      </c>
      <c r="C528" s="7" t="s">
        <v>598</v>
      </c>
      <c r="D528" s="7" t="s">
        <v>2816</v>
      </c>
      <c r="E528" s="7"/>
      <c r="F528" s="7" t="s">
        <v>16</v>
      </c>
    </row>
    <row r="529" ht="22.5" customHeight="1">
      <c r="A529" s="7" t="s">
        <v>2284</v>
      </c>
      <c r="B529" s="8" t="s">
        <v>2814</v>
      </c>
      <c r="C529" s="7" t="s">
        <v>36</v>
      </c>
      <c r="D529" s="7" t="s">
        <v>2817</v>
      </c>
      <c r="E529" s="7"/>
      <c r="F529" s="7" t="s">
        <v>16</v>
      </c>
    </row>
    <row r="530" ht="22.5" customHeight="1">
      <c r="A530" s="7" t="s">
        <v>2284</v>
      </c>
      <c r="B530" s="8" t="s">
        <v>2814</v>
      </c>
      <c r="C530" s="7" t="s">
        <v>38</v>
      </c>
      <c r="D530" s="7" t="s">
        <v>2818</v>
      </c>
      <c r="E530" s="7"/>
      <c r="F530" s="7" t="s">
        <v>16</v>
      </c>
    </row>
    <row r="531" ht="22.5" customHeight="1">
      <c r="A531" s="7" t="s">
        <v>2284</v>
      </c>
      <c r="B531" s="8" t="s">
        <v>2814</v>
      </c>
      <c r="C531" s="7" t="s">
        <v>233</v>
      </c>
      <c r="D531" s="7" t="s">
        <v>2819</v>
      </c>
      <c r="E531" s="7"/>
      <c r="F531" s="7" t="s">
        <v>16</v>
      </c>
    </row>
    <row r="532" ht="22.5" customHeight="1">
      <c r="A532" s="7" t="s">
        <v>2284</v>
      </c>
      <c r="B532" s="8" t="s">
        <v>2814</v>
      </c>
      <c r="C532" s="7" t="s">
        <v>40</v>
      </c>
      <c r="D532" s="7" t="s">
        <v>2820</v>
      </c>
      <c r="E532" s="7"/>
      <c r="F532" s="7" t="s">
        <v>16</v>
      </c>
    </row>
    <row r="533" ht="22.5" customHeight="1">
      <c r="A533" s="7" t="s">
        <v>2284</v>
      </c>
      <c r="B533" s="8" t="s">
        <v>2814</v>
      </c>
      <c r="C533" s="7" t="s">
        <v>236</v>
      </c>
      <c r="D533" s="7" t="s">
        <v>2821</v>
      </c>
      <c r="E533" s="7"/>
      <c r="F533" s="7" t="s">
        <v>16</v>
      </c>
    </row>
    <row r="534" ht="22.5" customHeight="1">
      <c r="A534" s="7" t="s">
        <v>2284</v>
      </c>
      <c r="B534" s="8" t="s">
        <v>2814</v>
      </c>
      <c r="C534" s="7" t="s">
        <v>43</v>
      </c>
      <c r="D534" s="7" t="s">
        <v>2822</v>
      </c>
      <c r="E534" s="7"/>
      <c r="F534" s="7" t="s">
        <v>16</v>
      </c>
    </row>
    <row r="535" ht="22.5" customHeight="1">
      <c r="A535" s="7" t="s">
        <v>2284</v>
      </c>
      <c r="B535" s="8" t="s">
        <v>2814</v>
      </c>
      <c r="C535" s="7" t="s">
        <v>239</v>
      </c>
      <c r="D535" s="7" t="s">
        <v>2823</v>
      </c>
      <c r="E535" s="7"/>
      <c r="F535" s="7" t="s">
        <v>16</v>
      </c>
    </row>
    <row r="536" ht="22.5" customHeight="1">
      <c r="A536" s="7" t="s">
        <v>2284</v>
      </c>
      <c r="B536" s="8" t="s">
        <v>2814</v>
      </c>
      <c r="C536" s="7" t="s">
        <v>103</v>
      </c>
      <c r="D536" s="7" t="s">
        <v>2824</v>
      </c>
      <c r="E536" s="7"/>
      <c r="F536" s="7" t="s">
        <v>16</v>
      </c>
    </row>
    <row r="537" ht="22.5" customHeight="1">
      <c r="A537" s="7" t="s">
        <v>2380</v>
      </c>
      <c r="B537" s="8" t="s">
        <v>2825</v>
      </c>
      <c r="C537" s="7" t="s">
        <v>30</v>
      </c>
      <c r="D537" s="7" t="s">
        <v>2826</v>
      </c>
      <c r="E537" s="7"/>
      <c r="F537" s="7" t="s">
        <v>16</v>
      </c>
    </row>
    <row r="538" ht="22.5" customHeight="1">
      <c r="A538" s="7" t="s">
        <v>2380</v>
      </c>
      <c r="B538" s="8" t="s">
        <v>2825</v>
      </c>
      <c r="C538" s="7" t="s">
        <v>30</v>
      </c>
      <c r="D538" s="7" t="s">
        <v>2827</v>
      </c>
      <c r="E538" s="7"/>
      <c r="F538" s="7" t="s">
        <v>16</v>
      </c>
    </row>
    <row r="539" ht="22.5" customHeight="1">
      <c r="A539" s="7" t="s">
        <v>2380</v>
      </c>
      <c r="B539" s="8" t="s">
        <v>2825</v>
      </c>
      <c r="C539" s="7" t="s">
        <v>598</v>
      </c>
      <c r="D539" s="7" t="s">
        <v>2828</v>
      </c>
      <c r="E539" s="7"/>
      <c r="F539" s="7" t="s">
        <v>16</v>
      </c>
    </row>
    <row r="540" ht="22.5" customHeight="1">
      <c r="A540" s="7" t="s">
        <v>2380</v>
      </c>
      <c r="B540" s="8" t="s">
        <v>2825</v>
      </c>
      <c r="C540" s="7" t="s">
        <v>598</v>
      </c>
      <c r="D540" s="7" t="s">
        <v>2829</v>
      </c>
      <c r="E540" s="7"/>
      <c r="F540" s="7" t="s">
        <v>16</v>
      </c>
    </row>
    <row r="541" ht="22.5" customHeight="1">
      <c r="A541" s="7" t="s">
        <v>2380</v>
      </c>
      <c r="B541" s="8" t="s">
        <v>2825</v>
      </c>
      <c r="C541" s="7" t="s">
        <v>36</v>
      </c>
      <c r="D541" s="7" t="s">
        <v>2830</v>
      </c>
      <c r="E541" s="7"/>
      <c r="F541" s="7" t="s">
        <v>16</v>
      </c>
    </row>
    <row r="542" ht="22.5" customHeight="1">
      <c r="A542" s="7" t="s">
        <v>2380</v>
      </c>
      <c r="B542" s="8" t="s">
        <v>2825</v>
      </c>
      <c r="C542" s="7" t="s">
        <v>36</v>
      </c>
      <c r="D542" s="7" t="s">
        <v>2831</v>
      </c>
      <c r="E542" s="7"/>
      <c r="F542" s="7" t="s">
        <v>16</v>
      </c>
    </row>
    <row r="543" ht="22.5" customHeight="1">
      <c r="A543" s="7" t="s">
        <v>2380</v>
      </c>
      <c r="B543" s="8" t="s">
        <v>2825</v>
      </c>
      <c r="C543" s="7" t="s">
        <v>230</v>
      </c>
      <c r="D543" s="7" t="s">
        <v>2832</v>
      </c>
      <c r="E543" s="7"/>
      <c r="F543" s="7" t="s">
        <v>16</v>
      </c>
    </row>
    <row r="544" ht="22.5" customHeight="1">
      <c r="A544" s="7" t="s">
        <v>2380</v>
      </c>
      <c r="B544" s="8" t="s">
        <v>2825</v>
      </c>
      <c r="C544" s="7" t="s">
        <v>230</v>
      </c>
      <c r="D544" s="7" t="s">
        <v>2833</v>
      </c>
      <c r="E544" s="7"/>
      <c r="F544" s="7" t="s">
        <v>16</v>
      </c>
    </row>
    <row r="545" ht="22.5" customHeight="1">
      <c r="A545" s="7" t="s">
        <v>2380</v>
      </c>
      <c r="B545" s="8" t="s">
        <v>2825</v>
      </c>
      <c r="C545" s="7" t="s">
        <v>38</v>
      </c>
      <c r="D545" s="7" t="s">
        <v>2834</v>
      </c>
      <c r="E545" s="7"/>
      <c r="F545" s="7" t="s">
        <v>16</v>
      </c>
    </row>
    <row r="546" ht="22.5" customHeight="1">
      <c r="A546" s="7" t="s">
        <v>2380</v>
      </c>
      <c r="B546" s="8" t="s">
        <v>2825</v>
      </c>
      <c r="C546" s="7" t="s">
        <v>38</v>
      </c>
      <c r="D546" s="7" t="s">
        <v>2835</v>
      </c>
      <c r="E546" s="7"/>
      <c r="F546" s="7" t="s">
        <v>16</v>
      </c>
    </row>
    <row r="547" ht="22.5" customHeight="1">
      <c r="A547" s="7" t="s">
        <v>2380</v>
      </c>
      <c r="B547" s="8" t="s">
        <v>2825</v>
      </c>
      <c r="C547" s="7" t="s">
        <v>233</v>
      </c>
      <c r="D547" s="7" t="s">
        <v>2836</v>
      </c>
      <c r="E547" s="7"/>
      <c r="F547" s="7" t="s">
        <v>16</v>
      </c>
    </row>
    <row r="548" ht="22.5" customHeight="1">
      <c r="A548" s="7" t="s">
        <v>2380</v>
      </c>
      <c r="B548" s="8" t="s">
        <v>2825</v>
      </c>
      <c r="C548" s="7" t="s">
        <v>233</v>
      </c>
      <c r="D548" s="7" t="s">
        <v>2837</v>
      </c>
      <c r="E548" s="7"/>
      <c r="F548" s="7" t="s">
        <v>16</v>
      </c>
    </row>
    <row r="549" ht="22.5" customHeight="1">
      <c r="A549" s="7" t="s">
        <v>2380</v>
      </c>
      <c r="B549" s="8" t="s">
        <v>2825</v>
      </c>
      <c r="C549" s="7" t="s">
        <v>40</v>
      </c>
      <c r="D549" s="7" t="s">
        <v>2838</v>
      </c>
      <c r="E549" s="7"/>
      <c r="F549" s="7" t="s">
        <v>16</v>
      </c>
    </row>
    <row r="550" ht="22.5" customHeight="1">
      <c r="A550" s="7" t="s">
        <v>2380</v>
      </c>
      <c r="B550" s="8" t="s">
        <v>2825</v>
      </c>
      <c r="C550" s="7" t="s">
        <v>40</v>
      </c>
      <c r="D550" s="7" t="s">
        <v>2839</v>
      </c>
      <c r="E550" s="7"/>
      <c r="F550" s="7" t="s">
        <v>16</v>
      </c>
    </row>
    <row r="551" ht="22.5" customHeight="1">
      <c r="A551" s="7" t="s">
        <v>2380</v>
      </c>
      <c r="B551" s="8" t="s">
        <v>2825</v>
      </c>
      <c r="C551" s="7" t="s">
        <v>236</v>
      </c>
      <c r="D551" s="7" t="s">
        <v>2840</v>
      </c>
      <c r="E551" s="7"/>
      <c r="F551" s="7" t="s">
        <v>16</v>
      </c>
    </row>
    <row r="552" ht="22.5" customHeight="1">
      <c r="A552" s="7" t="s">
        <v>2380</v>
      </c>
      <c r="B552" s="8" t="s">
        <v>2825</v>
      </c>
      <c r="C552" s="7" t="s">
        <v>236</v>
      </c>
      <c r="D552" s="7" t="s">
        <v>2841</v>
      </c>
      <c r="E552" s="7"/>
      <c r="F552" s="7" t="s">
        <v>16</v>
      </c>
    </row>
    <row r="553" ht="22.5" customHeight="1">
      <c r="A553" s="7" t="s">
        <v>2380</v>
      </c>
      <c r="B553" s="8" t="s">
        <v>2825</v>
      </c>
      <c r="C553" s="7" t="s">
        <v>43</v>
      </c>
      <c r="D553" s="7" t="s">
        <v>2842</v>
      </c>
      <c r="E553" s="7"/>
      <c r="F553" s="7" t="s">
        <v>16</v>
      </c>
    </row>
    <row r="554" ht="22.5" customHeight="1">
      <c r="A554" s="7" t="s">
        <v>2380</v>
      </c>
      <c r="B554" s="8" t="s">
        <v>2825</v>
      </c>
      <c r="C554" s="7" t="s">
        <v>43</v>
      </c>
      <c r="D554" s="7" t="s">
        <v>2843</v>
      </c>
      <c r="E554" s="7"/>
      <c r="F554" s="7" t="s">
        <v>16</v>
      </c>
    </row>
    <row r="555" ht="22.5" customHeight="1">
      <c r="A555" s="7" t="s">
        <v>2380</v>
      </c>
      <c r="B555" s="8" t="s">
        <v>2825</v>
      </c>
      <c r="C555" s="7" t="s">
        <v>239</v>
      </c>
      <c r="D555" s="7" t="s">
        <v>2844</v>
      </c>
      <c r="E555" s="7"/>
      <c r="F555" s="7" t="s">
        <v>16</v>
      </c>
    </row>
    <row r="556" ht="22.5" customHeight="1">
      <c r="A556" s="7" t="s">
        <v>2380</v>
      </c>
      <c r="B556" s="8" t="s">
        <v>2825</v>
      </c>
      <c r="C556" s="7" t="s">
        <v>239</v>
      </c>
      <c r="D556" s="7" t="s">
        <v>2845</v>
      </c>
      <c r="E556" s="7"/>
      <c r="F556" s="7" t="s">
        <v>16</v>
      </c>
    </row>
    <row r="557" ht="22.5" customHeight="1">
      <c r="A557" s="7" t="s">
        <v>2380</v>
      </c>
      <c r="B557" s="8" t="s">
        <v>2825</v>
      </c>
      <c r="C557" s="7" t="s">
        <v>103</v>
      </c>
      <c r="D557" s="7" t="s">
        <v>2846</v>
      </c>
      <c r="E557" s="7"/>
      <c r="F557" s="7" t="s">
        <v>16</v>
      </c>
    </row>
    <row r="558" ht="22.5" customHeight="1">
      <c r="A558" s="7" t="s">
        <v>2380</v>
      </c>
      <c r="B558" s="8" t="s">
        <v>2825</v>
      </c>
      <c r="C558" s="7" t="s">
        <v>103</v>
      </c>
      <c r="D558" s="7" t="s">
        <v>2847</v>
      </c>
      <c r="E558" s="7"/>
      <c r="F558" s="7" t="s">
        <v>16</v>
      </c>
    </row>
    <row r="559" ht="22.5" customHeight="1">
      <c r="A559" s="7" t="s">
        <v>2327</v>
      </c>
      <c r="B559" s="8" t="s">
        <v>2848</v>
      </c>
      <c r="C559" s="7" t="s">
        <v>30</v>
      </c>
      <c r="D559" s="7" t="s">
        <v>2849</v>
      </c>
      <c r="E559" s="7"/>
      <c r="F559" s="7" t="s">
        <v>16</v>
      </c>
    </row>
    <row r="560" ht="22.5" customHeight="1">
      <c r="A560" s="7" t="s">
        <v>2327</v>
      </c>
      <c r="B560" s="8" t="s">
        <v>2848</v>
      </c>
      <c r="C560" s="7" t="s">
        <v>30</v>
      </c>
      <c r="D560" s="7" t="s">
        <v>2850</v>
      </c>
      <c r="E560" s="7"/>
      <c r="F560" s="7" t="s">
        <v>16</v>
      </c>
    </row>
    <row r="561" ht="22.5" customHeight="1">
      <c r="A561" s="7" t="s">
        <v>2327</v>
      </c>
      <c r="B561" s="8" t="s">
        <v>2848</v>
      </c>
      <c r="C561" s="7" t="s">
        <v>598</v>
      </c>
      <c r="D561" s="7" t="s">
        <v>2851</v>
      </c>
      <c r="E561" s="7"/>
      <c r="F561" s="7" t="s">
        <v>16</v>
      </c>
    </row>
    <row r="562" ht="22.5" customHeight="1">
      <c r="A562" s="7" t="s">
        <v>2327</v>
      </c>
      <c r="B562" s="8" t="s">
        <v>2848</v>
      </c>
      <c r="C562" s="7" t="s">
        <v>36</v>
      </c>
      <c r="D562" s="7" t="s">
        <v>2852</v>
      </c>
      <c r="E562" s="7"/>
      <c r="F562" s="7" t="s">
        <v>16</v>
      </c>
    </row>
    <row r="563" ht="22.5" customHeight="1">
      <c r="A563" s="7" t="s">
        <v>2327</v>
      </c>
      <c r="B563" s="8" t="s">
        <v>2848</v>
      </c>
      <c r="C563" s="7" t="s">
        <v>230</v>
      </c>
      <c r="D563" s="7" t="s">
        <v>2853</v>
      </c>
      <c r="E563" s="7"/>
      <c r="F563" s="7" t="s">
        <v>16</v>
      </c>
    </row>
    <row r="564" ht="22.5" customHeight="1">
      <c r="A564" s="7" t="s">
        <v>2327</v>
      </c>
      <c r="B564" s="8" t="s">
        <v>2848</v>
      </c>
      <c r="C564" s="7" t="s">
        <v>38</v>
      </c>
      <c r="D564" s="7" t="s">
        <v>2854</v>
      </c>
      <c r="E564" s="7"/>
      <c r="F564" s="7" t="s">
        <v>16</v>
      </c>
    </row>
    <row r="565" ht="22.5" customHeight="1">
      <c r="A565" s="7" t="s">
        <v>2327</v>
      </c>
      <c r="B565" s="8" t="s">
        <v>2848</v>
      </c>
      <c r="C565" s="7" t="s">
        <v>233</v>
      </c>
      <c r="D565" s="7" t="s">
        <v>2855</v>
      </c>
      <c r="E565" s="7"/>
      <c r="F565" s="7" t="s">
        <v>16</v>
      </c>
    </row>
    <row r="566" ht="22.5" customHeight="1">
      <c r="A566" s="7" t="s">
        <v>2327</v>
      </c>
      <c r="B566" s="8" t="s">
        <v>2848</v>
      </c>
      <c r="C566" s="7" t="s">
        <v>40</v>
      </c>
      <c r="D566" s="7" t="s">
        <v>2856</v>
      </c>
      <c r="E566" s="7"/>
      <c r="F566" s="7" t="s">
        <v>16</v>
      </c>
    </row>
    <row r="567" ht="22.5" customHeight="1">
      <c r="A567" s="7" t="s">
        <v>2327</v>
      </c>
      <c r="B567" s="8" t="s">
        <v>2848</v>
      </c>
      <c r="C567" s="7" t="s">
        <v>236</v>
      </c>
      <c r="D567" s="7" t="s">
        <v>2857</v>
      </c>
      <c r="E567" s="7"/>
      <c r="F567" s="7" t="s">
        <v>16</v>
      </c>
    </row>
    <row r="568" ht="22.5" customHeight="1">
      <c r="A568" s="7" t="s">
        <v>2327</v>
      </c>
      <c r="B568" s="8" t="s">
        <v>2848</v>
      </c>
      <c r="C568" s="7" t="s">
        <v>43</v>
      </c>
      <c r="D568" s="7" t="s">
        <v>2858</v>
      </c>
      <c r="E568" s="7"/>
      <c r="F568" s="7" t="s">
        <v>16</v>
      </c>
    </row>
    <row r="569" ht="22.5" customHeight="1">
      <c r="A569" s="7" t="s">
        <v>2327</v>
      </c>
      <c r="B569" s="8" t="s">
        <v>2848</v>
      </c>
      <c r="C569" s="7" t="s">
        <v>239</v>
      </c>
      <c r="D569" s="7" t="s">
        <v>2859</v>
      </c>
      <c r="E569" s="7"/>
      <c r="F569" s="7" t="s">
        <v>16</v>
      </c>
    </row>
    <row r="570" ht="22.5" customHeight="1">
      <c r="A570" s="7" t="s">
        <v>2327</v>
      </c>
      <c r="B570" s="8" t="s">
        <v>2848</v>
      </c>
      <c r="C570" s="7" t="s">
        <v>103</v>
      </c>
      <c r="D570" s="7" t="s">
        <v>2860</v>
      </c>
      <c r="E570" s="7" t="s">
        <v>16</v>
      </c>
      <c r="F570" s="7" t="s">
        <v>16</v>
      </c>
    </row>
    <row r="571" ht="22.5" customHeight="1">
      <c r="A571" s="7" t="s">
        <v>2327</v>
      </c>
      <c r="B571" s="8" t="s">
        <v>2861</v>
      </c>
      <c r="C571" s="7" t="s">
        <v>30</v>
      </c>
      <c r="D571" s="7" t="s">
        <v>2862</v>
      </c>
      <c r="E571" s="7" t="s">
        <v>48</v>
      </c>
      <c r="F571" s="7" t="s">
        <v>1917</v>
      </c>
    </row>
    <row r="572" ht="22.5" customHeight="1">
      <c r="A572" s="7" t="s">
        <v>2327</v>
      </c>
      <c r="B572" s="8" t="s">
        <v>2861</v>
      </c>
      <c r="C572" s="7" t="s">
        <v>40</v>
      </c>
      <c r="D572" s="7" t="s">
        <v>2863</v>
      </c>
      <c r="E572" s="7" t="s">
        <v>48</v>
      </c>
      <c r="F572" s="7" t="s">
        <v>1917</v>
      </c>
    </row>
    <row r="573" ht="22.5" customHeight="1">
      <c r="A573" s="7" t="s">
        <v>2327</v>
      </c>
      <c r="B573" s="8" t="s">
        <v>2861</v>
      </c>
      <c r="C573" s="7" t="s">
        <v>236</v>
      </c>
      <c r="D573" s="7" t="s">
        <v>2864</v>
      </c>
      <c r="E573" s="7" t="s">
        <v>48</v>
      </c>
      <c r="F573" s="7" t="s">
        <v>1917</v>
      </c>
    </row>
    <row r="574" ht="22.5" customHeight="1">
      <c r="A574" s="7" t="s">
        <v>2327</v>
      </c>
      <c r="B574" s="8" t="s">
        <v>2861</v>
      </c>
      <c r="C574" s="7" t="s">
        <v>43</v>
      </c>
      <c r="D574" s="7" t="s">
        <v>2865</v>
      </c>
      <c r="E574" s="7" t="s">
        <v>48</v>
      </c>
      <c r="F574" s="7" t="s">
        <v>1917</v>
      </c>
    </row>
    <row r="575" ht="22.5" customHeight="1">
      <c r="A575" s="7" t="s">
        <v>2327</v>
      </c>
      <c r="B575" s="8" t="s">
        <v>2861</v>
      </c>
      <c r="C575" s="7" t="s">
        <v>239</v>
      </c>
      <c r="D575" s="7" t="s">
        <v>2866</v>
      </c>
      <c r="E575" s="7" t="s">
        <v>48</v>
      </c>
      <c r="F575" s="7" t="s">
        <v>1917</v>
      </c>
    </row>
    <row r="576" ht="22.5" customHeight="1">
      <c r="A576" s="7" t="s">
        <v>2327</v>
      </c>
      <c r="B576" s="8" t="s">
        <v>2861</v>
      </c>
      <c r="C576" s="7" t="s">
        <v>103</v>
      </c>
      <c r="D576" s="7" t="s">
        <v>2867</v>
      </c>
      <c r="E576" s="7" t="s">
        <v>48</v>
      </c>
      <c r="F576" s="7" t="s">
        <v>1917</v>
      </c>
    </row>
    <row r="577" ht="22.5" customHeight="1">
      <c r="A577" s="7" t="s">
        <v>2327</v>
      </c>
      <c r="B577" s="8" t="s">
        <v>2868</v>
      </c>
      <c r="C577" s="7" t="s">
        <v>30</v>
      </c>
      <c r="D577" s="7" t="s">
        <v>2869</v>
      </c>
      <c r="E577" s="7" t="s">
        <v>16</v>
      </c>
      <c r="F577" s="7" t="s">
        <v>16</v>
      </c>
    </row>
    <row r="578" ht="22.5" customHeight="1">
      <c r="A578" s="7" t="s">
        <v>2327</v>
      </c>
      <c r="B578" s="8" t="s">
        <v>2868</v>
      </c>
      <c r="C578" s="7" t="s">
        <v>30</v>
      </c>
      <c r="D578" s="7" t="s">
        <v>2870</v>
      </c>
      <c r="E578" s="7"/>
      <c r="F578" s="7" t="s">
        <v>16</v>
      </c>
    </row>
    <row r="579" ht="22.5" customHeight="1">
      <c r="A579" s="7" t="s">
        <v>2327</v>
      </c>
      <c r="B579" s="8" t="s">
        <v>2868</v>
      </c>
      <c r="C579" s="7" t="s">
        <v>598</v>
      </c>
      <c r="D579" s="7" t="s">
        <v>2871</v>
      </c>
      <c r="E579" s="7"/>
      <c r="F579" s="7" t="s">
        <v>16</v>
      </c>
    </row>
    <row r="580" ht="22.5" customHeight="1">
      <c r="A580" s="7" t="s">
        <v>2327</v>
      </c>
      <c r="B580" s="8" t="s">
        <v>2868</v>
      </c>
      <c r="C580" s="7" t="s">
        <v>36</v>
      </c>
      <c r="D580" s="7" t="s">
        <v>2872</v>
      </c>
      <c r="E580" s="7"/>
      <c r="F580" s="7" t="s">
        <v>16</v>
      </c>
    </row>
    <row r="581" ht="22.5" customHeight="1">
      <c r="A581" s="7" t="s">
        <v>2327</v>
      </c>
      <c r="B581" s="8" t="s">
        <v>2868</v>
      </c>
      <c r="C581" s="7" t="s">
        <v>230</v>
      </c>
      <c r="D581" s="7" t="s">
        <v>2873</v>
      </c>
      <c r="E581" s="7"/>
      <c r="F581" s="7" t="s">
        <v>16</v>
      </c>
    </row>
    <row r="582" ht="22.5" customHeight="1">
      <c r="A582" s="7" t="s">
        <v>2327</v>
      </c>
      <c r="B582" s="8" t="s">
        <v>2868</v>
      </c>
      <c r="C582" s="7" t="s">
        <v>38</v>
      </c>
      <c r="D582" s="7" t="s">
        <v>2874</v>
      </c>
      <c r="E582" s="7"/>
      <c r="F582" s="7" t="s">
        <v>16</v>
      </c>
    </row>
    <row r="583" ht="22.5" customHeight="1">
      <c r="A583" s="7" t="s">
        <v>2327</v>
      </c>
      <c r="B583" s="8" t="s">
        <v>2868</v>
      </c>
      <c r="C583" s="7" t="s">
        <v>233</v>
      </c>
      <c r="D583" s="7" t="s">
        <v>2875</v>
      </c>
      <c r="E583" s="7"/>
      <c r="F583" s="7" t="s">
        <v>16</v>
      </c>
    </row>
    <row r="584" ht="22.5" customHeight="1">
      <c r="A584" s="7" t="s">
        <v>2327</v>
      </c>
      <c r="B584" s="8" t="s">
        <v>2868</v>
      </c>
      <c r="C584" s="7" t="s">
        <v>40</v>
      </c>
      <c r="D584" s="7" t="s">
        <v>2876</v>
      </c>
      <c r="E584" s="7"/>
      <c r="F584" s="7" t="s">
        <v>16</v>
      </c>
    </row>
    <row r="585" ht="22.5" customHeight="1">
      <c r="A585" s="7" t="s">
        <v>2327</v>
      </c>
      <c r="B585" s="8" t="s">
        <v>2868</v>
      </c>
      <c r="C585" s="7" t="s">
        <v>236</v>
      </c>
      <c r="D585" s="7" t="s">
        <v>2877</v>
      </c>
      <c r="E585" s="7"/>
      <c r="F585" s="7" t="s">
        <v>16</v>
      </c>
    </row>
    <row r="586" ht="22.5" customHeight="1">
      <c r="A586" s="7" t="s">
        <v>2327</v>
      </c>
      <c r="B586" s="8" t="s">
        <v>2868</v>
      </c>
      <c r="C586" s="7" t="s">
        <v>43</v>
      </c>
      <c r="D586" s="7" t="s">
        <v>2878</v>
      </c>
      <c r="E586" s="7"/>
      <c r="F586" s="7" t="s">
        <v>16</v>
      </c>
    </row>
    <row r="587" ht="22.5" customHeight="1">
      <c r="A587" s="7" t="s">
        <v>2327</v>
      </c>
      <c r="B587" s="8" t="s">
        <v>2868</v>
      </c>
      <c r="C587" s="7" t="s">
        <v>239</v>
      </c>
      <c r="D587" s="7" t="s">
        <v>2879</v>
      </c>
      <c r="E587" s="7"/>
      <c r="F587" s="7" t="s">
        <v>16</v>
      </c>
    </row>
    <row r="588" ht="22.5" customHeight="1">
      <c r="A588" s="7" t="s">
        <v>2327</v>
      </c>
      <c r="B588" s="8" t="s">
        <v>2868</v>
      </c>
      <c r="C588" s="7" t="s">
        <v>103</v>
      </c>
      <c r="D588" s="7" t="s">
        <v>2880</v>
      </c>
      <c r="E588" s="7"/>
      <c r="F588" s="7" t="s">
        <v>16</v>
      </c>
    </row>
    <row r="589" ht="22.5" customHeight="1">
      <c r="A589" s="7" t="s">
        <v>2327</v>
      </c>
      <c r="B589" s="8" t="s">
        <v>2881</v>
      </c>
      <c r="C589" s="7" t="s">
        <v>30</v>
      </c>
      <c r="D589" s="7" t="s">
        <v>2882</v>
      </c>
      <c r="E589" s="7"/>
      <c r="F589" s="7" t="s">
        <v>16</v>
      </c>
    </row>
    <row r="590" ht="22.5" customHeight="1">
      <c r="A590" s="7" t="s">
        <v>2327</v>
      </c>
      <c r="B590" s="8" t="s">
        <v>2881</v>
      </c>
      <c r="C590" s="7" t="s">
        <v>30</v>
      </c>
      <c r="D590" s="7" t="s">
        <v>2883</v>
      </c>
      <c r="E590" s="7"/>
      <c r="F590" s="7" t="s">
        <v>16</v>
      </c>
    </row>
    <row r="591" ht="22.5" customHeight="1">
      <c r="A591" s="7" t="s">
        <v>2327</v>
      </c>
      <c r="B591" s="8" t="s">
        <v>2881</v>
      </c>
      <c r="C591" s="7" t="s">
        <v>598</v>
      </c>
      <c r="D591" s="7" t="s">
        <v>2884</v>
      </c>
      <c r="E591" s="7"/>
      <c r="F591" s="7" t="s">
        <v>16</v>
      </c>
    </row>
    <row r="592" ht="22.5" customHeight="1">
      <c r="A592" s="7" t="s">
        <v>2327</v>
      </c>
      <c r="B592" s="8" t="s">
        <v>2881</v>
      </c>
      <c r="C592" s="7" t="s">
        <v>598</v>
      </c>
      <c r="D592" s="7" t="s">
        <v>2885</v>
      </c>
      <c r="E592" s="7"/>
      <c r="F592" s="7" t="s">
        <v>16</v>
      </c>
    </row>
    <row r="593" ht="22.5" customHeight="1">
      <c r="A593" s="7" t="s">
        <v>2327</v>
      </c>
      <c r="B593" s="8" t="s">
        <v>2881</v>
      </c>
      <c r="C593" s="7" t="s">
        <v>36</v>
      </c>
      <c r="D593" s="7" t="s">
        <v>2886</v>
      </c>
      <c r="E593" s="7"/>
      <c r="F593" s="7" t="s">
        <v>16</v>
      </c>
    </row>
    <row r="594" ht="22.5" customHeight="1">
      <c r="A594" s="7" t="s">
        <v>2327</v>
      </c>
      <c r="B594" s="8" t="s">
        <v>2881</v>
      </c>
      <c r="C594" s="7" t="s">
        <v>36</v>
      </c>
      <c r="D594" s="7" t="s">
        <v>2887</v>
      </c>
      <c r="E594" s="7"/>
      <c r="F594" s="7" t="s">
        <v>16</v>
      </c>
    </row>
    <row r="595" ht="22.5" customHeight="1">
      <c r="A595" s="7" t="s">
        <v>2327</v>
      </c>
      <c r="B595" s="8" t="s">
        <v>2881</v>
      </c>
      <c r="C595" s="7" t="s">
        <v>230</v>
      </c>
      <c r="D595" s="7" t="s">
        <v>2888</v>
      </c>
      <c r="E595" s="7"/>
      <c r="F595" s="7" t="s">
        <v>16</v>
      </c>
    </row>
    <row r="596" ht="22.5" customHeight="1">
      <c r="A596" s="7" t="s">
        <v>2327</v>
      </c>
      <c r="B596" s="8" t="s">
        <v>2881</v>
      </c>
      <c r="C596" s="7" t="s">
        <v>230</v>
      </c>
      <c r="D596" s="7" t="s">
        <v>2889</v>
      </c>
      <c r="E596" s="7"/>
      <c r="F596" s="7" t="s">
        <v>16</v>
      </c>
    </row>
    <row r="597" ht="22.5" customHeight="1">
      <c r="A597" s="7" t="s">
        <v>2327</v>
      </c>
      <c r="B597" s="8" t="s">
        <v>2881</v>
      </c>
      <c r="C597" s="7" t="s">
        <v>38</v>
      </c>
      <c r="D597" s="7" t="s">
        <v>2890</v>
      </c>
      <c r="E597" s="7"/>
      <c r="F597" s="7" t="s">
        <v>16</v>
      </c>
    </row>
    <row r="598" ht="22.5" customHeight="1">
      <c r="A598" s="7" t="s">
        <v>2327</v>
      </c>
      <c r="B598" s="8" t="s">
        <v>2881</v>
      </c>
      <c r="C598" s="7" t="s">
        <v>38</v>
      </c>
      <c r="D598" s="7" t="s">
        <v>2891</v>
      </c>
      <c r="E598" s="7"/>
      <c r="F598" s="7" t="s">
        <v>16</v>
      </c>
    </row>
    <row r="599" ht="22.5" customHeight="1">
      <c r="A599" s="7" t="s">
        <v>2327</v>
      </c>
      <c r="B599" s="8" t="s">
        <v>2881</v>
      </c>
      <c r="C599" s="7" t="s">
        <v>233</v>
      </c>
      <c r="D599" s="7" t="s">
        <v>2892</v>
      </c>
      <c r="E599" s="7"/>
      <c r="F599" s="7" t="s">
        <v>16</v>
      </c>
    </row>
    <row r="600" ht="22.5" customHeight="1">
      <c r="A600" s="7" t="s">
        <v>2327</v>
      </c>
      <c r="B600" s="8" t="s">
        <v>2881</v>
      </c>
      <c r="C600" s="7" t="s">
        <v>233</v>
      </c>
      <c r="D600" s="7" t="s">
        <v>2893</v>
      </c>
      <c r="E600" s="7"/>
      <c r="F600" s="7" t="s">
        <v>16</v>
      </c>
    </row>
    <row r="601" ht="22.5" customHeight="1">
      <c r="A601" s="7" t="s">
        <v>2327</v>
      </c>
      <c r="B601" s="8" t="s">
        <v>2881</v>
      </c>
      <c r="C601" s="7" t="s">
        <v>40</v>
      </c>
      <c r="D601" s="7" t="s">
        <v>2894</v>
      </c>
      <c r="E601" s="7"/>
      <c r="F601" s="7" t="s">
        <v>16</v>
      </c>
    </row>
    <row r="602" ht="22.5" customHeight="1">
      <c r="A602" s="7" t="s">
        <v>2327</v>
      </c>
      <c r="B602" s="8" t="s">
        <v>2881</v>
      </c>
      <c r="C602" s="7" t="s">
        <v>40</v>
      </c>
      <c r="D602" s="7" t="s">
        <v>2895</v>
      </c>
      <c r="E602" s="7"/>
      <c r="F602" s="7" t="s">
        <v>16</v>
      </c>
    </row>
    <row r="603" ht="22.5" customHeight="1">
      <c r="A603" s="7" t="s">
        <v>2327</v>
      </c>
      <c r="B603" s="8" t="s">
        <v>2881</v>
      </c>
      <c r="C603" s="7" t="s">
        <v>236</v>
      </c>
      <c r="D603" s="7" t="s">
        <v>2896</v>
      </c>
      <c r="E603" s="7"/>
      <c r="F603" s="7" t="s">
        <v>16</v>
      </c>
    </row>
    <row r="604" ht="22.5" customHeight="1">
      <c r="A604" s="7" t="s">
        <v>2327</v>
      </c>
      <c r="B604" s="8" t="s">
        <v>2881</v>
      </c>
      <c r="C604" s="7" t="s">
        <v>236</v>
      </c>
      <c r="D604" s="7" t="s">
        <v>2897</v>
      </c>
      <c r="E604" s="7"/>
      <c r="F604" s="7" t="s">
        <v>16</v>
      </c>
    </row>
    <row r="605" ht="22.5" customHeight="1">
      <c r="A605" s="7" t="s">
        <v>2327</v>
      </c>
      <c r="B605" s="8" t="s">
        <v>2881</v>
      </c>
      <c r="C605" s="7" t="s">
        <v>43</v>
      </c>
      <c r="D605" s="7" t="s">
        <v>2898</v>
      </c>
      <c r="E605" s="7"/>
      <c r="F605" s="7" t="s">
        <v>16</v>
      </c>
    </row>
    <row r="606" ht="22.5" customHeight="1">
      <c r="A606" s="7" t="s">
        <v>2327</v>
      </c>
      <c r="B606" s="8" t="s">
        <v>2881</v>
      </c>
      <c r="C606" s="7" t="s">
        <v>43</v>
      </c>
      <c r="D606" s="7" t="s">
        <v>2899</v>
      </c>
      <c r="E606" s="7"/>
      <c r="F606" s="7" t="s">
        <v>16</v>
      </c>
    </row>
    <row r="607" ht="22.5" customHeight="1">
      <c r="A607" s="7" t="s">
        <v>2327</v>
      </c>
      <c r="B607" s="8" t="s">
        <v>2881</v>
      </c>
      <c r="C607" s="7" t="s">
        <v>239</v>
      </c>
      <c r="D607" s="7" t="s">
        <v>2900</v>
      </c>
      <c r="E607" s="7"/>
      <c r="F607" s="7" t="s">
        <v>16</v>
      </c>
    </row>
    <row r="608" ht="22.5" customHeight="1">
      <c r="A608" s="7" t="s">
        <v>2327</v>
      </c>
      <c r="B608" s="8" t="s">
        <v>2881</v>
      </c>
      <c r="C608" s="7" t="s">
        <v>239</v>
      </c>
      <c r="D608" s="7" t="s">
        <v>2901</v>
      </c>
      <c r="E608" s="7"/>
      <c r="F608" s="7" t="s">
        <v>16</v>
      </c>
    </row>
    <row r="609" ht="22.5" customHeight="1">
      <c r="A609" s="7" t="s">
        <v>2327</v>
      </c>
      <c r="B609" s="8" t="s">
        <v>2881</v>
      </c>
      <c r="C609" s="7" t="s">
        <v>103</v>
      </c>
      <c r="D609" s="7" t="s">
        <v>2902</v>
      </c>
      <c r="E609" s="7"/>
      <c r="F609" s="7" t="s">
        <v>16</v>
      </c>
    </row>
    <row r="610" ht="22.5" customHeight="1">
      <c r="A610" s="7" t="s">
        <v>2327</v>
      </c>
      <c r="B610" s="8" t="s">
        <v>2881</v>
      </c>
      <c r="C610" s="7" t="s">
        <v>103</v>
      </c>
      <c r="D610" s="7" t="s">
        <v>2903</v>
      </c>
      <c r="E610" s="7"/>
      <c r="F610" s="7" t="s">
        <v>16</v>
      </c>
    </row>
    <row r="611" ht="22.5" customHeight="1">
      <c r="A611" s="7" t="s">
        <v>2327</v>
      </c>
      <c r="B611" s="8" t="s">
        <v>2904</v>
      </c>
      <c r="C611" s="7" t="s">
        <v>30</v>
      </c>
      <c r="D611" s="7" t="s">
        <v>2905</v>
      </c>
      <c r="E611" s="7"/>
      <c r="F611" s="7" t="s">
        <v>16</v>
      </c>
    </row>
    <row r="612" ht="22.5" customHeight="1">
      <c r="A612" s="7" t="s">
        <v>2327</v>
      </c>
      <c r="B612" s="8" t="s">
        <v>2904</v>
      </c>
      <c r="C612" s="7" t="s">
        <v>30</v>
      </c>
      <c r="D612" s="7" t="s">
        <v>2906</v>
      </c>
      <c r="E612" s="7"/>
      <c r="F612" s="7" t="s">
        <v>16</v>
      </c>
    </row>
    <row r="613" ht="22.5" customHeight="1">
      <c r="A613" s="7" t="s">
        <v>2327</v>
      </c>
      <c r="B613" s="8" t="s">
        <v>2904</v>
      </c>
      <c r="C613" s="7" t="s">
        <v>598</v>
      </c>
      <c r="D613" s="7" t="s">
        <v>2907</v>
      </c>
      <c r="E613" s="7"/>
      <c r="F613" s="7" t="s">
        <v>16</v>
      </c>
    </row>
    <row r="614" ht="22.5" customHeight="1">
      <c r="A614" s="7" t="s">
        <v>2327</v>
      </c>
      <c r="B614" s="8" t="s">
        <v>2904</v>
      </c>
      <c r="C614" s="7" t="s">
        <v>36</v>
      </c>
      <c r="D614" s="7" t="s">
        <v>2908</v>
      </c>
      <c r="E614" s="7"/>
      <c r="F614" s="7" t="s">
        <v>16</v>
      </c>
    </row>
    <row r="615" ht="22.5" customHeight="1">
      <c r="A615" s="7" t="s">
        <v>2327</v>
      </c>
      <c r="B615" s="8" t="s">
        <v>2904</v>
      </c>
      <c r="C615" s="7" t="s">
        <v>230</v>
      </c>
      <c r="D615" s="7" t="s">
        <v>2909</v>
      </c>
      <c r="E615" s="7"/>
      <c r="F615" s="7" t="s">
        <v>16</v>
      </c>
    </row>
    <row r="616" ht="22.5" customHeight="1">
      <c r="A616" s="7" t="s">
        <v>2327</v>
      </c>
      <c r="B616" s="8" t="s">
        <v>2904</v>
      </c>
      <c r="C616" s="7" t="s">
        <v>38</v>
      </c>
      <c r="D616" s="7" t="s">
        <v>2910</v>
      </c>
      <c r="E616" s="7"/>
      <c r="F616" s="7" t="s">
        <v>16</v>
      </c>
    </row>
    <row r="617" ht="22.5" customHeight="1">
      <c r="A617" s="7" t="s">
        <v>2327</v>
      </c>
      <c r="B617" s="8" t="s">
        <v>2904</v>
      </c>
      <c r="C617" s="7" t="s">
        <v>233</v>
      </c>
      <c r="D617" s="7" t="s">
        <v>2911</v>
      </c>
      <c r="E617" s="7"/>
      <c r="F617" s="7" t="s">
        <v>16</v>
      </c>
    </row>
    <row r="618" ht="22.5" customHeight="1">
      <c r="A618" s="7" t="s">
        <v>2327</v>
      </c>
      <c r="B618" s="8" t="s">
        <v>2904</v>
      </c>
      <c r="C618" s="7" t="s">
        <v>40</v>
      </c>
      <c r="D618" s="7" t="s">
        <v>2912</v>
      </c>
      <c r="E618" s="7"/>
      <c r="F618" s="7" t="s">
        <v>16</v>
      </c>
    </row>
    <row r="619" ht="22.5" customHeight="1">
      <c r="A619" s="7" t="s">
        <v>2327</v>
      </c>
      <c r="B619" s="8" t="s">
        <v>2904</v>
      </c>
      <c r="C619" s="7" t="s">
        <v>236</v>
      </c>
      <c r="D619" s="7" t="s">
        <v>2913</v>
      </c>
      <c r="E619" s="7"/>
      <c r="F619" s="7" t="s">
        <v>16</v>
      </c>
    </row>
    <row r="620" ht="22.5" customHeight="1">
      <c r="A620" s="7" t="s">
        <v>2327</v>
      </c>
      <c r="B620" s="8" t="s">
        <v>2904</v>
      </c>
      <c r="C620" s="7" t="s">
        <v>43</v>
      </c>
      <c r="D620" s="7" t="s">
        <v>2914</v>
      </c>
      <c r="E620" s="7"/>
      <c r="F620" s="7" t="s">
        <v>16</v>
      </c>
    </row>
    <row r="621" ht="22.5" customHeight="1">
      <c r="A621" s="7" t="s">
        <v>2327</v>
      </c>
      <c r="B621" s="8" t="s">
        <v>2904</v>
      </c>
      <c r="C621" s="7" t="s">
        <v>239</v>
      </c>
      <c r="D621" s="7" t="s">
        <v>2915</v>
      </c>
      <c r="E621" s="7"/>
      <c r="F621" s="7" t="s">
        <v>16</v>
      </c>
    </row>
    <row r="622" ht="22.5" customHeight="1">
      <c r="A622" s="7" t="s">
        <v>2327</v>
      </c>
      <c r="B622" s="8" t="s">
        <v>2904</v>
      </c>
      <c r="C622" s="7" t="s">
        <v>103</v>
      </c>
      <c r="D622" s="7" t="s">
        <v>2916</v>
      </c>
      <c r="E622" s="7"/>
      <c r="F622" s="7" t="s">
        <v>16</v>
      </c>
    </row>
    <row r="623" ht="22.5" customHeight="1">
      <c r="A623" s="7" t="s">
        <v>2327</v>
      </c>
      <c r="B623" s="8" t="s">
        <v>2917</v>
      </c>
      <c r="C623" s="7" t="s">
        <v>30</v>
      </c>
      <c r="D623" s="7" t="s">
        <v>2918</v>
      </c>
      <c r="E623" s="7"/>
      <c r="F623" s="7" t="s">
        <v>16</v>
      </c>
    </row>
    <row r="624" ht="22.5" customHeight="1">
      <c r="A624" s="7" t="s">
        <v>2327</v>
      </c>
      <c r="B624" s="8" t="s">
        <v>2917</v>
      </c>
      <c r="C624" s="7" t="s">
        <v>30</v>
      </c>
      <c r="D624" s="7" t="s">
        <v>2919</v>
      </c>
      <c r="E624" s="7"/>
      <c r="F624" s="7" t="s">
        <v>16</v>
      </c>
    </row>
    <row r="625" ht="22.5" customHeight="1">
      <c r="A625" s="7" t="s">
        <v>2327</v>
      </c>
      <c r="B625" s="8" t="s">
        <v>2917</v>
      </c>
      <c r="C625" s="7" t="s">
        <v>598</v>
      </c>
      <c r="D625" s="7" t="s">
        <v>2920</v>
      </c>
      <c r="E625" s="7"/>
      <c r="F625" s="7" t="s">
        <v>16</v>
      </c>
    </row>
    <row r="626" ht="22.5" customHeight="1">
      <c r="A626" s="7" t="s">
        <v>2327</v>
      </c>
      <c r="B626" s="8" t="s">
        <v>2917</v>
      </c>
      <c r="C626" s="7" t="s">
        <v>36</v>
      </c>
      <c r="D626" s="7" t="s">
        <v>2921</v>
      </c>
      <c r="E626" s="7"/>
      <c r="F626" s="7" t="s">
        <v>16</v>
      </c>
    </row>
    <row r="627" ht="22.5" customHeight="1">
      <c r="A627" s="7" t="s">
        <v>2327</v>
      </c>
      <c r="B627" s="8" t="s">
        <v>2917</v>
      </c>
      <c r="C627" s="7" t="s">
        <v>230</v>
      </c>
      <c r="D627" s="7" t="s">
        <v>2922</v>
      </c>
      <c r="E627" s="7"/>
      <c r="F627" s="7" t="s">
        <v>16</v>
      </c>
    </row>
    <row r="628" ht="22.5" customHeight="1">
      <c r="A628" s="7" t="s">
        <v>2327</v>
      </c>
      <c r="B628" s="8" t="s">
        <v>2917</v>
      </c>
      <c r="C628" s="7" t="s">
        <v>38</v>
      </c>
      <c r="D628" s="7" t="s">
        <v>2923</v>
      </c>
      <c r="E628" s="7"/>
      <c r="F628" s="7" t="s">
        <v>16</v>
      </c>
    </row>
    <row r="629" ht="22.5" customHeight="1">
      <c r="A629" s="7" t="s">
        <v>2327</v>
      </c>
      <c r="B629" s="8" t="s">
        <v>2917</v>
      </c>
      <c r="C629" s="7" t="s">
        <v>233</v>
      </c>
      <c r="D629" s="7" t="s">
        <v>2924</v>
      </c>
      <c r="E629" s="7"/>
      <c r="F629" s="7" t="s">
        <v>16</v>
      </c>
    </row>
    <row r="630" ht="22.5" customHeight="1">
      <c r="A630" s="7" t="s">
        <v>2327</v>
      </c>
      <c r="B630" s="8" t="s">
        <v>2917</v>
      </c>
      <c r="C630" s="7" t="s">
        <v>40</v>
      </c>
      <c r="D630" s="7" t="s">
        <v>2925</v>
      </c>
      <c r="E630" s="7"/>
      <c r="F630" s="7" t="s">
        <v>16</v>
      </c>
    </row>
    <row r="631" ht="22.5" customHeight="1">
      <c r="A631" s="7" t="s">
        <v>2327</v>
      </c>
      <c r="B631" s="8" t="s">
        <v>2917</v>
      </c>
      <c r="C631" s="7" t="s">
        <v>236</v>
      </c>
      <c r="D631" s="7" t="s">
        <v>2926</v>
      </c>
      <c r="E631" s="7"/>
      <c r="F631" s="7" t="s">
        <v>16</v>
      </c>
    </row>
    <row r="632" ht="22.5" customHeight="1">
      <c r="A632" s="7" t="s">
        <v>2327</v>
      </c>
      <c r="B632" s="8" t="s">
        <v>2917</v>
      </c>
      <c r="C632" s="7" t="s">
        <v>43</v>
      </c>
      <c r="D632" s="7" t="s">
        <v>2927</v>
      </c>
      <c r="E632" s="7"/>
      <c r="F632" s="7" t="s">
        <v>16</v>
      </c>
    </row>
    <row r="633" ht="22.5" customHeight="1">
      <c r="A633" s="7" t="s">
        <v>2327</v>
      </c>
      <c r="B633" s="8" t="s">
        <v>2917</v>
      </c>
      <c r="C633" s="7" t="s">
        <v>239</v>
      </c>
      <c r="D633" s="7" t="s">
        <v>2928</v>
      </c>
      <c r="E633" s="7"/>
      <c r="F633" s="7" t="s">
        <v>16</v>
      </c>
    </row>
    <row r="634" ht="22.5" customHeight="1">
      <c r="A634" s="7" t="s">
        <v>2327</v>
      </c>
      <c r="B634" s="8" t="s">
        <v>2917</v>
      </c>
      <c r="C634" s="7" t="s">
        <v>103</v>
      </c>
      <c r="D634" s="7" t="s">
        <v>2929</v>
      </c>
      <c r="E634" s="7"/>
      <c r="F634" s="7" t="s">
        <v>16</v>
      </c>
    </row>
    <row r="635" ht="22.5" customHeight="1">
      <c r="A635" s="7" t="s">
        <v>2327</v>
      </c>
      <c r="B635" s="8" t="s">
        <v>2930</v>
      </c>
      <c r="C635" s="7" t="s">
        <v>30</v>
      </c>
      <c r="D635" s="7" t="s">
        <v>2931</v>
      </c>
      <c r="E635" s="7"/>
      <c r="F635" s="7" t="s">
        <v>16</v>
      </c>
    </row>
    <row r="636" ht="22.5" customHeight="1">
      <c r="A636" s="7" t="s">
        <v>2327</v>
      </c>
      <c r="B636" s="8" t="s">
        <v>2930</v>
      </c>
      <c r="C636" s="7" t="s">
        <v>30</v>
      </c>
      <c r="D636" s="7" t="s">
        <v>2932</v>
      </c>
      <c r="E636" s="7"/>
      <c r="F636" s="7" t="s">
        <v>16</v>
      </c>
    </row>
    <row r="637" ht="22.5" customHeight="1">
      <c r="A637" s="7" t="s">
        <v>2327</v>
      </c>
      <c r="B637" s="8" t="s">
        <v>2930</v>
      </c>
      <c r="C637" s="7" t="s">
        <v>30</v>
      </c>
      <c r="D637" s="7" t="s">
        <v>2933</v>
      </c>
      <c r="E637" s="7"/>
      <c r="F637" s="7" t="s">
        <v>16</v>
      </c>
    </row>
    <row r="638" ht="22.5" customHeight="1">
      <c r="A638" s="7" t="s">
        <v>2327</v>
      </c>
      <c r="B638" s="8" t="s">
        <v>2930</v>
      </c>
      <c r="C638" s="7" t="s">
        <v>30</v>
      </c>
      <c r="D638" s="7" t="s">
        <v>2934</v>
      </c>
      <c r="E638" s="7"/>
      <c r="F638" s="7" t="s">
        <v>16</v>
      </c>
    </row>
    <row r="639" ht="22.5" customHeight="1">
      <c r="A639" s="7" t="s">
        <v>2327</v>
      </c>
      <c r="B639" s="8" t="s">
        <v>2930</v>
      </c>
      <c r="C639" s="7" t="s">
        <v>36</v>
      </c>
      <c r="D639" s="7" t="s">
        <v>2935</v>
      </c>
      <c r="E639" s="7"/>
      <c r="F639" s="7" t="s">
        <v>16</v>
      </c>
    </row>
    <row r="640" ht="22.5" customHeight="1">
      <c r="A640" s="7" t="s">
        <v>2327</v>
      </c>
      <c r="B640" s="8" t="s">
        <v>2930</v>
      </c>
      <c r="C640" s="7" t="s">
        <v>38</v>
      </c>
      <c r="D640" s="7" t="s">
        <v>2936</v>
      </c>
      <c r="E640" s="7"/>
      <c r="F640" s="7" t="s">
        <v>16</v>
      </c>
    </row>
    <row r="641" ht="22.5" customHeight="1">
      <c r="A641" s="7" t="s">
        <v>2327</v>
      </c>
      <c r="B641" s="8" t="s">
        <v>2930</v>
      </c>
      <c r="C641" s="7" t="s">
        <v>40</v>
      </c>
      <c r="D641" s="7" t="s">
        <v>2937</v>
      </c>
      <c r="E641" s="7"/>
      <c r="F641" s="7" t="s">
        <v>16</v>
      </c>
    </row>
    <row r="642" ht="22.5" customHeight="1">
      <c r="A642" s="7" t="s">
        <v>2327</v>
      </c>
      <c r="B642" s="8" t="s">
        <v>2930</v>
      </c>
      <c r="C642" s="7" t="s">
        <v>43</v>
      </c>
      <c r="D642" s="7" t="s">
        <v>2938</v>
      </c>
      <c r="E642" s="7"/>
      <c r="F642" s="7" t="s">
        <v>16</v>
      </c>
    </row>
    <row r="643" ht="22.5" customHeight="1">
      <c r="A643" s="7" t="s">
        <v>2725</v>
      </c>
      <c r="B643" s="8" t="s">
        <v>2939</v>
      </c>
      <c r="C643" s="7" t="s">
        <v>36</v>
      </c>
      <c r="D643" s="7" t="s">
        <v>2940</v>
      </c>
      <c r="E643" s="7" t="s">
        <v>48</v>
      </c>
      <c r="F643" s="7" t="s">
        <v>16</v>
      </c>
    </row>
    <row r="644" ht="22.5" customHeight="1">
      <c r="A644" s="7" t="s">
        <v>2725</v>
      </c>
      <c r="B644" s="8" t="s">
        <v>2939</v>
      </c>
      <c r="C644" s="7" t="s">
        <v>230</v>
      </c>
      <c r="D644" s="7" t="s">
        <v>2941</v>
      </c>
      <c r="E644" s="7" t="s">
        <v>48</v>
      </c>
      <c r="F644" s="7" t="s">
        <v>16</v>
      </c>
    </row>
    <row r="645" ht="22.5" customHeight="1">
      <c r="A645" s="7" t="s">
        <v>2725</v>
      </c>
      <c r="B645" s="8" t="s">
        <v>2939</v>
      </c>
      <c r="C645" s="7" t="s">
        <v>38</v>
      </c>
      <c r="D645" s="7" t="s">
        <v>2942</v>
      </c>
      <c r="E645" s="7" t="s">
        <v>48</v>
      </c>
      <c r="F645" s="7" t="s">
        <v>16</v>
      </c>
    </row>
    <row r="646" ht="22.5" customHeight="1">
      <c r="A646" s="7" t="s">
        <v>2725</v>
      </c>
      <c r="B646" s="8" t="s">
        <v>2939</v>
      </c>
      <c r="C646" s="7" t="s">
        <v>233</v>
      </c>
      <c r="D646" s="7" t="s">
        <v>2943</v>
      </c>
      <c r="E646" s="7" t="s">
        <v>48</v>
      </c>
      <c r="F646" s="7" t="s">
        <v>16</v>
      </c>
    </row>
    <row r="647" ht="22.5" customHeight="1">
      <c r="A647" s="7" t="s">
        <v>2725</v>
      </c>
      <c r="B647" s="8" t="s">
        <v>2939</v>
      </c>
      <c r="C647" s="7" t="s">
        <v>40</v>
      </c>
      <c r="D647" s="7" t="s">
        <v>2944</v>
      </c>
      <c r="E647" s="7" t="s">
        <v>48</v>
      </c>
      <c r="F647" s="7" t="s">
        <v>16</v>
      </c>
    </row>
    <row r="648" ht="22.5" customHeight="1">
      <c r="A648" s="7" t="s">
        <v>2725</v>
      </c>
      <c r="B648" s="8" t="s">
        <v>2939</v>
      </c>
      <c r="C648" s="7" t="s">
        <v>236</v>
      </c>
      <c r="D648" s="7" t="s">
        <v>2945</v>
      </c>
      <c r="E648" s="7" t="s">
        <v>48</v>
      </c>
      <c r="F648" s="7" t="s">
        <v>16</v>
      </c>
    </row>
    <row r="649" ht="22.5" customHeight="1">
      <c r="A649" s="7" t="s">
        <v>2725</v>
      </c>
      <c r="B649" s="8" t="s">
        <v>2939</v>
      </c>
      <c r="C649" s="7" t="s">
        <v>43</v>
      </c>
      <c r="D649" s="7" t="s">
        <v>2946</v>
      </c>
      <c r="E649" s="7" t="s">
        <v>48</v>
      </c>
      <c r="F649" s="7" t="s">
        <v>16</v>
      </c>
    </row>
    <row r="650" ht="22.5" customHeight="1">
      <c r="A650" s="7" t="s">
        <v>2725</v>
      </c>
      <c r="B650" s="8" t="s">
        <v>2939</v>
      </c>
      <c r="C650" s="7" t="s">
        <v>239</v>
      </c>
      <c r="D650" s="7" t="s">
        <v>2947</v>
      </c>
      <c r="E650" s="7" t="s">
        <v>48</v>
      </c>
      <c r="F650" s="7" t="s">
        <v>16</v>
      </c>
    </row>
    <row r="651" ht="22.5" customHeight="1">
      <c r="A651" s="7" t="s">
        <v>2725</v>
      </c>
      <c r="B651" s="8" t="s">
        <v>2939</v>
      </c>
      <c r="C651" s="7" t="s">
        <v>103</v>
      </c>
      <c r="D651" s="7" t="s">
        <v>2948</v>
      </c>
      <c r="E651" s="7" t="s">
        <v>48</v>
      </c>
      <c r="F651" s="7" t="s">
        <v>16</v>
      </c>
    </row>
    <row r="652" ht="22.5" customHeight="1">
      <c r="A652" s="7" t="s">
        <v>2725</v>
      </c>
      <c r="B652" s="8" t="s">
        <v>2949</v>
      </c>
      <c r="C652" s="7" t="s">
        <v>36</v>
      </c>
      <c r="D652" s="7" t="s">
        <v>2950</v>
      </c>
      <c r="E652" s="7"/>
      <c r="F652" s="7" t="s">
        <v>16</v>
      </c>
    </row>
    <row r="653" ht="22.5" customHeight="1">
      <c r="A653" s="7" t="s">
        <v>2725</v>
      </c>
      <c r="B653" s="8" t="s">
        <v>2949</v>
      </c>
      <c r="C653" s="7" t="s">
        <v>230</v>
      </c>
      <c r="D653" s="7" t="s">
        <v>2951</v>
      </c>
      <c r="E653" s="7"/>
      <c r="F653" s="7" t="s">
        <v>16</v>
      </c>
    </row>
    <row r="654" ht="22.5" customHeight="1">
      <c r="A654" s="7" t="s">
        <v>2725</v>
      </c>
      <c r="B654" s="8" t="s">
        <v>2949</v>
      </c>
      <c r="C654" s="7" t="s">
        <v>38</v>
      </c>
      <c r="D654" s="7" t="s">
        <v>2952</v>
      </c>
      <c r="E654" s="7"/>
      <c r="F654" s="7" t="s">
        <v>16</v>
      </c>
    </row>
    <row r="655" ht="22.5" customHeight="1">
      <c r="A655" s="7" t="s">
        <v>2725</v>
      </c>
      <c r="B655" s="8" t="s">
        <v>2949</v>
      </c>
      <c r="C655" s="7" t="s">
        <v>233</v>
      </c>
      <c r="D655" s="7" t="s">
        <v>2953</v>
      </c>
      <c r="E655" s="7"/>
      <c r="F655" s="7" t="s">
        <v>16</v>
      </c>
    </row>
    <row r="656" ht="22.5" customHeight="1">
      <c r="A656" s="7" t="s">
        <v>2725</v>
      </c>
      <c r="B656" s="8" t="s">
        <v>2949</v>
      </c>
      <c r="C656" s="7" t="s">
        <v>40</v>
      </c>
      <c r="D656" s="7" t="s">
        <v>2954</v>
      </c>
      <c r="E656" s="7"/>
      <c r="F656" s="7" t="s">
        <v>16</v>
      </c>
    </row>
    <row r="657" ht="22.5" customHeight="1">
      <c r="A657" s="7" t="s">
        <v>2725</v>
      </c>
      <c r="B657" s="8" t="s">
        <v>2949</v>
      </c>
      <c r="C657" s="7" t="s">
        <v>236</v>
      </c>
      <c r="D657" s="7" t="s">
        <v>2955</v>
      </c>
      <c r="E657" s="7"/>
      <c r="F657" s="7" t="s">
        <v>16</v>
      </c>
    </row>
    <row r="658" ht="22.5" customHeight="1">
      <c r="A658" s="7" t="s">
        <v>2725</v>
      </c>
      <c r="B658" s="8" t="s">
        <v>2949</v>
      </c>
      <c r="C658" s="7" t="s">
        <v>43</v>
      </c>
      <c r="D658" s="7" t="s">
        <v>2956</v>
      </c>
      <c r="E658" s="7"/>
      <c r="F658" s="7" t="s">
        <v>16</v>
      </c>
    </row>
    <row r="659" ht="22.5" customHeight="1">
      <c r="A659" s="7" t="s">
        <v>2725</v>
      </c>
      <c r="B659" s="8" t="s">
        <v>2949</v>
      </c>
      <c r="C659" s="7" t="s">
        <v>239</v>
      </c>
      <c r="D659" s="7" t="s">
        <v>2957</v>
      </c>
      <c r="E659" s="7"/>
      <c r="F659" s="7" t="s">
        <v>16</v>
      </c>
    </row>
    <row r="660" ht="22.5" customHeight="1">
      <c r="A660" s="7" t="s">
        <v>2725</v>
      </c>
      <c r="B660" s="8" t="s">
        <v>2949</v>
      </c>
      <c r="C660" s="7" t="s">
        <v>103</v>
      </c>
      <c r="D660" s="7" t="s">
        <v>2958</v>
      </c>
      <c r="E660" s="7"/>
      <c r="F660" s="7" t="s">
        <v>16</v>
      </c>
    </row>
    <row r="661" ht="22.5" customHeight="1">
      <c r="A661" s="7" t="s">
        <v>2624</v>
      </c>
      <c r="B661" s="8" t="s">
        <v>2959</v>
      </c>
      <c r="C661" s="7" t="s">
        <v>36</v>
      </c>
      <c r="D661" s="7" t="s">
        <v>2960</v>
      </c>
      <c r="E661" s="7"/>
      <c r="F661" s="7" t="s">
        <v>16</v>
      </c>
    </row>
    <row r="662" ht="22.5" customHeight="1">
      <c r="A662" s="7" t="s">
        <v>2624</v>
      </c>
      <c r="B662" s="8" t="s">
        <v>2959</v>
      </c>
      <c r="C662" s="7" t="s">
        <v>36</v>
      </c>
      <c r="D662" s="7" t="s">
        <v>2961</v>
      </c>
      <c r="E662" s="7"/>
      <c r="F662" s="7" t="s">
        <v>16</v>
      </c>
    </row>
    <row r="663" ht="22.5" customHeight="1">
      <c r="A663" s="7" t="s">
        <v>2624</v>
      </c>
      <c r="B663" s="8" t="s">
        <v>2959</v>
      </c>
      <c r="C663" s="7" t="s">
        <v>230</v>
      </c>
      <c r="D663" s="7" t="s">
        <v>2962</v>
      </c>
      <c r="E663" s="7"/>
      <c r="F663" s="7" t="s">
        <v>16</v>
      </c>
    </row>
    <row r="664" ht="22.5" customHeight="1">
      <c r="A664" s="7" t="s">
        <v>2624</v>
      </c>
      <c r="B664" s="8" t="s">
        <v>2959</v>
      </c>
      <c r="C664" s="7" t="s">
        <v>38</v>
      </c>
      <c r="D664" s="7" t="s">
        <v>2963</v>
      </c>
      <c r="E664" s="7"/>
      <c r="F664" s="7" t="s">
        <v>16</v>
      </c>
    </row>
    <row r="665" ht="22.5" customHeight="1">
      <c r="A665" s="7" t="s">
        <v>2624</v>
      </c>
      <c r="B665" s="8" t="s">
        <v>2959</v>
      </c>
      <c r="C665" s="7" t="s">
        <v>38</v>
      </c>
      <c r="D665" s="7" t="s">
        <v>2964</v>
      </c>
      <c r="E665" s="7"/>
      <c r="F665" s="7" t="s">
        <v>16</v>
      </c>
    </row>
    <row r="666" ht="22.5" customHeight="1">
      <c r="A666" s="7" t="s">
        <v>2624</v>
      </c>
      <c r="B666" s="8" t="s">
        <v>2959</v>
      </c>
      <c r="C666" s="7" t="s">
        <v>233</v>
      </c>
      <c r="D666" s="7" t="s">
        <v>2965</v>
      </c>
      <c r="E666" s="7"/>
      <c r="F666" s="7" t="s">
        <v>16</v>
      </c>
    </row>
    <row r="667" ht="22.5" customHeight="1">
      <c r="A667" s="7" t="s">
        <v>2624</v>
      </c>
      <c r="B667" s="8" t="s">
        <v>2959</v>
      </c>
      <c r="C667" s="7" t="s">
        <v>40</v>
      </c>
      <c r="D667" s="7" t="s">
        <v>2966</v>
      </c>
      <c r="E667" s="7"/>
      <c r="F667" s="7" t="s">
        <v>16</v>
      </c>
    </row>
    <row r="668" ht="22.5" customHeight="1">
      <c r="A668" s="7" t="s">
        <v>2624</v>
      </c>
      <c r="B668" s="8" t="s">
        <v>2959</v>
      </c>
      <c r="C668" s="7" t="s">
        <v>236</v>
      </c>
      <c r="D668" s="7" t="s">
        <v>2967</v>
      </c>
      <c r="E668" s="7"/>
      <c r="F668" s="7" t="s">
        <v>16</v>
      </c>
    </row>
    <row r="669" ht="22.5" customHeight="1">
      <c r="A669" s="7" t="s">
        <v>2624</v>
      </c>
      <c r="B669" s="8" t="s">
        <v>2959</v>
      </c>
      <c r="C669" s="7" t="s">
        <v>43</v>
      </c>
      <c r="D669" s="7" t="s">
        <v>2968</v>
      </c>
      <c r="E669" s="7"/>
      <c r="F669" s="7" t="s">
        <v>16</v>
      </c>
    </row>
    <row r="670" ht="22.5" customHeight="1">
      <c r="A670" s="7" t="s">
        <v>2624</v>
      </c>
      <c r="B670" s="8" t="s">
        <v>2959</v>
      </c>
      <c r="C670" s="7" t="s">
        <v>239</v>
      </c>
      <c r="D670" s="7" t="s">
        <v>2969</v>
      </c>
      <c r="E670" s="7"/>
      <c r="F670" s="7" t="s">
        <v>16</v>
      </c>
    </row>
    <row r="671" ht="22.5" customHeight="1">
      <c r="A671" s="7" t="s">
        <v>2624</v>
      </c>
      <c r="B671" s="8" t="s">
        <v>2959</v>
      </c>
      <c r="C671" s="7" t="s">
        <v>103</v>
      </c>
      <c r="D671" s="7" t="s">
        <v>2970</v>
      </c>
      <c r="E671" s="7"/>
      <c r="F671" s="7" t="s">
        <v>16</v>
      </c>
    </row>
    <row r="672" ht="22.5" customHeight="1">
      <c r="A672" s="7" t="s">
        <v>2624</v>
      </c>
      <c r="B672" s="8" t="s">
        <v>2971</v>
      </c>
      <c r="C672" s="7" t="s">
        <v>40</v>
      </c>
      <c r="D672" s="7" t="s">
        <v>2972</v>
      </c>
      <c r="E672" s="7"/>
      <c r="F672" s="7" t="s">
        <v>16</v>
      </c>
    </row>
    <row r="673" ht="22.5" customHeight="1">
      <c r="A673" s="7" t="s">
        <v>2624</v>
      </c>
      <c r="B673" s="8" t="s">
        <v>2971</v>
      </c>
      <c r="C673" s="7" t="s">
        <v>236</v>
      </c>
      <c r="D673" s="7" t="s">
        <v>2973</v>
      </c>
      <c r="E673" s="7"/>
      <c r="F673" s="7" t="s">
        <v>16</v>
      </c>
    </row>
    <row r="674" ht="22.5" customHeight="1">
      <c r="A674" s="7" t="s">
        <v>2624</v>
      </c>
      <c r="B674" s="8" t="s">
        <v>2971</v>
      </c>
      <c r="C674" s="7" t="s">
        <v>43</v>
      </c>
      <c r="D674" s="7" t="s">
        <v>2974</v>
      </c>
      <c r="E674" s="7"/>
      <c r="F674" s="7" t="s">
        <v>16</v>
      </c>
    </row>
    <row r="675" ht="22.5" customHeight="1">
      <c r="A675" s="7" t="s">
        <v>2624</v>
      </c>
      <c r="B675" s="8" t="s">
        <v>2971</v>
      </c>
      <c r="C675" s="7" t="s">
        <v>239</v>
      </c>
      <c r="D675" s="7" t="s">
        <v>2975</v>
      </c>
      <c r="E675" s="7"/>
      <c r="F675" s="7" t="s">
        <v>16</v>
      </c>
    </row>
    <row r="676" ht="22.5" customHeight="1">
      <c r="A676" s="7" t="s">
        <v>2624</v>
      </c>
      <c r="B676" s="8" t="s">
        <v>2971</v>
      </c>
      <c r="C676" s="7" t="s">
        <v>103</v>
      </c>
      <c r="D676" s="7" t="s">
        <v>2976</v>
      </c>
      <c r="E676" s="7"/>
      <c r="F676" s="7" t="s">
        <v>16</v>
      </c>
    </row>
    <row r="677" ht="22.5" customHeight="1">
      <c r="A677" s="7" t="s">
        <v>2284</v>
      </c>
      <c r="B677" s="8" t="s">
        <v>2977</v>
      </c>
      <c r="C677" s="7" t="s">
        <v>30</v>
      </c>
      <c r="D677" s="7" t="s">
        <v>2978</v>
      </c>
      <c r="E677" s="7"/>
      <c r="F677" s="7" t="s">
        <v>16</v>
      </c>
    </row>
    <row r="678" ht="22.5" customHeight="1">
      <c r="A678" s="7" t="s">
        <v>2284</v>
      </c>
      <c r="B678" s="8" t="s">
        <v>2977</v>
      </c>
      <c r="C678" s="7" t="s">
        <v>598</v>
      </c>
      <c r="D678" s="7" t="s">
        <v>2979</v>
      </c>
      <c r="E678" s="7"/>
      <c r="F678" s="7" t="s">
        <v>16</v>
      </c>
    </row>
    <row r="679" ht="22.5" customHeight="1">
      <c r="A679" s="7" t="s">
        <v>2284</v>
      </c>
      <c r="B679" s="8" t="s">
        <v>2977</v>
      </c>
      <c r="C679" s="7" t="s">
        <v>36</v>
      </c>
      <c r="D679" s="7" t="s">
        <v>2980</v>
      </c>
      <c r="E679" s="7"/>
      <c r="F679" s="7" t="s">
        <v>16</v>
      </c>
    </row>
    <row r="680" ht="22.5" customHeight="1">
      <c r="A680" s="7" t="s">
        <v>2284</v>
      </c>
      <c r="B680" s="8" t="s">
        <v>2977</v>
      </c>
      <c r="C680" s="7" t="s">
        <v>230</v>
      </c>
      <c r="D680" s="7" t="s">
        <v>2981</v>
      </c>
      <c r="E680" s="7"/>
      <c r="F680" s="7" t="s">
        <v>16</v>
      </c>
    </row>
    <row r="681" ht="22.5" customHeight="1">
      <c r="A681" s="7" t="s">
        <v>2284</v>
      </c>
      <c r="B681" s="8" t="s">
        <v>2977</v>
      </c>
      <c r="C681" s="7" t="s">
        <v>38</v>
      </c>
      <c r="D681" s="7" t="s">
        <v>2982</v>
      </c>
      <c r="E681" s="7"/>
      <c r="F681" s="7" t="s">
        <v>16</v>
      </c>
    </row>
    <row r="682" ht="22.5" customHeight="1">
      <c r="A682" s="7" t="s">
        <v>2284</v>
      </c>
      <c r="B682" s="8" t="s">
        <v>2977</v>
      </c>
      <c r="C682" s="7" t="s">
        <v>233</v>
      </c>
      <c r="D682" s="7" t="s">
        <v>2983</v>
      </c>
      <c r="E682" s="7"/>
      <c r="F682" s="7" t="s">
        <v>16</v>
      </c>
    </row>
    <row r="683" ht="22.5" customHeight="1">
      <c r="A683" s="7" t="s">
        <v>2284</v>
      </c>
      <c r="B683" s="8" t="s">
        <v>2977</v>
      </c>
      <c r="C683" s="7" t="s">
        <v>40</v>
      </c>
      <c r="D683" s="7" t="s">
        <v>2984</v>
      </c>
      <c r="E683" s="7"/>
      <c r="F683" s="7" t="s">
        <v>16</v>
      </c>
    </row>
    <row r="684" ht="22.5" customHeight="1">
      <c r="A684" s="7" t="s">
        <v>2284</v>
      </c>
      <c r="B684" s="8" t="s">
        <v>2977</v>
      </c>
      <c r="C684" s="7" t="s">
        <v>236</v>
      </c>
      <c r="D684" s="7" t="s">
        <v>2985</v>
      </c>
      <c r="E684" s="7"/>
      <c r="F684" s="7" t="s">
        <v>16</v>
      </c>
    </row>
    <row r="685" ht="22.5" customHeight="1">
      <c r="A685" s="7" t="s">
        <v>2284</v>
      </c>
      <c r="B685" s="8" t="s">
        <v>2977</v>
      </c>
      <c r="C685" s="7" t="s">
        <v>43</v>
      </c>
      <c r="D685" s="7" t="s">
        <v>2986</v>
      </c>
      <c r="E685" s="7"/>
      <c r="F685" s="7" t="s">
        <v>16</v>
      </c>
    </row>
    <row r="686" ht="22.5" customHeight="1">
      <c r="A686" s="7" t="s">
        <v>2284</v>
      </c>
      <c r="B686" s="8" t="s">
        <v>2977</v>
      </c>
      <c r="C686" s="7" t="s">
        <v>239</v>
      </c>
      <c r="D686" s="7" t="s">
        <v>2987</v>
      </c>
      <c r="E686" s="7"/>
      <c r="F686" s="7" t="s">
        <v>16</v>
      </c>
    </row>
    <row r="687" ht="22.5" customHeight="1">
      <c r="A687" s="7" t="s">
        <v>2284</v>
      </c>
      <c r="B687" s="8" t="s">
        <v>2977</v>
      </c>
      <c r="C687" s="7" t="s">
        <v>103</v>
      </c>
      <c r="D687" s="7" t="s">
        <v>2988</v>
      </c>
      <c r="E687" s="7"/>
      <c r="F687" s="7" t="s">
        <v>16</v>
      </c>
    </row>
    <row r="688" ht="22.5" customHeight="1">
      <c r="A688" s="7" t="s">
        <v>2284</v>
      </c>
      <c r="B688" s="8" t="s">
        <v>2989</v>
      </c>
      <c r="C688" s="7" t="s">
        <v>36</v>
      </c>
      <c r="D688" s="7" t="s">
        <v>2990</v>
      </c>
      <c r="E688" s="7"/>
      <c r="F688" s="7" t="s">
        <v>16</v>
      </c>
    </row>
    <row r="689" ht="22.5" customHeight="1">
      <c r="A689" s="7" t="s">
        <v>2284</v>
      </c>
      <c r="B689" s="8" t="s">
        <v>2989</v>
      </c>
      <c r="C689" s="7" t="s">
        <v>230</v>
      </c>
      <c r="D689" s="7" t="s">
        <v>2991</v>
      </c>
      <c r="E689" s="7"/>
      <c r="F689" s="7" t="s">
        <v>16</v>
      </c>
    </row>
    <row r="690" ht="22.5" customHeight="1">
      <c r="A690" s="7" t="s">
        <v>2284</v>
      </c>
      <c r="B690" s="8" t="s">
        <v>2989</v>
      </c>
      <c r="C690" s="7" t="s">
        <v>38</v>
      </c>
      <c r="D690" s="7" t="s">
        <v>2992</v>
      </c>
      <c r="E690" s="7"/>
      <c r="F690" s="7" t="s">
        <v>16</v>
      </c>
    </row>
    <row r="691" ht="22.5" customHeight="1">
      <c r="A691" s="7" t="s">
        <v>2284</v>
      </c>
      <c r="B691" s="8" t="s">
        <v>2989</v>
      </c>
      <c r="C691" s="7" t="s">
        <v>233</v>
      </c>
      <c r="D691" s="7" t="s">
        <v>2993</v>
      </c>
      <c r="E691" s="7"/>
      <c r="F691" s="7" t="s">
        <v>16</v>
      </c>
    </row>
    <row r="692" ht="22.5" customHeight="1">
      <c r="A692" s="7" t="s">
        <v>2284</v>
      </c>
      <c r="B692" s="8" t="s">
        <v>2989</v>
      </c>
      <c r="C692" s="7" t="s">
        <v>40</v>
      </c>
      <c r="D692" s="7" t="s">
        <v>2994</v>
      </c>
      <c r="E692" s="7"/>
      <c r="F692" s="7" t="s">
        <v>16</v>
      </c>
    </row>
    <row r="693" ht="22.5" customHeight="1">
      <c r="A693" s="7" t="s">
        <v>2284</v>
      </c>
      <c r="B693" s="8" t="s">
        <v>2989</v>
      </c>
      <c r="C693" s="7" t="s">
        <v>236</v>
      </c>
      <c r="D693" s="7" t="s">
        <v>2995</v>
      </c>
      <c r="E693" s="7"/>
      <c r="F693" s="7" t="s">
        <v>16</v>
      </c>
    </row>
    <row r="694" ht="22.5" customHeight="1">
      <c r="A694" s="7" t="s">
        <v>2284</v>
      </c>
      <c r="B694" s="8" t="s">
        <v>2989</v>
      </c>
      <c r="C694" s="7" t="s">
        <v>43</v>
      </c>
      <c r="D694" s="7" t="s">
        <v>2996</v>
      </c>
      <c r="E694" s="7"/>
      <c r="F694" s="7" t="s">
        <v>16</v>
      </c>
    </row>
    <row r="695" ht="22.5" customHeight="1">
      <c r="A695" s="7" t="s">
        <v>2284</v>
      </c>
      <c r="B695" s="8" t="s">
        <v>2989</v>
      </c>
      <c r="C695" s="7" t="s">
        <v>239</v>
      </c>
      <c r="D695" s="7" t="s">
        <v>2997</v>
      </c>
      <c r="E695" s="7"/>
      <c r="F695" s="7" t="s">
        <v>16</v>
      </c>
    </row>
    <row r="696" ht="22.5" customHeight="1">
      <c r="A696" s="7" t="s">
        <v>2284</v>
      </c>
      <c r="B696" s="8" t="s">
        <v>2989</v>
      </c>
      <c r="C696" s="7" t="s">
        <v>103</v>
      </c>
      <c r="D696" s="7" t="s">
        <v>2998</v>
      </c>
      <c r="E696" s="7"/>
      <c r="F696" s="7" t="s">
        <v>16</v>
      </c>
    </row>
    <row r="697" ht="22.5" customHeight="1">
      <c r="A697" s="7" t="s">
        <v>2295</v>
      </c>
      <c r="B697" s="8" t="s">
        <v>2999</v>
      </c>
      <c r="C697" s="7" t="s">
        <v>38</v>
      </c>
      <c r="D697" s="7" t="s">
        <v>3000</v>
      </c>
      <c r="E697" s="7"/>
      <c r="F697" s="7" t="s">
        <v>16</v>
      </c>
    </row>
    <row r="698" ht="22.5" customHeight="1">
      <c r="A698" s="7" t="s">
        <v>2295</v>
      </c>
      <c r="B698" s="8" t="s">
        <v>2999</v>
      </c>
      <c r="C698" s="7" t="s">
        <v>40</v>
      </c>
      <c r="D698" s="7" t="s">
        <v>3001</v>
      </c>
      <c r="E698" s="7"/>
      <c r="F698" s="7" t="s">
        <v>16</v>
      </c>
    </row>
    <row r="699" ht="22.5" customHeight="1">
      <c r="A699" s="7" t="s">
        <v>2295</v>
      </c>
      <c r="B699" s="8" t="s">
        <v>2999</v>
      </c>
      <c r="C699" s="7" t="s">
        <v>43</v>
      </c>
      <c r="D699" s="7" t="s">
        <v>3002</v>
      </c>
      <c r="E699" s="7"/>
      <c r="F699" s="7" t="s">
        <v>16</v>
      </c>
    </row>
    <row r="700" ht="22.5" customHeight="1">
      <c r="A700" s="7" t="s">
        <v>2295</v>
      </c>
      <c r="B700" s="8" t="s">
        <v>2999</v>
      </c>
      <c r="C700" s="7" t="s">
        <v>43</v>
      </c>
      <c r="D700" s="7" t="s">
        <v>3003</v>
      </c>
      <c r="E700" s="7" t="s">
        <v>48</v>
      </c>
      <c r="F700" s="7" t="s">
        <v>16</v>
      </c>
    </row>
    <row r="701" ht="22.5" customHeight="1">
      <c r="A701" s="7" t="s">
        <v>2301</v>
      </c>
      <c r="B701" s="8" t="s">
        <v>3004</v>
      </c>
      <c r="C701" s="7" t="s">
        <v>30</v>
      </c>
      <c r="D701" s="7" t="s">
        <v>3005</v>
      </c>
      <c r="E701" s="7"/>
      <c r="F701" s="7" t="s">
        <v>16</v>
      </c>
    </row>
    <row r="702" ht="22.5" customHeight="1">
      <c r="A702" s="7" t="s">
        <v>2301</v>
      </c>
      <c r="B702" s="8" t="s">
        <v>3004</v>
      </c>
      <c r="C702" s="7" t="s">
        <v>36</v>
      </c>
      <c r="D702" s="7" t="s">
        <v>3006</v>
      </c>
      <c r="E702" s="7"/>
      <c r="F702" s="7" t="s">
        <v>16</v>
      </c>
    </row>
    <row r="703" ht="22.5" customHeight="1">
      <c r="A703" s="7" t="s">
        <v>2301</v>
      </c>
      <c r="B703" s="8" t="s">
        <v>3004</v>
      </c>
      <c r="C703" s="7" t="s">
        <v>230</v>
      </c>
      <c r="D703" s="7" t="s">
        <v>3007</v>
      </c>
      <c r="E703" s="7"/>
      <c r="F703" s="7" t="s">
        <v>16</v>
      </c>
    </row>
    <row r="704" ht="22.5" customHeight="1">
      <c r="A704" s="7" t="s">
        <v>2301</v>
      </c>
      <c r="B704" s="8" t="s">
        <v>3004</v>
      </c>
      <c r="C704" s="7" t="s">
        <v>38</v>
      </c>
      <c r="D704" s="7" t="s">
        <v>3008</v>
      </c>
      <c r="E704" s="7"/>
      <c r="F704" s="7" t="s">
        <v>16</v>
      </c>
    </row>
    <row r="705" ht="22.5" customHeight="1">
      <c r="A705" s="7" t="s">
        <v>2301</v>
      </c>
      <c r="B705" s="8" t="s">
        <v>3004</v>
      </c>
      <c r="C705" s="7" t="s">
        <v>233</v>
      </c>
      <c r="D705" s="7" t="s">
        <v>3009</v>
      </c>
      <c r="E705" s="7"/>
      <c r="F705" s="7" t="s">
        <v>16</v>
      </c>
    </row>
    <row r="706" ht="22.5" customHeight="1">
      <c r="A706" s="7" t="s">
        <v>2301</v>
      </c>
      <c r="B706" s="8" t="s">
        <v>3004</v>
      </c>
      <c r="C706" s="7" t="s">
        <v>40</v>
      </c>
      <c r="D706" s="7" t="s">
        <v>3010</v>
      </c>
      <c r="E706" s="7"/>
      <c r="F706" s="7" t="s">
        <v>16</v>
      </c>
    </row>
    <row r="707" ht="22.5" customHeight="1">
      <c r="A707" s="7" t="s">
        <v>2301</v>
      </c>
      <c r="B707" s="8" t="s">
        <v>3004</v>
      </c>
      <c r="C707" s="7" t="s">
        <v>236</v>
      </c>
      <c r="D707" s="7" t="s">
        <v>3011</v>
      </c>
      <c r="E707" s="7"/>
      <c r="F707" s="7" t="s">
        <v>16</v>
      </c>
    </row>
    <row r="708" ht="22.5" customHeight="1">
      <c r="A708" s="7" t="s">
        <v>2301</v>
      </c>
      <c r="B708" s="8" t="s">
        <v>3004</v>
      </c>
      <c r="C708" s="7" t="s">
        <v>43</v>
      </c>
      <c r="D708" s="7" t="s">
        <v>3012</v>
      </c>
      <c r="E708" s="7"/>
      <c r="F708" s="7" t="s">
        <v>16</v>
      </c>
    </row>
    <row r="709" ht="22.5" customHeight="1">
      <c r="A709" s="7" t="s">
        <v>2301</v>
      </c>
      <c r="B709" s="8" t="s">
        <v>3004</v>
      </c>
      <c r="C709" s="7" t="s">
        <v>239</v>
      </c>
      <c r="D709" s="7" t="s">
        <v>3013</v>
      </c>
      <c r="E709" s="7"/>
      <c r="F709" s="7" t="s">
        <v>16</v>
      </c>
    </row>
    <row r="710" ht="22.5" customHeight="1">
      <c r="A710" s="7" t="s">
        <v>2301</v>
      </c>
      <c r="B710" s="8" t="s">
        <v>3004</v>
      </c>
      <c r="C710" s="7" t="s">
        <v>103</v>
      </c>
      <c r="D710" s="7" t="s">
        <v>3014</v>
      </c>
      <c r="E710" s="7"/>
      <c r="F710" s="7" t="s">
        <v>16</v>
      </c>
    </row>
    <row r="711" ht="22.5" customHeight="1">
      <c r="A711" s="7" t="s">
        <v>2217</v>
      </c>
      <c r="B711" s="8" t="s">
        <v>3015</v>
      </c>
      <c r="C711" s="7" t="s">
        <v>30</v>
      </c>
      <c r="D711" s="7" t="s">
        <v>3016</v>
      </c>
      <c r="E711" s="7"/>
      <c r="F711" s="7" t="s">
        <v>16</v>
      </c>
    </row>
    <row r="712" ht="22.5" customHeight="1">
      <c r="A712" s="7" t="s">
        <v>2217</v>
      </c>
      <c r="B712" s="8" t="s">
        <v>3015</v>
      </c>
      <c r="C712" s="7" t="s">
        <v>598</v>
      </c>
      <c r="D712" s="7" t="s">
        <v>3017</v>
      </c>
      <c r="E712" s="7"/>
      <c r="F712" s="7" t="s">
        <v>16</v>
      </c>
    </row>
    <row r="713" ht="22.5" customHeight="1">
      <c r="A713" s="7" t="s">
        <v>2217</v>
      </c>
      <c r="B713" s="8" t="s">
        <v>3015</v>
      </c>
      <c r="C713" s="7" t="s">
        <v>36</v>
      </c>
      <c r="D713" s="7" t="s">
        <v>3018</v>
      </c>
      <c r="E713" s="7"/>
      <c r="F713" s="7" t="s">
        <v>16</v>
      </c>
    </row>
    <row r="714" ht="22.5" customHeight="1">
      <c r="A714" s="7" t="s">
        <v>2217</v>
      </c>
      <c r="B714" s="8" t="s">
        <v>3015</v>
      </c>
      <c r="C714" s="7" t="s">
        <v>230</v>
      </c>
      <c r="D714" s="7" t="s">
        <v>3019</v>
      </c>
      <c r="E714" s="7"/>
      <c r="F714" s="7" t="s">
        <v>16</v>
      </c>
    </row>
    <row r="715" ht="22.5" customHeight="1">
      <c r="A715" s="7" t="s">
        <v>2217</v>
      </c>
      <c r="B715" s="8" t="s">
        <v>3015</v>
      </c>
      <c r="C715" s="7" t="s">
        <v>38</v>
      </c>
      <c r="D715" s="7" t="s">
        <v>3020</v>
      </c>
      <c r="E715" s="7"/>
      <c r="F715" s="7" t="s">
        <v>16</v>
      </c>
    </row>
    <row r="716" ht="22.5" customHeight="1">
      <c r="A716" s="7" t="s">
        <v>2217</v>
      </c>
      <c r="B716" s="8" t="s">
        <v>3015</v>
      </c>
      <c r="C716" s="7" t="s">
        <v>233</v>
      </c>
      <c r="D716" s="7" t="s">
        <v>3021</v>
      </c>
      <c r="E716" s="7"/>
      <c r="F716" s="7" t="s">
        <v>16</v>
      </c>
    </row>
    <row r="717" ht="22.5" customHeight="1">
      <c r="A717" s="7" t="s">
        <v>2217</v>
      </c>
      <c r="B717" s="8" t="s">
        <v>3015</v>
      </c>
      <c r="C717" s="7" t="s">
        <v>40</v>
      </c>
      <c r="D717" s="7" t="s">
        <v>3022</v>
      </c>
      <c r="E717" s="7"/>
      <c r="F717" s="7" t="s">
        <v>16</v>
      </c>
    </row>
    <row r="718" ht="22.5" customHeight="1">
      <c r="A718" s="7" t="s">
        <v>2217</v>
      </c>
      <c r="B718" s="8" t="s">
        <v>3015</v>
      </c>
      <c r="C718" s="7" t="s">
        <v>236</v>
      </c>
      <c r="D718" s="7" t="s">
        <v>3023</v>
      </c>
      <c r="E718" s="7"/>
      <c r="F718" s="7" t="s">
        <v>16</v>
      </c>
    </row>
    <row r="719" ht="22.5" customHeight="1">
      <c r="A719" s="7" t="s">
        <v>2217</v>
      </c>
      <c r="B719" s="8" t="s">
        <v>3015</v>
      </c>
      <c r="C719" s="7" t="s">
        <v>43</v>
      </c>
      <c r="D719" s="7" t="s">
        <v>3024</v>
      </c>
      <c r="E719" s="7"/>
      <c r="F719" s="7" t="s">
        <v>16</v>
      </c>
    </row>
    <row r="720" ht="22.5" customHeight="1">
      <c r="A720" s="7" t="s">
        <v>2217</v>
      </c>
      <c r="B720" s="8" t="s">
        <v>3015</v>
      </c>
      <c r="C720" s="7" t="s">
        <v>239</v>
      </c>
      <c r="D720" s="7" t="s">
        <v>3025</v>
      </c>
      <c r="E720" s="7"/>
      <c r="F720" s="7" t="s">
        <v>16</v>
      </c>
    </row>
    <row r="721" ht="22.5" customHeight="1">
      <c r="A721" s="7" t="s">
        <v>2217</v>
      </c>
      <c r="B721" s="8" t="s">
        <v>3015</v>
      </c>
      <c r="C721" s="7" t="s">
        <v>103</v>
      </c>
      <c r="D721" s="7" t="s">
        <v>3026</v>
      </c>
      <c r="E721" s="7"/>
      <c r="F721" s="7" t="s">
        <v>16</v>
      </c>
    </row>
    <row r="722" ht="22.5" customHeight="1">
      <c r="A722" s="7" t="s">
        <v>2251</v>
      </c>
      <c r="B722" s="8" t="s">
        <v>3027</v>
      </c>
      <c r="C722" s="7" t="s">
        <v>43</v>
      </c>
      <c r="D722" s="7" t="s">
        <v>3028</v>
      </c>
      <c r="E722" s="7" t="s">
        <v>48</v>
      </c>
      <c r="F722" s="7" t="s">
        <v>16</v>
      </c>
    </row>
    <row r="723" ht="22.5" customHeight="1">
      <c r="A723" s="7" t="s">
        <v>2251</v>
      </c>
      <c r="B723" s="8" t="s">
        <v>3027</v>
      </c>
      <c r="C723" s="7" t="s">
        <v>239</v>
      </c>
      <c r="D723" s="7" t="s">
        <v>3029</v>
      </c>
      <c r="E723" s="7" t="s">
        <v>48</v>
      </c>
      <c r="F723" s="7" t="s">
        <v>16</v>
      </c>
    </row>
    <row r="724" ht="22.5" customHeight="1">
      <c r="A724" s="7" t="s">
        <v>2251</v>
      </c>
      <c r="B724" s="8" t="s">
        <v>3027</v>
      </c>
      <c r="C724" s="7" t="s">
        <v>103</v>
      </c>
      <c r="D724" s="7" t="s">
        <v>3030</v>
      </c>
      <c r="E724" s="7" t="s">
        <v>48</v>
      </c>
      <c r="F724" s="7" t="s">
        <v>16</v>
      </c>
    </row>
    <row r="725" ht="22.5" customHeight="1">
      <c r="A725" s="7" t="s">
        <v>2251</v>
      </c>
      <c r="B725" s="8" t="s">
        <v>3031</v>
      </c>
      <c r="C725" s="7" t="s">
        <v>40</v>
      </c>
      <c r="D725" s="7" t="s">
        <v>3032</v>
      </c>
      <c r="E725" s="7" t="s">
        <v>48</v>
      </c>
      <c r="F725" s="7" t="s">
        <v>16</v>
      </c>
    </row>
    <row r="726" ht="22.5" customHeight="1">
      <c r="A726" s="7" t="s">
        <v>2251</v>
      </c>
      <c r="B726" s="8" t="s">
        <v>3031</v>
      </c>
      <c r="C726" s="7" t="s">
        <v>236</v>
      </c>
      <c r="D726" s="7" t="s">
        <v>3033</v>
      </c>
      <c r="E726" s="7" t="s">
        <v>48</v>
      </c>
      <c r="F726" s="7" t="s">
        <v>16</v>
      </c>
    </row>
    <row r="727" ht="22.5" customHeight="1">
      <c r="A727" s="7" t="s">
        <v>2251</v>
      </c>
      <c r="B727" s="8" t="s">
        <v>3031</v>
      </c>
      <c r="C727" s="7" t="s">
        <v>43</v>
      </c>
      <c r="D727" s="7" t="s">
        <v>3034</v>
      </c>
      <c r="E727" s="7" t="s">
        <v>48</v>
      </c>
      <c r="F727" s="7" t="s">
        <v>16</v>
      </c>
    </row>
    <row r="728" ht="22.5" customHeight="1">
      <c r="A728" s="7" t="s">
        <v>2251</v>
      </c>
      <c r="B728" s="8" t="s">
        <v>3031</v>
      </c>
      <c r="C728" s="7" t="s">
        <v>239</v>
      </c>
      <c r="D728" s="7" t="s">
        <v>3035</v>
      </c>
      <c r="E728" s="7" t="s">
        <v>48</v>
      </c>
      <c r="F728" s="7" t="s">
        <v>16</v>
      </c>
    </row>
    <row r="729" ht="22.5" customHeight="1">
      <c r="A729" s="7" t="s">
        <v>2251</v>
      </c>
      <c r="B729" s="8" t="s">
        <v>3031</v>
      </c>
      <c r="C729" s="7" t="s">
        <v>103</v>
      </c>
      <c r="D729" s="7" t="s">
        <v>3036</v>
      </c>
      <c r="E729" s="7" t="s">
        <v>48</v>
      </c>
      <c r="F729" s="7" t="s">
        <v>16</v>
      </c>
    </row>
    <row r="730" ht="22.5" customHeight="1">
      <c r="A730" s="7" t="s">
        <v>2251</v>
      </c>
      <c r="B730" s="8" t="s">
        <v>3037</v>
      </c>
      <c r="C730" s="7" t="s">
        <v>40</v>
      </c>
      <c r="D730" s="7" t="s">
        <v>3038</v>
      </c>
      <c r="E730" s="7" t="s">
        <v>48</v>
      </c>
      <c r="F730" s="7" t="s">
        <v>16</v>
      </c>
    </row>
    <row r="731" ht="22.5" customHeight="1">
      <c r="A731" s="7" t="s">
        <v>2251</v>
      </c>
      <c r="B731" s="8" t="s">
        <v>3037</v>
      </c>
      <c r="C731" s="7" t="s">
        <v>236</v>
      </c>
      <c r="D731" s="7" t="s">
        <v>3039</v>
      </c>
      <c r="E731" s="7" t="s">
        <v>48</v>
      </c>
      <c r="F731" s="7" t="s">
        <v>16</v>
      </c>
    </row>
    <row r="732" ht="22.5" customHeight="1">
      <c r="A732" s="7" t="s">
        <v>2251</v>
      </c>
      <c r="B732" s="8" t="s">
        <v>3037</v>
      </c>
      <c r="C732" s="7" t="s">
        <v>43</v>
      </c>
      <c r="D732" s="7" t="s">
        <v>3040</v>
      </c>
      <c r="E732" s="7" t="s">
        <v>48</v>
      </c>
      <c r="F732" s="7" t="s">
        <v>16</v>
      </c>
    </row>
    <row r="733" ht="22.5" customHeight="1">
      <c r="A733" s="7" t="s">
        <v>2251</v>
      </c>
      <c r="B733" s="8" t="s">
        <v>3037</v>
      </c>
      <c r="C733" s="7" t="s">
        <v>239</v>
      </c>
      <c r="D733" s="7" t="s">
        <v>3041</v>
      </c>
      <c r="E733" s="7" t="s">
        <v>48</v>
      </c>
      <c r="F733" s="7" t="s">
        <v>16</v>
      </c>
    </row>
    <row r="734" ht="22.5" customHeight="1">
      <c r="A734" s="7" t="s">
        <v>2251</v>
      </c>
      <c r="B734" s="8" t="s">
        <v>3037</v>
      </c>
      <c r="C734" s="7" t="s">
        <v>103</v>
      </c>
      <c r="D734" s="7" t="s">
        <v>3042</v>
      </c>
      <c r="E734" s="7" t="s">
        <v>48</v>
      </c>
      <c r="F734" s="7" t="s">
        <v>16</v>
      </c>
    </row>
    <row r="735" ht="22.5" customHeight="1">
      <c r="A735" s="7" t="s">
        <v>2251</v>
      </c>
      <c r="B735" s="8" t="s">
        <v>3043</v>
      </c>
      <c r="C735" s="7" t="s">
        <v>38</v>
      </c>
      <c r="D735" s="7" t="s">
        <v>3044</v>
      </c>
      <c r="E735" s="7" t="s">
        <v>48</v>
      </c>
      <c r="F735" s="7" t="s">
        <v>1917</v>
      </c>
    </row>
    <row r="736" ht="22.5" customHeight="1">
      <c r="A736" s="7" t="s">
        <v>2251</v>
      </c>
      <c r="B736" s="8" t="s">
        <v>3043</v>
      </c>
      <c r="C736" s="7" t="s">
        <v>38</v>
      </c>
      <c r="D736" s="7" t="s">
        <v>3045</v>
      </c>
      <c r="E736" s="7" t="s">
        <v>48</v>
      </c>
      <c r="F736" s="7" t="s">
        <v>1917</v>
      </c>
    </row>
    <row r="737" ht="22.5" customHeight="1">
      <c r="A737" s="7" t="s">
        <v>2251</v>
      </c>
      <c r="B737" s="8" t="s">
        <v>3043</v>
      </c>
      <c r="C737" s="7" t="s">
        <v>233</v>
      </c>
      <c r="D737" s="7" t="s">
        <v>3046</v>
      </c>
      <c r="E737" s="7" t="s">
        <v>48</v>
      </c>
      <c r="F737" s="7" t="s">
        <v>1917</v>
      </c>
    </row>
    <row r="738" ht="22.5" customHeight="1">
      <c r="A738" s="7" t="s">
        <v>2251</v>
      </c>
      <c r="B738" s="8" t="s">
        <v>3043</v>
      </c>
      <c r="C738" s="7" t="s">
        <v>40</v>
      </c>
      <c r="D738" s="7" t="s">
        <v>3047</v>
      </c>
      <c r="E738" s="7" t="s">
        <v>48</v>
      </c>
      <c r="F738" s="7" t="s">
        <v>1917</v>
      </c>
    </row>
    <row r="739" ht="22.5" customHeight="1">
      <c r="A739" s="7" t="s">
        <v>2251</v>
      </c>
      <c r="B739" s="8" t="s">
        <v>3043</v>
      </c>
      <c r="C739" s="7" t="s">
        <v>236</v>
      </c>
      <c r="D739" s="7" t="s">
        <v>3048</v>
      </c>
      <c r="E739" s="7" t="s">
        <v>48</v>
      </c>
      <c r="F739" s="7" t="s">
        <v>1917</v>
      </c>
    </row>
    <row r="740" ht="22.5" customHeight="1">
      <c r="A740" s="7" t="s">
        <v>2251</v>
      </c>
      <c r="B740" s="8" t="s">
        <v>3043</v>
      </c>
      <c r="C740" s="7" t="s">
        <v>43</v>
      </c>
      <c r="D740" s="7" t="s">
        <v>3049</v>
      </c>
      <c r="E740" s="7" t="s">
        <v>48</v>
      </c>
      <c r="F740" s="7" t="s">
        <v>1917</v>
      </c>
    </row>
    <row r="741" ht="22.5" customHeight="1">
      <c r="A741" s="7" t="s">
        <v>2251</v>
      </c>
      <c r="B741" s="8" t="s">
        <v>3043</v>
      </c>
      <c r="C741" s="7" t="s">
        <v>239</v>
      </c>
      <c r="D741" s="7" t="s">
        <v>3050</v>
      </c>
      <c r="E741" s="7" t="s">
        <v>16</v>
      </c>
      <c r="F741" s="7" t="s">
        <v>1917</v>
      </c>
    </row>
    <row r="742" ht="22.5" customHeight="1">
      <c r="A742" s="7" t="s">
        <v>2251</v>
      </c>
      <c r="B742" s="8" t="s">
        <v>3043</v>
      </c>
      <c r="C742" s="7" t="s">
        <v>239</v>
      </c>
      <c r="D742" s="7" t="s">
        <v>3051</v>
      </c>
      <c r="E742" s="7" t="s">
        <v>48</v>
      </c>
      <c r="F742" s="7" t="s">
        <v>1917</v>
      </c>
    </row>
    <row r="743" ht="22.5" customHeight="1">
      <c r="A743" s="7" t="s">
        <v>2251</v>
      </c>
      <c r="B743" s="8" t="s">
        <v>3043</v>
      </c>
      <c r="C743" s="7" t="s">
        <v>103</v>
      </c>
      <c r="D743" s="7" t="s">
        <v>3052</v>
      </c>
      <c r="E743" s="7" t="s">
        <v>48</v>
      </c>
      <c r="F743" s="7" t="s">
        <v>1917</v>
      </c>
    </row>
    <row r="744" ht="22.5" customHeight="1">
      <c r="A744" s="7" t="s">
        <v>2251</v>
      </c>
      <c r="B744" s="8" t="s">
        <v>3053</v>
      </c>
      <c r="C744" s="7" t="s">
        <v>30</v>
      </c>
      <c r="D744" s="7" t="s">
        <v>3054</v>
      </c>
      <c r="E744" s="7"/>
      <c r="F744" s="7" t="s">
        <v>16</v>
      </c>
    </row>
    <row r="745" ht="22.5" customHeight="1">
      <c r="A745" s="7" t="s">
        <v>2251</v>
      </c>
      <c r="B745" s="8" t="s">
        <v>3053</v>
      </c>
      <c r="C745" s="7" t="s">
        <v>598</v>
      </c>
      <c r="D745" s="7" t="s">
        <v>3055</v>
      </c>
      <c r="E745" s="7"/>
      <c r="F745" s="7" t="s">
        <v>16</v>
      </c>
    </row>
    <row r="746" ht="22.5" customHeight="1">
      <c r="A746" s="7" t="s">
        <v>2251</v>
      </c>
      <c r="B746" s="8" t="s">
        <v>3056</v>
      </c>
      <c r="C746" s="7" t="s">
        <v>36</v>
      </c>
      <c r="D746" s="7" t="s">
        <v>3057</v>
      </c>
      <c r="E746" s="7"/>
      <c r="F746" s="7" t="s">
        <v>16</v>
      </c>
    </row>
    <row r="747" ht="22.5" customHeight="1">
      <c r="A747" s="7" t="s">
        <v>2251</v>
      </c>
      <c r="B747" s="8" t="s">
        <v>3056</v>
      </c>
      <c r="C747" s="7" t="s">
        <v>230</v>
      </c>
      <c r="D747" s="7" t="s">
        <v>3058</v>
      </c>
      <c r="E747" s="7"/>
      <c r="F747" s="7" t="s">
        <v>16</v>
      </c>
    </row>
    <row r="748" ht="22.5" customHeight="1">
      <c r="A748" s="7" t="s">
        <v>2251</v>
      </c>
      <c r="B748" s="8" t="s">
        <v>3059</v>
      </c>
      <c r="C748" s="7" t="s">
        <v>38</v>
      </c>
      <c r="D748" s="7" t="s">
        <v>3060</v>
      </c>
      <c r="E748" s="7"/>
      <c r="F748" s="7" t="s">
        <v>16</v>
      </c>
    </row>
    <row r="749" ht="22.5" customHeight="1">
      <c r="A749" s="7" t="s">
        <v>2251</v>
      </c>
      <c r="B749" s="8" t="s">
        <v>3059</v>
      </c>
      <c r="C749" s="7" t="s">
        <v>233</v>
      </c>
      <c r="D749" s="7" t="s">
        <v>3061</v>
      </c>
      <c r="E749" s="7"/>
      <c r="F749" s="7" t="s">
        <v>16</v>
      </c>
    </row>
    <row r="750" ht="22.5" customHeight="1">
      <c r="A750" s="7" t="s">
        <v>2251</v>
      </c>
      <c r="B750" s="8" t="s">
        <v>3062</v>
      </c>
      <c r="C750" s="7" t="s">
        <v>40</v>
      </c>
      <c r="D750" s="7" t="s">
        <v>3063</v>
      </c>
      <c r="E750" s="7"/>
      <c r="F750" s="7" t="s">
        <v>16</v>
      </c>
    </row>
    <row r="751" ht="22.5" customHeight="1">
      <c r="A751" s="7" t="s">
        <v>2251</v>
      </c>
      <c r="B751" s="8" t="s">
        <v>3062</v>
      </c>
      <c r="C751" s="7" t="s">
        <v>236</v>
      </c>
      <c r="D751" s="7" t="s">
        <v>3064</v>
      </c>
      <c r="E751" s="7"/>
      <c r="F751" s="7" t="s">
        <v>16</v>
      </c>
    </row>
    <row r="752" ht="22.5" customHeight="1">
      <c r="A752" s="7" t="s">
        <v>2251</v>
      </c>
      <c r="B752" s="8" t="s">
        <v>3062</v>
      </c>
      <c r="C752" s="7" t="s">
        <v>43</v>
      </c>
      <c r="D752" s="7" t="s">
        <v>3065</v>
      </c>
      <c r="E752" s="7"/>
      <c r="F752" s="7" t="s">
        <v>16</v>
      </c>
    </row>
    <row r="753" ht="22.5" customHeight="1">
      <c r="A753" s="7" t="s">
        <v>2251</v>
      </c>
      <c r="B753" s="8" t="s">
        <v>3062</v>
      </c>
      <c r="C753" s="7" t="s">
        <v>239</v>
      </c>
      <c r="D753" s="7" t="s">
        <v>3066</v>
      </c>
      <c r="E753" s="7"/>
      <c r="F753" s="7" t="s">
        <v>16</v>
      </c>
    </row>
    <row r="754" ht="22.5" customHeight="1">
      <c r="A754" s="7" t="s">
        <v>2251</v>
      </c>
      <c r="B754" s="8" t="s">
        <v>3062</v>
      </c>
      <c r="C754" s="7" t="s">
        <v>239</v>
      </c>
      <c r="D754" s="7" t="s">
        <v>3067</v>
      </c>
      <c r="E754" s="7"/>
      <c r="F754" s="7" t="s">
        <v>16</v>
      </c>
    </row>
    <row r="755" ht="22.5" customHeight="1">
      <c r="A755" s="7" t="s">
        <v>2251</v>
      </c>
      <c r="B755" s="8" t="s">
        <v>3062</v>
      </c>
      <c r="C755" s="7" t="s">
        <v>103</v>
      </c>
      <c r="D755" s="7" t="s">
        <v>3068</v>
      </c>
      <c r="E755" s="7"/>
      <c r="F755" s="7" t="s">
        <v>16</v>
      </c>
    </row>
    <row r="756" ht="22.5" customHeight="1">
      <c r="A756" s="7" t="s">
        <v>2624</v>
      </c>
      <c r="B756" s="8" t="s">
        <v>3069</v>
      </c>
      <c r="C756" s="7" t="s">
        <v>36</v>
      </c>
      <c r="D756" s="7" t="s">
        <v>3070</v>
      </c>
      <c r="E756" s="7"/>
      <c r="F756" s="7" t="s">
        <v>16</v>
      </c>
    </row>
    <row r="757" ht="22.5" customHeight="1">
      <c r="A757" s="7" t="s">
        <v>2624</v>
      </c>
      <c r="B757" s="8" t="s">
        <v>3069</v>
      </c>
      <c r="C757" s="7" t="s">
        <v>36</v>
      </c>
      <c r="D757" s="7" t="s">
        <v>3071</v>
      </c>
      <c r="E757" s="7"/>
      <c r="F757" s="7" t="s">
        <v>16</v>
      </c>
    </row>
    <row r="758" ht="22.5" customHeight="1">
      <c r="A758" s="7" t="s">
        <v>2624</v>
      </c>
      <c r="B758" s="8" t="s">
        <v>3069</v>
      </c>
      <c r="C758" s="7" t="s">
        <v>230</v>
      </c>
      <c r="D758" s="7" t="s">
        <v>3072</v>
      </c>
      <c r="E758" s="7"/>
      <c r="F758" s="7" t="s">
        <v>16</v>
      </c>
    </row>
    <row r="759" ht="22.5" customHeight="1">
      <c r="A759" s="7" t="s">
        <v>2624</v>
      </c>
      <c r="B759" s="8" t="s">
        <v>3069</v>
      </c>
      <c r="C759" s="7" t="s">
        <v>38</v>
      </c>
      <c r="D759" s="7" t="s">
        <v>3073</v>
      </c>
      <c r="E759" s="7"/>
      <c r="F759" s="7" t="s">
        <v>16</v>
      </c>
    </row>
    <row r="760" ht="22.5" customHeight="1">
      <c r="A760" s="7" t="s">
        <v>2624</v>
      </c>
      <c r="B760" s="8" t="s">
        <v>3069</v>
      </c>
      <c r="C760" s="7" t="s">
        <v>38</v>
      </c>
      <c r="D760" s="7" t="s">
        <v>3074</v>
      </c>
      <c r="E760" s="7"/>
      <c r="F760" s="7" t="s">
        <v>16</v>
      </c>
    </row>
    <row r="761" ht="22.5" customHeight="1">
      <c r="A761" s="7" t="s">
        <v>2624</v>
      </c>
      <c r="B761" s="8" t="s">
        <v>3069</v>
      </c>
      <c r="C761" s="7" t="s">
        <v>233</v>
      </c>
      <c r="D761" s="7" t="s">
        <v>3075</v>
      </c>
      <c r="E761" s="7"/>
      <c r="F761" s="7" t="s">
        <v>16</v>
      </c>
    </row>
    <row r="762" ht="22.5" customHeight="1">
      <c r="A762" s="7" t="s">
        <v>2624</v>
      </c>
      <c r="B762" s="8" t="s">
        <v>3069</v>
      </c>
      <c r="C762" s="7" t="s">
        <v>40</v>
      </c>
      <c r="D762" s="7" t="s">
        <v>3076</v>
      </c>
      <c r="E762" s="7"/>
      <c r="F762" s="7" t="s">
        <v>16</v>
      </c>
    </row>
    <row r="763" ht="22.5" customHeight="1">
      <c r="A763" s="7" t="s">
        <v>2624</v>
      </c>
      <c r="B763" s="8" t="s">
        <v>3069</v>
      </c>
      <c r="C763" s="7" t="s">
        <v>40</v>
      </c>
      <c r="D763" s="7" t="s">
        <v>3077</v>
      </c>
      <c r="E763" s="7"/>
      <c r="F763" s="7" t="s">
        <v>16</v>
      </c>
    </row>
    <row r="764" ht="22.5" customHeight="1">
      <c r="A764" s="7" t="s">
        <v>2624</v>
      </c>
      <c r="B764" s="8" t="s">
        <v>3069</v>
      </c>
      <c r="C764" s="7" t="s">
        <v>236</v>
      </c>
      <c r="D764" s="7" t="s">
        <v>3078</v>
      </c>
      <c r="E764" s="7"/>
      <c r="F764" s="7" t="s">
        <v>16</v>
      </c>
    </row>
    <row r="765" ht="22.5" customHeight="1">
      <c r="A765" s="7" t="s">
        <v>2624</v>
      </c>
      <c r="B765" s="8" t="s">
        <v>3069</v>
      </c>
      <c r="C765" s="7" t="s">
        <v>43</v>
      </c>
      <c r="D765" s="7" t="s">
        <v>3079</v>
      </c>
      <c r="E765" s="7"/>
      <c r="F765" s="7" t="s">
        <v>16</v>
      </c>
    </row>
    <row r="766" ht="22.5" customHeight="1">
      <c r="A766" s="7" t="s">
        <v>2624</v>
      </c>
      <c r="B766" s="8" t="s">
        <v>3069</v>
      </c>
      <c r="C766" s="7" t="s">
        <v>239</v>
      </c>
      <c r="D766" s="7" t="s">
        <v>3080</v>
      </c>
      <c r="E766" s="7"/>
      <c r="F766" s="7" t="s">
        <v>16</v>
      </c>
    </row>
    <row r="767" ht="22.5" customHeight="1">
      <c r="A767" s="7" t="s">
        <v>2624</v>
      </c>
      <c r="B767" s="8" t="s">
        <v>3069</v>
      </c>
      <c r="C767" s="7" t="s">
        <v>103</v>
      </c>
      <c r="D767" s="7" t="s">
        <v>3081</v>
      </c>
      <c r="E767" s="7"/>
      <c r="F767" s="7" t="s">
        <v>16</v>
      </c>
    </row>
    <row r="768" ht="22.5" customHeight="1">
      <c r="A768" s="7" t="s">
        <v>2251</v>
      </c>
      <c r="B768" s="8" t="s">
        <v>3082</v>
      </c>
      <c r="C768" s="7" t="s">
        <v>36</v>
      </c>
      <c r="D768" s="7" t="s">
        <v>3083</v>
      </c>
      <c r="E768" s="7"/>
      <c r="F768" s="7" t="s">
        <v>16</v>
      </c>
    </row>
    <row r="769" ht="22.5" customHeight="1">
      <c r="A769" s="7" t="s">
        <v>2251</v>
      </c>
      <c r="B769" s="8" t="s">
        <v>3082</v>
      </c>
      <c r="C769" s="7" t="s">
        <v>230</v>
      </c>
      <c r="D769" s="7" t="s">
        <v>3084</v>
      </c>
      <c r="E769" s="7"/>
      <c r="F769" s="7" t="s">
        <v>16</v>
      </c>
    </row>
    <row r="770" ht="22.5" customHeight="1">
      <c r="A770" s="7" t="s">
        <v>2251</v>
      </c>
      <c r="B770" s="8" t="s">
        <v>3082</v>
      </c>
      <c r="C770" s="7" t="s">
        <v>38</v>
      </c>
      <c r="D770" s="7" t="s">
        <v>3085</v>
      </c>
      <c r="E770" s="7"/>
      <c r="F770" s="7" t="s">
        <v>16</v>
      </c>
    </row>
    <row r="771" ht="22.5" customHeight="1">
      <c r="A771" s="7" t="s">
        <v>2251</v>
      </c>
      <c r="B771" s="8" t="s">
        <v>3082</v>
      </c>
      <c r="C771" s="7" t="s">
        <v>233</v>
      </c>
      <c r="D771" s="7" t="s">
        <v>3086</v>
      </c>
      <c r="E771" s="7"/>
      <c r="F771" s="7" t="s">
        <v>16</v>
      </c>
    </row>
    <row r="772" ht="22.5" customHeight="1">
      <c r="A772" s="7" t="s">
        <v>2251</v>
      </c>
      <c r="B772" s="8" t="s">
        <v>3082</v>
      </c>
      <c r="C772" s="7" t="s">
        <v>40</v>
      </c>
      <c r="D772" s="7" t="s">
        <v>3087</v>
      </c>
      <c r="E772" s="7"/>
      <c r="F772" s="7" t="s">
        <v>16</v>
      </c>
    </row>
    <row r="773" ht="22.5" customHeight="1">
      <c r="A773" s="7" t="s">
        <v>2251</v>
      </c>
      <c r="B773" s="8" t="s">
        <v>3082</v>
      </c>
      <c r="C773" s="7" t="s">
        <v>236</v>
      </c>
      <c r="D773" s="7" t="s">
        <v>3088</v>
      </c>
      <c r="E773" s="7"/>
      <c r="F773" s="7" t="s">
        <v>16</v>
      </c>
    </row>
    <row r="774" ht="22.5" customHeight="1">
      <c r="A774" s="7" t="s">
        <v>2251</v>
      </c>
      <c r="B774" s="8" t="s">
        <v>3082</v>
      </c>
      <c r="C774" s="7" t="s">
        <v>43</v>
      </c>
      <c r="D774" s="7" t="s">
        <v>3089</v>
      </c>
      <c r="E774" s="7"/>
      <c r="F774" s="7" t="s">
        <v>16</v>
      </c>
    </row>
    <row r="775" ht="22.5" customHeight="1">
      <c r="A775" s="7" t="s">
        <v>2251</v>
      </c>
      <c r="B775" s="8" t="s">
        <v>3082</v>
      </c>
      <c r="C775" s="7" t="s">
        <v>239</v>
      </c>
      <c r="D775" s="7" t="s">
        <v>3090</v>
      </c>
      <c r="E775" s="7"/>
      <c r="F775" s="7" t="s">
        <v>16</v>
      </c>
    </row>
    <row r="776" ht="22.5" customHeight="1">
      <c r="A776" s="7" t="s">
        <v>2251</v>
      </c>
      <c r="B776" s="8" t="s">
        <v>3082</v>
      </c>
      <c r="C776" s="7" t="s">
        <v>103</v>
      </c>
      <c r="D776" s="7" t="s">
        <v>3091</v>
      </c>
      <c r="E776" s="7"/>
      <c r="F776" s="7" t="s">
        <v>16</v>
      </c>
    </row>
    <row r="777" ht="22.5" customHeight="1">
      <c r="A777" s="7" t="s">
        <v>2452</v>
      </c>
      <c r="B777" s="8" t="s">
        <v>3092</v>
      </c>
      <c r="C777" s="7" t="s">
        <v>30</v>
      </c>
      <c r="D777" s="7" t="s">
        <v>3093</v>
      </c>
      <c r="E777" s="7"/>
      <c r="F777" s="7" t="s">
        <v>16</v>
      </c>
    </row>
    <row r="778" ht="22.5" customHeight="1">
      <c r="A778" s="7" t="s">
        <v>2452</v>
      </c>
      <c r="B778" s="8" t="s">
        <v>3092</v>
      </c>
      <c r="C778" s="7" t="s">
        <v>36</v>
      </c>
      <c r="D778" s="7" t="s">
        <v>3094</v>
      </c>
      <c r="E778" s="7"/>
      <c r="F778" s="7" t="s">
        <v>16</v>
      </c>
    </row>
    <row r="779" ht="22.5" customHeight="1">
      <c r="A779" s="7" t="s">
        <v>2452</v>
      </c>
      <c r="B779" s="8" t="s">
        <v>3092</v>
      </c>
      <c r="C779" s="7" t="s">
        <v>230</v>
      </c>
      <c r="D779" s="7" t="s">
        <v>3095</v>
      </c>
      <c r="E779" s="7"/>
      <c r="F779" s="7" t="s">
        <v>16</v>
      </c>
    </row>
    <row r="780" ht="22.5" customHeight="1">
      <c r="A780" s="7" t="s">
        <v>2452</v>
      </c>
      <c r="B780" s="8" t="s">
        <v>3092</v>
      </c>
      <c r="C780" s="7" t="s">
        <v>38</v>
      </c>
      <c r="D780" s="7" t="s">
        <v>3096</v>
      </c>
      <c r="E780" s="7"/>
      <c r="F780" s="7" t="s">
        <v>16</v>
      </c>
    </row>
    <row r="781" ht="22.5" customHeight="1">
      <c r="A781" s="7" t="s">
        <v>2452</v>
      </c>
      <c r="B781" s="8" t="s">
        <v>3092</v>
      </c>
      <c r="C781" s="7" t="s">
        <v>233</v>
      </c>
      <c r="D781" s="7" t="s">
        <v>3097</v>
      </c>
      <c r="E781" s="7"/>
      <c r="F781" s="7" t="s">
        <v>16</v>
      </c>
    </row>
    <row r="782" ht="22.5" customHeight="1">
      <c r="A782" s="7" t="s">
        <v>2452</v>
      </c>
      <c r="B782" s="8" t="s">
        <v>3092</v>
      </c>
      <c r="C782" s="7" t="s">
        <v>40</v>
      </c>
      <c r="D782" s="7" t="s">
        <v>3098</v>
      </c>
      <c r="E782" s="7"/>
      <c r="F782" s="7" t="s">
        <v>16</v>
      </c>
    </row>
    <row r="783" ht="22.5" customHeight="1">
      <c r="A783" s="7" t="s">
        <v>2452</v>
      </c>
      <c r="B783" s="8" t="s">
        <v>3092</v>
      </c>
      <c r="C783" s="7" t="s">
        <v>236</v>
      </c>
      <c r="D783" s="7" t="s">
        <v>3099</v>
      </c>
      <c r="E783" s="7"/>
      <c r="F783" s="7" t="s">
        <v>16</v>
      </c>
    </row>
    <row r="784" ht="22.5" customHeight="1">
      <c r="A784" s="7" t="s">
        <v>2452</v>
      </c>
      <c r="B784" s="8" t="s">
        <v>3092</v>
      </c>
      <c r="C784" s="7" t="s">
        <v>43</v>
      </c>
      <c r="D784" s="7" t="s">
        <v>3100</v>
      </c>
      <c r="E784" s="7"/>
      <c r="F784" s="7" t="s">
        <v>16</v>
      </c>
    </row>
    <row r="785" ht="22.5" customHeight="1">
      <c r="A785" s="7" t="s">
        <v>2452</v>
      </c>
      <c r="B785" s="8" t="s">
        <v>3092</v>
      </c>
      <c r="C785" s="7" t="s">
        <v>239</v>
      </c>
      <c r="D785" s="7" t="s">
        <v>3101</v>
      </c>
      <c r="E785" s="7"/>
      <c r="F785" s="7" t="s">
        <v>16</v>
      </c>
    </row>
    <row r="786" ht="22.5" customHeight="1">
      <c r="A786" s="7" t="s">
        <v>2452</v>
      </c>
      <c r="B786" s="8" t="s">
        <v>3092</v>
      </c>
      <c r="C786" s="7" t="s">
        <v>103</v>
      </c>
      <c r="D786" s="7" t="s">
        <v>3102</v>
      </c>
      <c r="E786" s="7"/>
      <c r="F786" s="7" t="s">
        <v>16</v>
      </c>
    </row>
    <row r="787" ht="22.5" customHeight="1">
      <c r="A787" s="7" t="s">
        <v>2230</v>
      </c>
      <c r="B787" s="8" t="s">
        <v>3103</v>
      </c>
      <c r="C787" s="7" t="s">
        <v>30</v>
      </c>
      <c r="D787" s="7" t="s">
        <v>3104</v>
      </c>
      <c r="E787" s="7"/>
      <c r="F787" s="7" t="s">
        <v>16</v>
      </c>
    </row>
    <row r="788" ht="22.5" customHeight="1">
      <c r="A788" s="7" t="s">
        <v>2230</v>
      </c>
      <c r="B788" s="8" t="s">
        <v>3103</v>
      </c>
      <c r="C788" s="7" t="s">
        <v>36</v>
      </c>
      <c r="D788" s="7" t="s">
        <v>3105</v>
      </c>
      <c r="E788" s="7"/>
      <c r="F788" s="7" t="s">
        <v>16</v>
      </c>
    </row>
    <row r="789" ht="22.5" customHeight="1">
      <c r="A789" s="7" t="s">
        <v>2230</v>
      </c>
      <c r="B789" s="8" t="s">
        <v>3103</v>
      </c>
      <c r="C789" s="7" t="s">
        <v>38</v>
      </c>
      <c r="D789" s="7" t="s">
        <v>3106</v>
      </c>
      <c r="E789" s="7"/>
      <c r="F789" s="7" t="s">
        <v>16</v>
      </c>
    </row>
    <row r="790" ht="22.5" customHeight="1">
      <c r="A790" s="7" t="s">
        <v>2230</v>
      </c>
      <c r="B790" s="8" t="s">
        <v>3103</v>
      </c>
      <c r="C790" s="7" t="s">
        <v>233</v>
      </c>
      <c r="D790" s="7" t="s">
        <v>3107</v>
      </c>
      <c r="E790" s="7"/>
      <c r="F790" s="7" t="s">
        <v>16</v>
      </c>
    </row>
    <row r="791" ht="22.5" customHeight="1">
      <c r="A791" s="7" t="s">
        <v>2230</v>
      </c>
      <c r="B791" s="8" t="s">
        <v>3103</v>
      </c>
      <c r="C791" s="7" t="s">
        <v>40</v>
      </c>
      <c r="D791" s="7" t="s">
        <v>3108</v>
      </c>
      <c r="E791" s="7"/>
      <c r="F791" s="7" t="s">
        <v>16</v>
      </c>
    </row>
    <row r="792" ht="22.5" customHeight="1">
      <c r="A792" s="7" t="s">
        <v>2230</v>
      </c>
      <c r="B792" s="8" t="s">
        <v>3103</v>
      </c>
      <c r="C792" s="7" t="s">
        <v>236</v>
      </c>
      <c r="D792" s="7" t="s">
        <v>3109</v>
      </c>
      <c r="E792" s="7"/>
      <c r="F792" s="7" t="s">
        <v>16</v>
      </c>
    </row>
    <row r="793" ht="22.5" customHeight="1">
      <c r="A793" s="7" t="s">
        <v>2230</v>
      </c>
      <c r="B793" s="8" t="s">
        <v>3103</v>
      </c>
      <c r="C793" s="7" t="s">
        <v>43</v>
      </c>
      <c r="D793" s="7" t="s">
        <v>3110</v>
      </c>
      <c r="E793" s="7"/>
      <c r="F793" s="7" t="s">
        <v>16</v>
      </c>
    </row>
    <row r="794" ht="22.5" customHeight="1">
      <c r="A794" s="7" t="s">
        <v>2230</v>
      </c>
      <c r="B794" s="8" t="s">
        <v>3103</v>
      </c>
      <c r="C794" s="7" t="s">
        <v>239</v>
      </c>
      <c r="D794" s="7" t="s">
        <v>3111</v>
      </c>
      <c r="E794" s="7"/>
      <c r="F794" s="7" t="s">
        <v>16</v>
      </c>
    </row>
    <row r="795" ht="22.5" customHeight="1">
      <c r="A795" s="7" t="s">
        <v>2230</v>
      </c>
      <c r="B795" s="8" t="s">
        <v>3103</v>
      </c>
      <c r="C795" s="7" t="s">
        <v>103</v>
      </c>
      <c r="D795" s="7" t="s">
        <v>3112</v>
      </c>
      <c r="E795" s="7"/>
      <c r="F795" s="7" t="s">
        <v>16</v>
      </c>
    </row>
    <row r="796" ht="22.5" customHeight="1">
      <c r="A796" s="7" t="s">
        <v>2251</v>
      </c>
      <c r="B796" s="8" t="s">
        <v>3113</v>
      </c>
      <c r="C796" s="7" t="s">
        <v>43</v>
      </c>
      <c r="D796" s="7" t="s">
        <v>3114</v>
      </c>
      <c r="E796" s="7"/>
      <c r="F796" s="7" t="s">
        <v>16</v>
      </c>
    </row>
    <row r="797" ht="22.5" customHeight="1">
      <c r="A797" s="7" t="s">
        <v>2251</v>
      </c>
      <c r="B797" s="8" t="s">
        <v>3113</v>
      </c>
      <c r="C797" s="7" t="s">
        <v>239</v>
      </c>
      <c r="D797" s="7" t="s">
        <v>3115</v>
      </c>
      <c r="E797" s="7"/>
      <c r="F797" s="7" t="s">
        <v>16</v>
      </c>
    </row>
    <row r="798" ht="22.5" customHeight="1">
      <c r="A798" s="7" t="s">
        <v>2251</v>
      </c>
      <c r="B798" s="8" t="s">
        <v>3113</v>
      </c>
      <c r="C798" s="7" t="s">
        <v>103</v>
      </c>
      <c r="D798" s="7" t="s">
        <v>3116</v>
      </c>
      <c r="E798" s="7"/>
      <c r="F798" s="7" t="s">
        <v>16</v>
      </c>
    </row>
    <row r="799" ht="22.5" customHeight="1">
      <c r="A799" s="7" t="s">
        <v>2284</v>
      </c>
      <c r="B799" s="8" t="s">
        <v>3117</v>
      </c>
      <c r="C799" s="7" t="s">
        <v>30</v>
      </c>
      <c r="D799" s="7" t="s">
        <v>3118</v>
      </c>
      <c r="E799" s="7"/>
      <c r="F799" s="7" t="s">
        <v>16</v>
      </c>
    </row>
    <row r="800" ht="22.5" customHeight="1">
      <c r="A800" s="7" t="s">
        <v>2284</v>
      </c>
      <c r="B800" s="8" t="s">
        <v>3117</v>
      </c>
      <c r="C800" s="7" t="s">
        <v>598</v>
      </c>
      <c r="D800" s="7" t="s">
        <v>3119</v>
      </c>
      <c r="E800" s="7"/>
      <c r="F800" s="7" t="s">
        <v>16</v>
      </c>
    </row>
    <row r="801" ht="22.5" customHeight="1">
      <c r="A801" s="7" t="s">
        <v>2284</v>
      </c>
      <c r="B801" s="8" t="s">
        <v>3117</v>
      </c>
      <c r="C801" s="7" t="s">
        <v>36</v>
      </c>
      <c r="D801" s="7" t="s">
        <v>3120</v>
      </c>
      <c r="E801" s="7"/>
      <c r="F801" s="7" t="s">
        <v>16</v>
      </c>
    </row>
    <row r="802" ht="22.5" customHeight="1">
      <c r="A802" s="7" t="s">
        <v>2284</v>
      </c>
      <c r="B802" s="8" t="s">
        <v>3117</v>
      </c>
      <c r="C802" s="7" t="s">
        <v>230</v>
      </c>
      <c r="D802" s="7" t="s">
        <v>3121</v>
      </c>
      <c r="E802" s="7"/>
      <c r="F802" s="7" t="s">
        <v>16</v>
      </c>
    </row>
    <row r="803" ht="22.5" customHeight="1">
      <c r="A803" s="7" t="s">
        <v>2284</v>
      </c>
      <c r="B803" s="8" t="s">
        <v>3117</v>
      </c>
      <c r="C803" s="7" t="s">
        <v>38</v>
      </c>
      <c r="D803" s="7" t="s">
        <v>3122</v>
      </c>
      <c r="E803" s="7"/>
      <c r="F803" s="7" t="s">
        <v>16</v>
      </c>
    </row>
    <row r="804" ht="22.5" customHeight="1">
      <c r="A804" s="7" t="s">
        <v>2284</v>
      </c>
      <c r="B804" s="8" t="s">
        <v>3117</v>
      </c>
      <c r="C804" s="7" t="s">
        <v>233</v>
      </c>
      <c r="D804" s="7" t="s">
        <v>3123</v>
      </c>
      <c r="E804" s="7"/>
      <c r="F804" s="7" t="s">
        <v>16</v>
      </c>
    </row>
    <row r="805" ht="22.5" customHeight="1">
      <c r="A805" s="7" t="s">
        <v>2284</v>
      </c>
      <c r="B805" s="8" t="s">
        <v>3117</v>
      </c>
      <c r="C805" s="7" t="s">
        <v>40</v>
      </c>
      <c r="D805" s="7" t="s">
        <v>3124</v>
      </c>
      <c r="E805" s="7"/>
      <c r="F805" s="7" t="s">
        <v>16</v>
      </c>
    </row>
    <row r="806" ht="22.5" customHeight="1">
      <c r="A806" s="7" t="s">
        <v>2284</v>
      </c>
      <c r="B806" s="8" t="s">
        <v>3117</v>
      </c>
      <c r="C806" s="7" t="s">
        <v>236</v>
      </c>
      <c r="D806" s="7" t="s">
        <v>3125</v>
      </c>
      <c r="E806" s="7"/>
      <c r="F806" s="7" t="s">
        <v>16</v>
      </c>
    </row>
    <row r="807" ht="22.5" customHeight="1">
      <c r="A807" s="7" t="s">
        <v>2284</v>
      </c>
      <c r="B807" s="8" t="s">
        <v>3117</v>
      </c>
      <c r="C807" s="7" t="s">
        <v>43</v>
      </c>
      <c r="D807" s="7" t="s">
        <v>3126</v>
      </c>
      <c r="E807" s="7"/>
      <c r="F807" s="7" t="s">
        <v>16</v>
      </c>
    </row>
    <row r="808" ht="22.5" customHeight="1">
      <c r="A808" s="7" t="s">
        <v>2284</v>
      </c>
      <c r="B808" s="8" t="s">
        <v>3117</v>
      </c>
      <c r="C808" s="7" t="s">
        <v>239</v>
      </c>
      <c r="D808" s="7" t="s">
        <v>3127</v>
      </c>
      <c r="E808" s="7"/>
      <c r="F808" s="7" t="s">
        <v>16</v>
      </c>
    </row>
    <row r="809" ht="22.5" customHeight="1">
      <c r="A809" s="7" t="s">
        <v>2284</v>
      </c>
      <c r="B809" s="8" t="s">
        <v>3117</v>
      </c>
      <c r="C809" s="7" t="s">
        <v>103</v>
      </c>
      <c r="D809" s="7" t="s">
        <v>3128</v>
      </c>
      <c r="E809" s="7"/>
      <c r="F809" s="7" t="s">
        <v>16</v>
      </c>
    </row>
    <row r="810" ht="22.5" customHeight="1">
      <c r="A810" s="7" t="s">
        <v>2452</v>
      </c>
      <c r="B810" s="8" t="s">
        <v>3129</v>
      </c>
      <c r="C810" s="7" t="s">
        <v>30</v>
      </c>
      <c r="D810" s="7" t="s">
        <v>3130</v>
      </c>
      <c r="E810" s="7"/>
      <c r="F810" s="7" t="s">
        <v>16</v>
      </c>
    </row>
    <row r="811" ht="22.5" customHeight="1">
      <c r="A811" s="7" t="s">
        <v>2452</v>
      </c>
      <c r="B811" s="8" t="s">
        <v>3129</v>
      </c>
      <c r="C811" s="7" t="s">
        <v>36</v>
      </c>
      <c r="D811" s="7" t="s">
        <v>3131</v>
      </c>
      <c r="E811" s="7"/>
      <c r="F811" s="7" t="s">
        <v>16</v>
      </c>
    </row>
    <row r="812" ht="22.5" customHeight="1">
      <c r="A812" s="7" t="s">
        <v>2452</v>
      </c>
      <c r="B812" s="8" t="s">
        <v>3129</v>
      </c>
      <c r="C812" s="7" t="s">
        <v>230</v>
      </c>
      <c r="D812" s="7" t="s">
        <v>3132</v>
      </c>
      <c r="E812" s="7"/>
      <c r="F812" s="7" t="s">
        <v>16</v>
      </c>
    </row>
    <row r="813" ht="22.5" customHeight="1">
      <c r="A813" s="7" t="s">
        <v>2452</v>
      </c>
      <c r="B813" s="8" t="s">
        <v>3129</v>
      </c>
      <c r="C813" s="7" t="s">
        <v>38</v>
      </c>
      <c r="D813" s="7" t="s">
        <v>3133</v>
      </c>
      <c r="E813" s="7"/>
      <c r="F813" s="7" t="s">
        <v>16</v>
      </c>
    </row>
    <row r="814" ht="22.5" customHeight="1">
      <c r="A814" s="7" t="s">
        <v>2452</v>
      </c>
      <c r="B814" s="8" t="s">
        <v>3129</v>
      </c>
      <c r="C814" s="7" t="s">
        <v>233</v>
      </c>
      <c r="D814" s="7" t="s">
        <v>3134</v>
      </c>
      <c r="E814" s="7"/>
      <c r="F814" s="7" t="s">
        <v>16</v>
      </c>
    </row>
    <row r="815" ht="22.5" customHeight="1">
      <c r="A815" s="7" t="s">
        <v>2452</v>
      </c>
      <c r="B815" s="8" t="s">
        <v>3129</v>
      </c>
      <c r="C815" s="7" t="s">
        <v>40</v>
      </c>
      <c r="D815" s="7" t="s">
        <v>3135</v>
      </c>
      <c r="E815" s="7"/>
      <c r="F815" s="7" t="s">
        <v>16</v>
      </c>
    </row>
    <row r="816" ht="22.5" customHeight="1">
      <c r="A816" s="7" t="s">
        <v>2452</v>
      </c>
      <c r="B816" s="8" t="s">
        <v>3129</v>
      </c>
      <c r="C816" s="7" t="s">
        <v>236</v>
      </c>
      <c r="D816" s="7" t="s">
        <v>3136</v>
      </c>
      <c r="E816" s="7"/>
      <c r="F816" s="7" t="s">
        <v>16</v>
      </c>
    </row>
    <row r="817" ht="22.5" customHeight="1">
      <c r="A817" s="7" t="s">
        <v>2452</v>
      </c>
      <c r="B817" s="8" t="s">
        <v>3129</v>
      </c>
      <c r="C817" s="7" t="s">
        <v>43</v>
      </c>
      <c r="D817" s="7" t="s">
        <v>3137</v>
      </c>
      <c r="E817" s="7"/>
      <c r="F817" s="7" t="s">
        <v>16</v>
      </c>
    </row>
    <row r="818" ht="22.5" customHeight="1">
      <c r="A818" s="7" t="s">
        <v>2452</v>
      </c>
      <c r="B818" s="8" t="s">
        <v>3129</v>
      </c>
      <c r="C818" s="7" t="s">
        <v>239</v>
      </c>
      <c r="D818" s="7" t="s">
        <v>3138</v>
      </c>
      <c r="E818" s="7"/>
      <c r="F818" s="7" t="s">
        <v>16</v>
      </c>
    </row>
    <row r="819" ht="22.5" customHeight="1">
      <c r="A819" s="7" t="s">
        <v>2452</v>
      </c>
      <c r="B819" s="8" t="s">
        <v>3129</v>
      </c>
      <c r="C819" s="7" t="s">
        <v>103</v>
      </c>
      <c r="D819" s="7" t="s">
        <v>3139</v>
      </c>
      <c r="E819" s="7"/>
      <c r="F819" s="7" t="s">
        <v>16</v>
      </c>
    </row>
    <row r="820" ht="22.5" customHeight="1">
      <c r="A820" s="7" t="s">
        <v>2295</v>
      </c>
      <c r="B820" s="8" t="s">
        <v>3140</v>
      </c>
      <c r="C820" s="7" t="s">
        <v>30</v>
      </c>
      <c r="D820" s="7" t="s">
        <v>3141</v>
      </c>
      <c r="E820" s="7"/>
      <c r="F820" s="7" t="s">
        <v>16</v>
      </c>
    </row>
    <row r="821" ht="22.5" customHeight="1">
      <c r="A821" s="7" t="s">
        <v>2295</v>
      </c>
      <c r="B821" s="8" t="s">
        <v>3140</v>
      </c>
      <c r="C821" s="7" t="s">
        <v>36</v>
      </c>
      <c r="D821" s="7" t="s">
        <v>3142</v>
      </c>
      <c r="E821" s="7"/>
      <c r="F821" s="7" t="s">
        <v>16</v>
      </c>
    </row>
    <row r="822" ht="22.5" customHeight="1">
      <c r="A822" s="7" t="s">
        <v>2295</v>
      </c>
      <c r="B822" s="8" t="s">
        <v>3140</v>
      </c>
      <c r="C822" s="7" t="s">
        <v>38</v>
      </c>
      <c r="D822" s="7" t="s">
        <v>3143</v>
      </c>
      <c r="E822" s="7"/>
      <c r="F822" s="7" t="s">
        <v>16</v>
      </c>
    </row>
    <row r="823" ht="22.5" customHeight="1">
      <c r="A823" s="7" t="s">
        <v>2295</v>
      </c>
      <c r="B823" s="8" t="s">
        <v>3140</v>
      </c>
      <c r="C823" s="7" t="s">
        <v>40</v>
      </c>
      <c r="D823" s="7" t="s">
        <v>3144</v>
      </c>
      <c r="E823" s="7"/>
      <c r="F823" s="7" t="s">
        <v>16</v>
      </c>
    </row>
    <row r="824" ht="22.5" customHeight="1">
      <c r="A824" s="7" t="s">
        <v>2295</v>
      </c>
      <c r="B824" s="8" t="s">
        <v>3140</v>
      </c>
      <c r="C824" s="7" t="s">
        <v>43</v>
      </c>
      <c r="D824" s="7" t="s">
        <v>3145</v>
      </c>
      <c r="E824" s="7"/>
      <c r="F824" s="7" t="s">
        <v>16</v>
      </c>
    </row>
    <row r="825" ht="22.5" customHeight="1">
      <c r="A825" s="7" t="s">
        <v>2295</v>
      </c>
      <c r="B825" s="8" t="s">
        <v>3140</v>
      </c>
      <c r="C825" s="7" t="s">
        <v>43</v>
      </c>
      <c r="D825" s="7" t="s">
        <v>3146</v>
      </c>
      <c r="E825" s="7" t="s">
        <v>48</v>
      </c>
      <c r="F825" s="7" t="s">
        <v>16</v>
      </c>
    </row>
    <row r="826" ht="22.5" customHeight="1">
      <c r="A826" s="7" t="s">
        <v>2452</v>
      </c>
      <c r="B826" s="8" t="s">
        <v>3147</v>
      </c>
      <c r="C826" s="7" t="s">
        <v>40</v>
      </c>
      <c r="D826" s="7" t="s">
        <v>3148</v>
      </c>
      <c r="E826" s="7"/>
      <c r="F826" s="7" t="s">
        <v>16</v>
      </c>
    </row>
    <row r="827" ht="22.5" customHeight="1">
      <c r="A827" s="7" t="s">
        <v>2452</v>
      </c>
      <c r="B827" s="8" t="s">
        <v>3147</v>
      </c>
      <c r="C827" s="7" t="s">
        <v>236</v>
      </c>
      <c r="D827" s="7" t="s">
        <v>3149</v>
      </c>
      <c r="E827" s="7"/>
      <c r="F827" s="7" t="s">
        <v>16</v>
      </c>
    </row>
    <row r="828" ht="22.5" customHeight="1">
      <c r="A828" s="7" t="s">
        <v>2452</v>
      </c>
      <c r="B828" s="8" t="s">
        <v>3147</v>
      </c>
      <c r="C828" s="7" t="s">
        <v>43</v>
      </c>
      <c r="D828" s="7" t="s">
        <v>3150</v>
      </c>
      <c r="E828" s="7"/>
      <c r="F828" s="7" t="s">
        <v>16</v>
      </c>
    </row>
    <row r="829" ht="22.5" customHeight="1">
      <c r="A829" s="7" t="s">
        <v>2452</v>
      </c>
      <c r="B829" s="8" t="s">
        <v>3147</v>
      </c>
      <c r="C829" s="7" t="s">
        <v>239</v>
      </c>
      <c r="D829" s="7" t="s">
        <v>3151</v>
      </c>
      <c r="E829" s="7"/>
      <c r="F829" s="7" t="s">
        <v>16</v>
      </c>
    </row>
    <row r="830" ht="22.5" customHeight="1">
      <c r="A830" s="7" t="s">
        <v>2452</v>
      </c>
      <c r="B830" s="8" t="s">
        <v>3147</v>
      </c>
      <c r="C830" s="7" t="s">
        <v>103</v>
      </c>
      <c r="D830" s="7" t="s">
        <v>3152</v>
      </c>
      <c r="E830" s="7"/>
      <c r="F830" s="7" t="s">
        <v>16</v>
      </c>
    </row>
    <row r="831" ht="22.5" customHeight="1">
      <c r="A831" s="7" t="s">
        <v>2452</v>
      </c>
      <c r="B831" s="8" t="s">
        <v>3153</v>
      </c>
      <c r="C831" s="7" t="s">
        <v>30</v>
      </c>
      <c r="D831" s="7" t="s">
        <v>3154</v>
      </c>
      <c r="E831" s="7"/>
      <c r="F831" s="7" t="s">
        <v>16</v>
      </c>
    </row>
    <row r="832" ht="22.5" customHeight="1">
      <c r="A832" s="7" t="s">
        <v>2452</v>
      </c>
      <c r="B832" s="8" t="s">
        <v>3153</v>
      </c>
      <c r="C832" s="7" t="s">
        <v>36</v>
      </c>
      <c r="D832" s="7" t="s">
        <v>3155</v>
      </c>
      <c r="E832" s="7"/>
      <c r="F832" s="7" t="s">
        <v>16</v>
      </c>
    </row>
    <row r="833" ht="22.5" customHeight="1">
      <c r="A833" s="7" t="s">
        <v>2452</v>
      </c>
      <c r="B833" s="8" t="s">
        <v>3153</v>
      </c>
      <c r="C833" s="7" t="s">
        <v>38</v>
      </c>
      <c r="D833" s="7" t="s">
        <v>3156</v>
      </c>
      <c r="E833" s="7"/>
      <c r="F833" s="7" t="s">
        <v>16</v>
      </c>
    </row>
    <row r="834" ht="22.5" customHeight="1">
      <c r="A834" s="7" t="s">
        <v>2452</v>
      </c>
      <c r="B834" s="8" t="s">
        <v>3153</v>
      </c>
      <c r="C834" s="7" t="s">
        <v>40</v>
      </c>
      <c r="D834" s="7" t="s">
        <v>3157</v>
      </c>
      <c r="E834" s="7"/>
      <c r="F834" s="7" t="s">
        <v>16</v>
      </c>
    </row>
    <row r="835" ht="22.5" customHeight="1">
      <c r="A835" s="7" t="s">
        <v>2452</v>
      </c>
      <c r="B835" s="8" t="s">
        <v>3153</v>
      </c>
      <c r="C835" s="7" t="s">
        <v>236</v>
      </c>
      <c r="D835" s="7" t="s">
        <v>3158</v>
      </c>
      <c r="E835" s="7"/>
      <c r="F835" s="7" t="s">
        <v>16</v>
      </c>
    </row>
    <row r="836" ht="22.5" customHeight="1">
      <c r="A836" s="7" t="s">
        <v>2452</v>
      </c>
      <c r="B836" s="8" t="s">
        <v>3153</v>
      </c>
      <c r="C836" s="7" t="s">
        <v>43</v>
      </c>
      <c r="D836" s="7" t="s">
        <v>3159</v>
      </c>
      <c r="E836" s="7"/>
      <c r="F836" s="7" t="s">
        <v>16</v>
      </c>
    </row>
    <row r="837" ht="22.5" customHeight="1">
      <c r="A837" s="7" t="s">
        <v>2452</v>
      </c>
      <c r="B837" s="8" t="s">
        <v>3153</v>
      </c>
      <c r="C837" s="7" t="s">
        <v>239</v>
      </c>
      <c r="D837" s="7" t="s">
        <v>3160</v>
      </c>
      <c r="E837" s="7"/>
      <c r="F837" s="7" t="s">
        <v>16</v>
      </c>
    </row>
    <row r="838" ht="22.5" customHeight="1">
      <c r="A838" s="7" t="s">
        <v>2452</v>
      </c>
      <c r="B838" s="8" t="s">
        <v>3153</v>
      </c>
      <c r="C838" s="7" t="s">
        <v>103</v>
      </c>
      <c r="D838" s="7" t="s">
        <v>3161</v>
      </c>
      <c r="E838" s="7"/>
      <c r="F838" s="7" t="s">
        <v>16</v>
      </c>
    </row>
    <row r="839" ht="22.5" customHeight="1">
      <c r="A839" s="7" t="s">
        <v>2380</v>
      </c>
      <c r="B839" s="8" t="s">
        <v>3162</v>
      </c>
      <c r="C839" s="7" t="s">
        <v>30</v>
      </c>
      <c r="D839" s="7" t="s">
        <v>3163</v>
      </c>
      <c r="E839" s="7"/>
      <c r="F839" s="7" t="s">
        <v>16</v>
      </c>
    </row>
    <row r="840" ht="22.5" customHeight="1">
      <c r="A840" s="7" t="s">
        <v>2380</v>
      </c>
      <c r="B840" s="8" t="s">
        <v>3162</v>
      </c>
      <c r="C840" s="7" t="s">
        <v>30</v>
      </c>
      <c r="D840" s="7" t="s">
        <v>3164</v>
      </c>
      <c r="E840" s="7"/>
      <c r="F840" s="7" t="s">
        <v>16</v>
      </c>
    </row>
    <row r="841" ht="22.5" customHeight="1">
      <c r="A841" s="7" t="s">
        <v>2380</v>
      </c>
      <c r="B841" s="8" t="s">
        <v>3162</v>
      </c>
      <c r="C841" s="7" t="s">
        <v>36</v>
      </c>
      <c r="D841" s="7" t="s">
        <v>3165</v>
      </c>
      <c r="E841" s="7"/>
      <c r="F841" s="7" t="s">
        <v>16</v>
      </c>
    </row>
    <row r="842" ht="22.5" customHeight="1">
      <c r="A842" s="7" t="s">
        <v>2380</v>
      </c>
      <c r="B842" s="8" t="s">
        <v>3162</v>
      </c>
      <c r="C842" s="7" t="s">
        <v>36</v>
      </c>
      <c r="D842" s="7" t="s">
        <v>3166</v>
      </c>
      <c r="E842" s="7"/>
      <c r="F842" s="7" t="s">
        <v>16</v>
      </c>
    </row>
    <row r="843" ht="22.5" customHeight="1">
      <c r="A843" s="7" t="s">
        <v>2380</v>
      </c>
      <c r="B843" s="8" t="s">
        <v>3162</v>
      </c>
      <c r="C843" s="7" t="s">
        <v>38</v>
      </c>
      <c r="D843" s="7" t="s">
        <v>3167</v>
      </c>
      <c r="E843" s="7"/>
      <c r="F843" s="7" t="s">
        <v>16</v>
      </c>
    </row>
    <row r="844" ht="22.5" customHeight="1">
      <c r="A844" s="7" t="s">
        <v>2380</v>
      </c>
      <c r="B844" s="8" t="s">
        <v>3162</v>
      </c>
      <c r="C844" s="7" t="s">
        <v>38</v>
      </c>
      <c r="D844" s="7" t="s">
        <v>3168</v>
      </c>
      <c r="E844" s="7"/>
      <c r="F844" s="7" t="s">
        <v>16</v>
      </c>
    </row>
    <row r="845" ht="22.5" customHeight="1">
      <c r="A845" s="7" t="s">
        <v>2380</v>
      </c>
      <c r="B845" s="8" t="s">
        <v>3162</v>
      </c>
      <c r="C845" s="7" t="s">
        <v>233</v>
      </c>
      <c r="D845" s="7" t="s">
        <v>3169</v>
      </c>
      <c r="E845" s="7"/>
      <c r="F845" s="7" t="s">
        <v>16</v>
      </c>
    </row>
    <row r="846" ht="22.5" customHeight="1">
      <c r="A846" s="7" t="s">
        <v>2380</v>
      </c>
      <c r="B846" s="8" t="s">
        <v>3162</v>
      </c>
      <c r="C846" s="7" t="s">
        <v>233</v>
      </c>
      <c r="D846" s="7" t="s">
        <v>3170</v>
      </c>
      <c r="E846" s="7"/>
      <c r="F846" s="7" t="s">
        <v>16</v>
      </c>
    </row>
    <row r="847" ht="22.5" customHeight="1">
      <c r="A847" s="7" t="s">
        <v>2380</v>
      </c>
      <c r="B847" s="8" t="s">
        <v>3162</v>
      </c>
      <c r="C847" s="7" t="s">
        <v>40</v>
      </c>
      <c r="D847" s="7" t="s">
        <v>3171</v>
      </c>
      <c r="E847" s="7"/>
      <c r="F847" s="7" t="s">
        <v>16</v>
      </c>
    </row>
    <row r="848" ht="22.5" customHeight="1">
      <c r="A848" s="7" t="s">
        <v>2380</v>
      </c>
      <c r="B848" s="8" t="s">
        <v>3162</v>
      </c>
      <c r="C848" s="7" t="s">
        <v>40</v>
      </c>
      <c r="D848" s="7" t="s">
        <v>3172</v>
      </c>
      <c r="E848" s="7"/>
      <c r="F848" s="7" t="s">
        <v>16</v>
      </c>
    </row>
    <row r="849" ht="22.5" customHeight="1">
      <c r="A849" s="7" t="s">
        <v>2380</v>
      </c>
      <c r="B849" s="8" t="s">
        <v>3162</v>
      </c>
      <c r="C849" s="7" t="s">
        <v>236</v>
      </c>
      <c r="D849" s="7" t="s">
        <v>3173</v>
      </c>
      <c r="E849" s="7"/>
      <c r="F849" s="7" t="s">
        <v>16</v>
      </c>
    </row>
    <row r="850" ht="22.5" customHeight="1">
      <c r="A850" s="7" t="s">
        <v>2380</v>
      </c>
      <c r="B850" s="8" t="s">
        <v>3162</v>
      </c>
      <c r="C850" s="7" t="s">
        <v>236</v>
      </c>
      <c r="D850" s="7" t="s">
        <v>3174</v>
      </c>
      <c r="E850" s="7"/>
      <c r="F850" s="7" t="s">
        <v>16</v>
      </c>
    </row>
    <row r="851" ht="22.5" customHeight="1">
      <c r="A851" s="7" t="s">
        <v>2380</v>
      </c>
      <c r="B851" s="8" t="s">
        <v>3162</v>
      </c>
      <c r="C851" s="7" t="s">
        <v>43</v>
      </c>
      <c r="D851" s="7" t="s">
        <v>3175</v>
      </c>
      <c r="E851" s="7"/>
      <c r="F851" s="7" t="s">
        <v>16</v>
      </c>
    </row>
    <row r="852" ht="22.5" customHeight="1">
      <c r="A852" s="7" t="s">
        <v>2380</v>
      </c>
      <c r="B852" s="8" t="s">
        <v>3162</v>
      </c>
      <c r="C852" s="7" t="s">
        <v>43</v>
      </c>
      <c r="D852" s="7" t="s">
        <v>3176</v>
      </c>
      <c r="E852" s="7"/>
      <c r="F852" s="7" t="s">
        <v>16</v>
      </c>
    </row>
    <row r="853" ht="22.5" customHeight="1">
      <c r="A853" s="7" t="s">
        <v>2380</v>
      </c>
      <c r="B853" s="8" t="s">
        <v>3162</v>
      </c>
      <c r="C853" s="7" t="s">
        <v>239</v>
      </c>
      <c r="D853" s="7" t="s">
        <v>3177</v>
      </c>
      <c r="E853" s="7"/>
      <c r="F853" s="7" t="s">
        <v>16</v>
      </c>
    </row>
    <row r="854" ht="22.5" customHeight="1">
      <c r="A854" s="7" t="s">
        <v>2380</v>
      </c>
      <c r="B854" s="8" t="s">
        <v>3162</v>
      </c>
      <c r="C854" s="7" t="s">
        <v>239</v>
      </c>
      <c r="D854" s="7" t="s">
        <v>3178</v>
      </c>
      <c r="E854" s="7"/>
      <c r="F854" s="7" t="s">
        <v>16</v>
      </c>
    </row>
    <row r="855" ht="22.5" customHeight="1">
      <c r="A855" s="7" t="s">
        <v>2380</v>
      </c>
      <c r="B855" s="8" t="s">
        <v>3162</v>
      </c>
      <c r="C855" s="7" t="s">
        <v>103</v>
      </c>
      <c r="D855" s="7" t="s">
        <v>3179</v>
      </c>
      <c r="E855" s="7"/>
      <c r="F855" s="7" t="s">
        <v>16</v>
      </c>
    </row>
    <row r="856" ht="22.5" customHeight="1">
      <c r="A856" s="7" t="s">
        <v>2380</v>
      </c>
      <c r="B856" s="8" t="s">
        <v>3162</v>
      </c>
      <c r="C856" s="7" t="s">
        <v>103</v>
      </c>
      <c r="D856" s="7" t="s">
        <v>3180</v>
      </c>
      <c r="E856" s="7"/>
      <c r="F856" s="7" t="s">
        <v>16</v>
      </c>
    </row>
    <row r="857" ht="22.5" customHeight="1">
      <c r="A857" s="7" t="s">
        <v>2452</v>
      </c>
      <c r="B857" s="8" t="s">
        <v>3181</v>
      </c>
      <c r="C857" s="7" t="s">
        <v>40</v>
      </c>
      <c r="D857" s="7" t="s">
        <v>3182</v>
      </c>
      <c r="E857" s="7" t="s">
        <v>48</v>
      </c>
      <c r="F857" s="7" t="s">
        <v>1917</v>
      </c>
    </row>
    <row r="858" ht="22.5" customHeight="1">
      <c r="A858" s="7" t="s">
        <v>2452</v>
      </c>
      <c r="B858" s="8" t="s">
        <v>3181</v>
      </c>
      <c r="C858" s="7" t="s">
        <v>236</v>
      </c>
      <c r="D858" s="7" t="s">
        <v>3183</v>
      </c>
      <c r="E858" s="7" t="s">
        <v>48</v>
      </c>
      <c r="F858" s="7" t="s">
        <v>1917</v>
      </c>
    </row>
    <row r="859" ht="22.5" customHeight="1">
      <c r="A859" s="7" t="s">
        <v>2452</v>
      </c>
      <c r="B859" s="8" t="s">
        <v>3181</v>
      </c>
      <c r="C859" s="7" t="s">
        <v>43</v>
      </c>
      <c r="D859" s="7" t="s">
        <v>3184</v>
      </c>
      <c r="E859" s="7" t="s">
        <v>48</v>
      </c>
      <c r="F859" s="7" t="s">
        <v>1917</v>
      </c>
    </row>
    <row r="860" ht="22.5" customHeight="1">
      <c r="A860" s="7" t="s">
        <v>2452</v>
      </c>
      <c r="B860" s="8" t="s">
        <v>3181</v>
      </c>
      <c r="C860" s="7" t="s">
        <v>239</v>
      </c>
      <c r="D860" s="7" t="s">
        <v>3185</v>
      </c>
      <c r="E860" s="7" t="s">
        <v>48</v>
      </c>
      <c r="F860" s="7" t="s">
        <v>1917</v>
      </c>
    </row>
    <row r="861" ht="22.5" customHeight="1">
      <c r="A861" s="7" t="s">
        <v>2452</v>
      </c>
      <c r="B861" s="8" t="s">
        <v>3181</v>
      </c>
      <c r="C861" s="7" t="s">
        <v>103</v>
      </c>
      <c r="D861" s="7" t="s">
        <v>3186</v>
      </c>
      <c r="E861" s="7" t="s">
        <v>48</v>
      </c>
      <c r="F861" s="7" t="s">
        <v>1917</v>
      </c>
    </row>
    <row r="862" ht="22.5" customHeight="1">
      <c r="A862" s="7" t="s">
        <v>2295</v>
      </c>
      <c r="B862" s="8" t="s">
        <v>3187</v>
      </c>
      <c r="C862" s="7" t="s">
        <v>30</v>
      </c>
      <c r="D862" s="7" t="s">
        <v>3188</v>
      </c>
      <c r="E862" s="7" t="s">
        <v>16</v>
      </c>
      <c r="F862" s="7" t="s">
        <v>16</v>
      </c>
    </row>
    <row r="863" ht="22.5" customHeight="1">
      <c r="A863" s="7" t="s">
        <v>2295</v>
      </c>
      <c r="B863" s="8" t="s">
        <v>3187</v>
      </c>
      <c r="C863" s="7" t="s">
        <v>38</v>
      </c>
      <c r="D863" s="7" t="s">
        <v>3189</v>
      </c>
      <c r="E863" s="7" t="s">
        <v>16</v>
      </c>
      <c r="F863" s="7" t="s">
        <v>16</v>
      </c>
    </row>
    <row r="864" ht="22.5" customHeight="1">
      <c r="A864" s="7" t="s">
        <v>2295</v>
      </c>
      <c r="B864" s="8" t="s">
        <v>3187</v>
      </c>
      <c r="C864" s="7" t="s">
        <v>40</v>
      </c>
      <c r="D864" s="7" t="s">
        <v>3190</v>
      </c>
      <c r="E864" s="7" t="s">
        <v>16</v>
      </c>
      <c r="F864" s="7" t="s">
        <v>16</v>
      </c>
    </row>
    <row r="865" ht="22.5" customHeight="1">
      <c r="A865" s="7" t="s">
        <v>2295</v>
      </c>
      <c r="B865" s="8" t="s">
        <v>3187</v>
      </c>
      <c r="C865" s="7" t="s">
        <v>43</v>
      </c>
      <c r="D865" s="7" t="s">
        <v>3191</v>
      </c>
      <c r="E865" s="7" t="s">
        <v>16</v>
      </c>
      <c r="F865" s="7" t="s">
        <v>16</v>
      </c>
    </row>
    <row r="866" ht="22.5" customHeight="1">
      <c r="A866" s="7" t="s">
        <v>2295</v>
      </c>
      <c r="B866" s="8" t="s">
        <v>3187</v>
      </c>
      <c r="C866" s="7" t="s">
        <v>43</v>
      </c>
      <c r="D866" s="7" t="s">
        <v>3192</v>
      </c>
      <c r="E866" s="7" t="s">
        <v>48</v>
      </c>
      <c r="F866" s="7" t="s">
        <v>16</v>
      </c>
    </row>
    <row r="867" ht="22.5" customHeight="1">
      <c r="A867" s="7" t="s">
        <v>2624</v>
      </c>
      <c r="B867" s="8" t="s">
        <v>3193</v>
      </c>
      <c r="C867" s="7" t="s">
        <v>36</v>
      </c>
      <c r="D867" s="7" t="s">
        <v>3194</v>
      </c>
      <c r="E867" s="7"/>
      <c r="F867" s="7" t="s">
        <v>16</v>
      </c>
    </row>
    <row r="868" ht="22.5" customHeight="1">
      <c r="A868" s="7" t="s">
        <v>2624</v>
      </c>
      <c r="B868" s="8" t="s">
        <v>3193</v>
      </c>
      <c r="C868" s="7" t="s">
        <v>36</v>
      </c>
      <c r="D868" s="7" t="s">
        <v>3195</v>
      </c>
      <c r="E868" s="7"/>
      <c r="F868" s="7" t="s">
        <v>16</v>
      </c>
    </row>
    <row r="869" ht="22.5" customHeight="1">
      <c r="A869" s="7" t="s">
        <v>2624</v>
      </c>
      <c r="B869" s="8" t="s">
        <v>3193</v>
      </c>
      <c r="C869" s="7" t="s">
        <v>230</v>
      </c>
      <c r="D869" s="7" t="s">
        <v>3196</v>
      </c>
      <c r="E869" s="7"/>
      <c r="F869" s="7" t="s">
        <v>16</v>
      </c>
    </row>
    <row r="870" ht="22.5" customHeight="1">
      <c r="A870" s="7" t="s">
        <v>2624</v>
      </c>
      <c r="B870" s="8" t="s">
        <v>3193</v>
      </c>
      <c r="C870" s="7" t="s">
        <v>38</v>
      </c>
      <c r="D870" s="7" t="s">
        <v>3197</v>
      </c>
      <c r="E870" s="7"/>
      <c r="F870" s="7" t="s">
        <v>16</v>
      </c>
    </row>
    <row r="871" ht="22.5" customHeight="1">
      <c r="A871" s="7" t="s">
        <v>2624</v>
      </c>
      <c r="B871" s="8" t="s">
        <v>3193</v>
      </c>
      <c r="C871" s="7" t="s">
        <v>233</v>
      </c>
      <c r="D871" s="7" t="s">
        <v>3198</v>
      </c>
      <c r="E871" s="7"/>
      <c r="F871" s="7" t="s">
        <v>16</v>
      </c>
    </row>
    <row r="872" ht="22.5" customHeight="1">
      <c r="A872" s="7" t="s">
        <v>2624</v>
      </c>
      <c r="B872" s="8" t="s">
        <v>3193</v>
      </c>
      <c r="C872" s="7" t="s">
        <v>40</v>
      </c>
      <c r="D872" s="7" t="s">
        <v>3199</v>
      </c>
      <c r="E872" s="7"/>
      <c r="F872" s="7" t="s">
        <v>16</v>
      </c>
    </row>
    <row r="873" ht="22.5" customHeight="1">
      <c r="A873" s="7" t="s">
        <v>2624</v>
      </c>
      <c r="B873" s="8" t="s">
        <v>3193</v>
      </c>
      <c r="C873" s="7" t="s">
        <v>236</v>
      </c>
      <c r="D873" s="7" t="s">
        <v>3200</v>
      </c>
      <c r="E873" s="7"/>
      <c r="F873" s="7" t="s">
        <v>16</v>
      </c>
    </row>
    <row r="874" ht="22.5" customHeight="1">
      <c r="A874" s="7" t="s">
        <v>2624</v>
      </c>
      <c r="B874" s="8" t="s">
        <v>3193</v>
      </c>
      <c r="C874" s="7" t="s">
        <v>43</v>
      </c>
      <c r="D874" s="7" t="s">
        <v>3201</v>
      </c>
      <c r="E874" s="7"/>
      <c r="F874" s="7" t="s">
        <v>16</v>
      </c>
    </row>
    <row r="875" ht="22.5" customHeight="1">
      <c r="A875" s="7" t="s">
        <v>2624</v>
      </c>
      <c r="B875" s="8" t="s">
        <v>3193</v>
      </c>
      <c r="C875" s="7" t="s">
        <v>239</v>
      </c>
      <c r="D875" s="7" t="s">
        <v>3202</v>
      </c>
      <c r="E875" s="7"/>
      <c r="F875" s="7" t="s">
        <v>16</v>
      </c>
    </row>
    <row r="876" ht="22.5" customHeight="1">
      <c r="A876" s="7" t="s">
        <v>2624</v>
      </c>
      <c r="B876" s="8" t="s">
        <v>3193</v>
      </c>
      <c r="C876" s="7" t="s">
        <v>103</v>
      </c>
      <c r="D876" s="7" t="s">
        <v>3203</v>
      </c>
      <c r="E876" s="7"/>
      <c r="F876" s="7" t="s">
        <v>16</v>
      </c>
    </row>
    <row r="877" ht="22.5" customHeight="1">
      <c r="A877" s="7" t="s">
        <v>2452</v>
      </c>
      <c r="B877" s="8" t="s">
        <v>3204</v>
      </c>
      <c r="C877" s="7" t="s">
        <v>30</v>
      </c>
      <c r="D877" s="7" t="s">
        <v>3205</v>
      </c>
      <c r="E877" s="7"/>
      <c r="F877" s="7" t="s">
        <v>16</v>
      </c>
    </row>
    <row r="878" ht="22.5" customHeight="1">
      <c r="A878" s="7" t="s">
        <v>2452</v>
      </c>
      <c r="B878" s="8" t="s">
        <v>3204</v>
      </c>
      <c r="C878" s="7" t="s">
        <v>30</v>
      </c>
      <c r="D878" s="7" t="s">
        <v>3206</v>
      </c>
      <c r="E878" s="7"/>
      <c r="F878" s="7" t="s">
        <v>16</v>
      </c>
    </row>
    <row r="879" ht="22.5" customHeight="1">
      <c r="A879" s="7" t="s">
        <v>2452</v>
      </c>
      <c r="B879" s="8" t="s">
        <v>3204</v>
      </c>
      <c r="C879" s="7" t="s">
        <v>598</v>
      </c>
      <c r="D879" s="7" t="s">
        <v>3207</v>
      </c>
      <c r="E879" s="7"/>
      <c r="F879" s="7" t="s">
        <v>16</v>
      </c>
    </row>
    <row r="880" ht="22.5" customHeight="1">
      <c r="A880" s="7" t="s">
        <v>2452</v>
      </c>
      <c r="B880" s="8" t="s">
        <v>3204</v>
      </c>
      <c r="C880" s="7" t="s">
        <v>36</v>
      </c>
      <c r="D880" s="7" t="s">
        <v>3208</v>
      </c>
      <c r="E880" s="7"/>
      <c r="F880" s="7" t="s">
        <v>16</v>
      </c>
    </row>
    <row r="881" ht="22.5" customHeight="1">
      <c r="A881" s="7" t="s">
        <v>2452</v>
      </c>
      <c r="B881" s="8" t="s">
        <v>3204</v>
      </c>
      <c r="C881" s="7" t="s">
        <v>230</v>
      </c>
      <c r="D881" s="7" t="s">
        <v>3209</v>
      </c>
      <c r="E881" s="7"/>
      <c r="F881" s="7" t="s">
        <v>16</v>
      </c>
    </row>
    <row r="882" ht="22.5" customHeight="1">
      <c r="A882" s="7" t="s">
        <v>2452</v>
      </c>
      <c r="B882" s="8" t="s">
        <v>3204</v>
      </c>
      <c r="C882" s="7" t="s">
        <v>38</v>
      </c>
      <c r="D882" s="7" t="s">
        <v>3210</v>
      </c>
      <c r="E882" s="7"/>
      <c r="F882" s="7" t="s">
        <v>16</v>
      </c>
    </row>
    <row r="883" ht="22.5" customHeight="1">
      <c r="A883" s="7" t="s">
        <v>2452</v>
      </c>
      <c r="B883" s="8" t="s">
        <v>3204</v>
      </c>
      <c r="C883" s="7" t="s">
        <v>233</v>
      </c>
      <c r="D883" s="7" t="s">
        <v>3211</v>
      </c>
      <c r="E883" s="7"/>
      <c r="F883" s="7" t="s">
        <v>16</v>
      </c>
    </row>
    <row r="884" ht="22.5" customHeight="1">
      <c r="A884" s="7" t="s">
        <v>2452</v>
      </c>
      <c r="B884" s="8" t="s">
        <v>3204</v>
      </c>
      <c r="C884" s="7" t="s">
        <v>40</v>
      </c>
      <c r="D884" s="7" t="s">
        <v>3212</v>
      </c>
      <c r="E884" s="7"/>
      <c r="F884" s="7" t="s">
        <v>16</v>
      </c>
    </row>
    <row r="885" ht="22.5" customHeight="1">
      <c r="A885" s="7" t="s">
        <v>2452</v>
      </c>
      <c r="B885" s="8" t="s">
        <v>3204</v>
      </c>
      <c r="C885" s="7" t="s">
        <v>236</v>
      </c>
      <c r="D885" s="7" t="s">
        <v>3213</v>
      </c>
      <c r="E885" s="7"/>
      <c r="F885" s="7" t="s">
        <v>16</v>
      </c>
    </row>
    <row r="886" ht="22.5" customHeight="1">
      <c r="A886" s="7" t="s">
        <v>2452</v>
      </c>
      <c r="B886" s="8" t="s">
        <v>3204</v>
      </c>
      <c r="C886" s="7" t="s">
        <v>43</v>
      </c>
      <c r="D886" s="7" t="s">
        <v>3214</v>
      </c>
      <c r="E886" s="7"/>
      <c r="F886" s="7" t="s">
        <v>16</v>
      </c>
    </row>
    <row r="887" ht="22.5" customHeight="1">
      <c r="A887" s="7" t="s">
        <v>2452</v>
      </c>
      <c r="B887" s="8" t="s">
        <v>3204</v>
      </c>
      <c r="C887" s="7" t="s">
        <v>239</v>
      </c>
      <c r="D887" s="7" t="s">
        <v>3215</v>
      </c>
      <c r="E887" s="7"/>
      <c r="F887" s="7" t="s">
        <v>16</v>
      </c>
    </row>
    <row r="888" ht="22.5" customHeight="1">
      <c r="A888" s="7" t="s">
        <v>2452</v>
      </c>
      <c r="B888" s="8" t="s">
        <v>3204</v>
      </c>
      <c r="C888" s="7" t="s">
        <v>103</v>
      </c>
      <c r="D888" s="7" t="s">
        <v>3216</v>
      </c>
      <c r="E888" s="7"/>
      <c r="F888" s="7" t="s">
        <v>16</v>
      </c>
    </row>
    <row r="889" ht="22.5" customHeight="1">
      <c r="A889" s="7" t="s">
        <v>2251</v>
      </c>
      <c r="B889" s="8" t="s">
        <v>3217</v>
      </c>
      <c r="C889" s="7" t="s">
        <v>38</v>
      </c>
      <c r="D889" s="7" t="s">
        <v>3218</v>
      </c>
      <c r="E889" s="7"/>
      <c r="F889" s="7" t="s">
        <v>16</v>
      </c>
    </row>
    <row r="890" ht="22.5" customHeight="1">
      <c r="A890" s="7" t="s">
        <v>2251</v>
      </c>
      <c r="B890" s="8" t="s">
        <v>3217</v>
      </c>
      <c r="C890" s="7" t="s">
        <v>233</v>
      </c>
      <c r="D890" s="7" t="s">
        <v>3219</v>
      </c>
      <c r="E890" s="7"/>
      <c r="F890" s="7" t="s">
        <v>16</v>
      </c>
    </row>
    <row r="891" ht="22.5" customHeight="1">
      <c r="A891" s="7" t="s">
        <v>2251</v>
      </c>
      <c r="B891" s="8" t="s">
        <v>3217</v>
      </c>
      <c r="C891" s="7" t="s">
        <v>40</v>
      </c>
      <c r="D891" s="7" t="s">
        <v>3220</v>
      </c>
      <c r="E891" s="7"/>
      <c r="F891" s="7" t="s">
        <v>16</v>
      </c>
    </row>
    <row r="892" ht="22.5" customHeight="1">
      <c r="A892" s="7" t="s">
        <v>2251</v>
      </c>
      <c r="B892" s="8" t="s">
        <v>3217</v>
      </c>
      <c r="C892" s="7" t="s">
        <v>236</v>
      </c>
      <c r="D892" s="7" t="s">
        <v>3221</v>
      </c>
      <c r="E892" s="7"/>
      <c r="F892" s="7" t="s">
        <v>16</v>
      </c>
    </row>
    <row r="893" ht="22.5" customHeight="1">
      <c r="A893" s="7" t="s">
        <v>2251</v>
      </c>
      <c r="B893" s="8" t="s">
        <v>3217</v>
      </c>
      <c r="C893" s="7" t="s">
        <v>43</v>
      </c>
      <c r="D893" s="7" t="s">
        <v>3222</v>
      </c>
      <c r="E893" s="7"/>
      <c r="F893" s="7" t="s">
        <v>16</v>
      </c>
    </row>
    <row r="894" ht="22.5" customHeight="1">
      <c r="A894" s="7" t="s">
        <v>2251</v>
      </c>
      <c r="B894" s="8" t="s">
        <v>3217</v>
      </c>
      <c r="C894" s="7" t="s">
        <v>239</v>
      </c>
      <c r="D894" s="7" t="s">
        <v>3223</v>
      </c>
      <c r="E894" s="7"/>
      <c r="F894" s="7" t="s">
        <v>16</v>
      </c>
    </row>
    <row r="895" ht="22.5" customHeight="1">
      <c r="A895" s="7" t="s">
        <v>2251</v>
      </c>
      <c r="B895" s="8" t="s">
        <v>3217</v>
      </c>
      <c r="C895" s="7" t="s">
        <v>103</v>
      </c>
      <c r="D895" s="7" t="s">
        <v>3224</v>
      </c>
      <c r="E895" s="7"/>
      <c r="F895" s="7" t="s">
        <v>16</v>
      </c>
    </row>
    <row r="896" ht="22.5" customHeight="1">
      <c r="A896" s="7" t="s">
        <v>2284</v>
      </c>
      <c r="B896" s="8" t="s">
        <v>3225</v>
      </c>
      <c r="C896" s="7" t="s">
        <v>43</v>
      </c>
      <c r="D896" s="7" t="s">
        <v>3226</v>
      </c>
      <c r="E896" s="7"/>
      <c r="F896" s="7" t="s">
        <v>16</v>
      </c>
    </row>
    <row r="897" ht="22.5" customHeight="1">
      <c r="A897" s="7" t="s">
        <v>2284</v>
      </c>
      <c r="B897" s="8" t="s">
        <v>3225</v>
      </c>
      <c r="C897" s="7" t="s">
        <v>239</v>
      </c>
      <c r="D897" s="7" t="s">
        <v>3227</v>
      </c>
      <c r="E897" s="7"/>
      <c r="F897" s="7" t="s">
        <v>16</v>
      </c>
    </row>
    <row r="898" ht="22.5" customHeight="1">
      <c r="A898" s="7" t="s">
        <v>2284</v>
      </c>
      <c r="B898" s="8" t="s">
        <v>3225</v>
      </c>
      <c r="C898" s="7" t="s">
        <v>103</v>
      </c>
      <c r="D898" s="7" t="s">
        <v>3228</v>
      </c>
      <c r="E898" s="7"/>
      <c r="F898" s="7" t="s">
        <v>16</v>
      </c>
    </row>
    <row r="899" ht="22.5" customHeight="1">
      <c r="A899" s="7" t="s">
        <v>2284</v>
      </c>
      <c r="B899" s="8" t="s">
        <v>3229</v>
      </c>
      <c r="C899" s="7" t="s">
        <v>40</v>
      </c>
      <c r="D899" s="7" t="s">
        <v>3230</v>
      </c>
      <c r="E899" s="7" t="s">
        <v>48</v>
      </c>
      <c r="F899" s="7" t="s">
        <v>1917</v>
      </c>
    </row>
    <row r="900" ht="22.5" customHeight="1">
      <c r="A900" s="7" t="s">
        <v>2284</v>
      </c>
      <c r="B900" s="8" t="s">
        <v>3229</v>
      </c>
      <c r="C900" s="7" t="s">
        <v>236</v>
      </c>
      <c r="D900" s="7" t="s">
        <v>3231</v>
      </c>
      <c r="E900" s="7" t="s">
        <v>48</v>
      </c>
      <c r="F900" s="7" t="s">
        <v>1917</v>
      </c>
    </row>
    <row r="901" ht="22.5" customHeight="1">
      <c r="A901" s="7" t="s">
        <v>2284</v>
      </c>
      <c r="B901" s="8" t="s">
        <v>3229</v>
      </c>
      <c r="C901" s="7" t="s">
        <v>43</v>
      </c>
      <c r="D901" s="7" t="s">
        <v>3232</v>
      </c>
      <c r="E901" s="7" t="s">
        <v>48</v>
      </c>
      <c r="F901" s="7" t="s">
        <v>1917</v>
      </c>
    </row>
    <row r="902" ht="22.5" customHeight="1">
      <c r="A902" s="7" t="s">
        <v>2284</v>
      </c>
      <c r="B902" s="8" t="s">
        <v>3229</v>
      </c>
      <c r="C902" s="7" t="s">
        <v>239</v>
      </c>
      <c r="D902" s="7" t="s">
        <v>3233</v>
      </c>
      <c r="E902" s="7" t="s">
        <v>48</v>
      </c>
      <c r="F902" s="7" t="s">
        <v>1917</v>
      </c>
    </row>
    <row r="903" ht="22.5" customHeight="1">
      <c r="A903" s="7" t="s">
        <v>2284</v>
      </c>
      <c r="B903" s="8" t="s">
        <v>3229</v>
      </c>
      <c r="C903" s="7" t="s">
        <v>103</v>
      </c>
      <c r="D903" s="7" t="s">
        <v>3234</v>
      </c>
      <c r="E903" s="7" t="s">
        <v>48</v>
      </c>
      <c r="F903" s="7" t="s">
        <v>1917</v>
      </c>
    </row>
    <row r="904" ht="22.5" customHeight="1">
      <c r="A904" s="7" t="s">
        <v>2380</v>
      </c>
      <c r="B904" s="8" t="s">
        <v>3235</v>
      </c>
      <c r="C904" s="7" t="s">
        <v>30</v>
      </c>
      <c r="D904" s="7" t="s">
        <v>3236</v>
      </c>
      <c r="E904" s="7"/>
      <c r="F904" s="7" t="s">
        <v>16</v>
      </c>
    </row>
    <row r="905" ht="22.5" customHeight="1">
      <c r="A905" s="7" t="s">
        <v>2380</v>
      </c>
      <c r="B905" s="8" t="s">
        <v>3235</v>
      </c>
      <c r="C905" s="7" t="s">
        <v>30</v>
      </c>
      <c r="D905" s="7" t="s">
        <v>3237</v>
      </c>
      <c r="E905" s="7"/>
      <c r="F905" s="7" t="s">
        <v>16</v>
      </c>
    </row>
    <row r="906" ht="22.5" customHeight="1">
      <c r="A906" s="7" t="s">
        <v>2380</v>
      </c>
      <c r="B906" s="8" t="s">
        <v>3235</v>
      </c>
      <c r="C906" s="7" t="s">
        <v>598</v>
      </c>
      <c r="D906" s="7" t="s">
        <v>3238</v>
      </c>
      <c r="E906" s="7"/>
      <c r="F906" s="7" t="s">
        <v>16</v>
      </c>
    </row>
    <row r="907" ht="22.5" customHeight="1">
      <c r="A907" s="7" t="s">
        <v>2380</v>
      </c>
      <c r="B907" s="8" t="s">
        <v>3235</v>
      </c>
      <c r="C907" s="7" t="s">
        <v>598</v>
      </c>
      <c r="D907" s="7" t="s">
        <v>3239</v>
      </c>
      <c r="E907" s="7"/>
      <c r="F907" s="7" t="s">
        <v>16</v>
      </c>
    </row>
    <row r="908" ht="22.5" customHeight="1">
      <c r="A908" s="7" t="s">
        <v>2380</v>
      </c>
      <c r="B908" s="8" t="s">
        <v>3235</v>
      </c>
      <c r="C908" s="7" t="s">
        <v>36</v>
      </c>
      <c r="D908" s="7" t="s">
        <v>3240</v>
      </c>
      <c r="E908" s="7"/>
      <c r="F908" s="7" t="s">
        <v>16</v>
      </c>
    </row>
    <row r="909" ht="22.5" customHeight="1">
      <c r="A909" s="7" t="s">
        <v>2380</v>
      </c>
      <c r="B909" s="8" t="s">
        <v>3235</v>
      </c>
      <c r="C909" s="7" t="s">
        <v>36</v>
      </c>
      <c r="D909" s="7" t="s">
        <v>3241</v>
      </c>
      <c r="E909" s="7"/>
      <c r="F909" s="7" t="s">
        <v>16</v>
      </c>
    </row>
    <row r="910" ht="22.5" customHeight="1">
      <c r="A910" s="7" t="s">
        <v>2380</v>
      </c>
      <c r="B910" s="8" t="s">
        <v>3235</v>
      </c>
      <c r="C910" s="7" t="s">
        <v>230</v>
      </c>
      <c r="D910" s="7" t="s">
        <v>3242</v>
      </c>
      <c r="E910" s="7"/>
      <c r="F910" s="7" t="s">
        <v>16</v>
      </c>
    </row>
    <row r="911" ht="22.5" customHeight="1">
      <c r="A911" s="7" t="s">
        <v>2380</v>
      </c>
      <c r="B911" s="8" t="s">
        <v>3235</v>
      </c>
      <c r="C911" s="7" t="s">
        <v>230</v>
      </c>
      <c r="D911" s="7" t="s">
        <v>3243</v>
      </c>
      <c r="E911" s="7"/>
      <c r="F911" s="7" t="s">
        <v>16</v>
      </c>
    </row>
    <row r="912" ht="22.5" customHeight="1">
      <c r="A912" s="7" t="s">
        <v>2380</v>
      </c>
      <c r="B912" s="8" t="s">
        <v>3235</v>
      </c>
      <c r="C912" s="7" t="s">
        <v>38</v>
      </c>
      <c r="D912" s="7" t="s">
        <v>3244</v>
      </c>
      <c r="E912" s="7"/>
      <c r="F912" s="7" t="s">
        <v>16</v>
      </c>
    </row>
    <row r="913" ht="22.5" customHeight="1">
      <c r="A913" s="7" t="s">
        <v>2380</v>
      </c>
      <c r="B913" s="8" t="s">
        <v>3235</v>
      </c>
      <c r="C913" s="7" t="s">
        <v>38</v>
      </c>
      <c r="D913" s="7" t="s">
        <v>3245</v>
      </c>
      <c r="E913" s="7"/>
      <c r="F913" s="7" t="s">
        <v>16</v>
      </c>
    </row>
    <row r="914" ht="22.5" customHeight="1">
      <c r="A914" s="7" t="s">
        <v>2380</v>
      </c>
      <c r="B914" s="8" t="s">
        <v>3235</v>
      </c>
      <c r="C914" s="7" t="s">
        <v>233</v>
      </c>
      <c r="D914" s="7" t="s">
        <v>3246</v>
      </c>
      <c r="E914" s="7"/>
      <c r="F914" s="7" t="s">
        <v>16</v>
      </c>
    </row>
    <row r="915" ht="22.5" customHeight="1">
      <c r="A915" s="7" t="s">
        <v>2380</v>
      </c>
      <c r="B915" s="8" t="s">
        <v>3235</v>
      </c>
      <c r="C915" s="7" t="s">
        <v>233</v>
      </c>
      <c r="D915" s="7" t="s">
        <v>3247</v>
      </c>
      <c r="E915" s="7"/>
      <c r="F915" s="7" t="s">
        <v>16</v>
      </c>
    </row>
    <row r="916" ht="22.5" customHeight="1">
      <c r="A916" s="7" t="s">
        <v>2380</v>
      </c>
      <c r="B916" s="8" t="s">
        <v>3235</v>
      </c>
      <c r="C916" s="7" t="s">
        <v>40</v>
      </c>
      <c r="D916" s="7" t="s">
        <v>3248</v>
      </c>
      <c r="E916" s="7"/>
      <c r="F916" s="7" t="s">
        <v>16</v>
      </c>
    </row>
    <row r="917" ht="22.5" customHeight="1">
      <c r="A917" s="7" t="s">
        <v>2380</v>
      </c>
      <c r="B917" s="8" t="s">
        <v>3235</v>
      </c>
      <c r="C917" s="7" t="s">
        <v>40</v>
      </c>
      <c r="D917" s="7" t="s">
        <v>3249</v>
      </c>
      <c r="E917" s="7"/>
      <c r="F917" s="7" t="s">
        <v>16</v>
      </c>
    </row>
    <row r="918" ht="22.5" customHeight="1">
      <c r="A918" s="7" t="s">
        <v>2380</v>
      </c>
      <c r="B918" s="8" t="s">
        <v>3235</v>
      </c>
      <c r="C918" s="7" t="s">
        <v>236</v>
      </c>
      <c r="D918" s="7" t="s">
        <v>3250</v>
      </c>
      <c r="E918" s="7"/>
      <c r="F918" s="7" t="s">
        <v>16</v>
      </c>
    </row>
    <row r="919" ht="22.5" customHeight="1">
      <c r="A919" s="7" t="s">
        <v>2380</v>
      </c>
      <c r="B919" s="8" t="s">
        <v>3235</v>
      </c>
      <c r="C919" s="7" t="s">
        <v>236</v>
      </c>
      <c r="D919" s="7" t="s">
        <v>3251</v>
      </c>
      <c r="E919" s="7"/>
      <c r="F919" s="7" t="s">
        <v>16</v>
      </c>
    </row>
    <row r="920" ht="22.5" customHeight="1">
      <c r="A920" s="7" t="s">
        <v>2380</v>
      </c>
      <c r="B920" s="8" t="s">
        <v>3235</v>
      </c>
      <c r="C920" s="7" t="s">
        <v>43</v>
      </c>
      <c r="D920" s="7" t="s">
        <v>3252</v>
      </c>
      <c r="E920" s="7"/>
      <c r="F920" s="7" t="s">
        <v>16</v>
      </c>
    </row>
    <row r="921" ht="22.5" customHeight="1">
      <c r="A921" s="7" t="s">
        <v>2380</v>
      </c>
      <c r="B921" s="8" t="s">
        <v>3235</v>
      </c>
      <c r="C921" s="7" t="s">
        <v>43</v>
      </c>
      <c r="D921" s="7" t="s">
        <v>3253</v>
      </c>
      <c r="E921" s="7"/>
      <c r="F921" s="7" t="s">
        <v>16</v>
      </c>
    </row>
    <row r="922" ht="22.5" customHeight="1">
      <c r="A922" s="7" t="s">
        <v>2380</v>
      </c>
      <c r="B922" s="8" t="s">
        <v>3235</v>
      </c>
      <c r="C922" s="7" t="s">
        <v>239</v>
      </c>
      <c r="D922" s="7" t="s">
        <v>3254</v>
      </c>
      <c r="E922" s="7"/>
      <c r="F922" s="7" t="s">
        <v>16</v>
      </c>
    </row>
    <row r="923" ht="22.5" customHeight="1">
      <c r="A923" s="7" t="s">
        <v>2380</v>
      </c>
      <c r="B923" s="8" t="s">
        <v>3235</v>
      </c>
      <c r="C923" s="7" t="s">
        <v>239</v>
      </c>
      <c r="D923" s="7" t="s">
        <v>3255</v>
      </c>
      <c r="E923" s="7"/>
      <c r="F923" s="7" t="s">
        <v>16</v>
      </c>
    </row>
    <row r="924" ht="22.5" customHeight="1">
      <c r="A924" s="7" t="s">
        <v>2380</v>
      </c>
      <c r="B924" s="8" t="s">
        <v>3235</v>
      </c>
      <c r="C924" s="7" t="s">
        <v>103</v>
      </c>
      <c r="D924" s="7" t="s">
        <v>3256</v>
      </c>
      <c r="E924" s="7"/>
      <c r="F924" s="7" t="s">
        <v>16</v>
      </c>
    </row>
    <row r="925" ht="22.5" customHeight="1">
      <c r="A925" s="7" t="s">
        <v>2380</v>
      </c>
      <c r="B925" s="8" t="s">
        <v>3235</v>
      </c>
      <c r="C925" s="7" t="s">
        <v>103</v>
      </c>
      <c r="D925" s="7" t="s">
        <v>3257</v>
      </c>
      <c r="E925" s="7"/>
      <c r="F925" s="7" t="s">
        <v>16</v>
      </c>
    </row>
    <row r="926" ht="22.5" customHeight="1">
      <c r="A926" s="7" t="s">
        <v>2284</v>
      </c>
      <c r="B926" s="8" t="s">
        <v>3258</v>
      </c>
      <c r="C926" s="7" t="s">
        <v>30</v>
      </c>
      <c r="D926" s="7" t="s">
        <v>3259</v>
      </c>
      <c r="E926" s="7"/>
      <c r="F926" s="7" t="s">
        <v>16</v>
      </c>
    </row>
    <row r="927" ht="22.5" customHeight="1">
      <c r="A927" s="7" t="s">
        <v>2284</v>
      </c>
      <c r="B927" s="8" t="s">
        <v>3258</v>
      </c>
      <c r="C927" s="7" t="s">
        <v>598</v>
      </c>
      <c r="D927" s="7" t="s">
        <v>3260</v>
      </c>
      <c r="E927" s="7"/>
      <c r="F927" s="7" t="s">
        <v>16</v>
      </c>
    </row>
    <row r="928" ht="22.5" customHeight="1">
      <c r="A928" s="7" t="s">
        <v>2284</v>
      </c>
      <c r="B928" s="8" t="s">
        <v>3258</v>
      </c>
      <c r="C928" s="7" t="s">
        <v>36</v>
      </c>
      <c r="D928" s="7" t="s">
        <v>3261</v>
      </c>
      <c r="E928" s="7"/>
      <c r="F928" s="7" t="s">
        <v>16</v>
      </c>
    </row>
    <row r="929" ht="22.5" customHeight="1">
      <c r="A929" s="7" t="s">
        <v>2284</v>
      </c>
      <c r="B929" s="8" t="s">
        <v>3258</v>
      </c>
      <c r="C929" s="7" t="s">
        <v>230</v>
      </c>
      <c r="D929" s="7" t="s">
        <v>3262</v>
      </c>
      <c r="E929" s="7"/>
      <c r="F929" s="7" t="s">
        <v>16</v>
      </c>
    </row>
    <row r="930" ht="22.5" customHeight="1">
      <c r="A930" s="7" t="s">
        <v>2284</v>
      </c>
      <c r="B930" s="8" t="s">
        <v>3258</v>
      </c>
      <c r="C930" s="7" t="s">
        <v>38</v>
      </c>
      <c r="D930" s="7" t="s">
        <v>3263</v>
      </c>
      <c r="E930" s="7"/>
      <c r="F930" s="7" t="s">
        <v>16</v>
      </c>
    </row>
    <row r="931" ht="22.5" customHeight="1">
      <c r="A931" s="7" t="s">
        <v>2284</v>
      </c>
      <c r="B931" s="8" t="s">
        <v>3258</v>
      </c>
      <c r="C931" s="7" t="s">
        <v>233</v>
      </c>
      <c r="D931" s="7" t="s">
        <v>3264</v>
      </c>
      <c r="E931" s="7"/>
      <c r="F931" s="7" t="s">
        <v>16</v>
      </c>
    </row>
    <row r="932" ht="22.5" customHeight="1">
      <c r="A932" s="7" t="s">
        <v>2284</v>
      </c>
      <c r="B932" s="8" t="s">
        <v>3258</v>
      </c>
      <c r="C932" s="7" t="s">
        <v>40</v>
      </c>
      <c r="D932" s="7" t="s">
        <v>3265</v>
      </c>
      <c r="E932" s="7"/>
      <c r="F932" s="7" t="s">
        <v>16</v>
      </c>
    </row>
    <row r="933" ht="22.5" customHeight="1">
      <c r="A933" s="7" t="s">
        <v>2284</v>
      </c>
      <c r="B933" s="8" t="s">
        <v>3258</v>
      </c>
      <c r="C933" s="7" t="s">
        <v>236</v>
      </c>
      <c r="D933" s="7" t="s">
        <v>3266</v>
      </c>
      <c r="E933" s="7"/>
      <c r="F933" s="7" t="s">
        <v>16</v>
      </c>
    </row>
    <row r="934" ht="22.5" customHeight="1">
      <c r="A934" s="7" t="s">
        <v>2284</v>
      </c>
      <c r="B934" s="8" t="s">
        <v>3258</v>
      </c>
      <c r="C934" s="7" t="s">
        <v>43</v>
      </c>
      <c r="D934" s="7" t="s">
        <v>3267</v>
      </c>
      <c r="E934" s="7"/>
      <c r="F934" s="7" t="s">
        <v>16</v>
      </c>
    </row>
    <row r="935" ht="22.5" customHeight="1">
      <c r="A935" s="7" t="s">
        <v>2284</v>
      </c>
      <c r="B935" s="8" t="s">
        <v>3258</v>
      </c>
      <c r="C935" s="7" t="s">
        <v>239</v>
      </c>
      <c r="D935" s="7" t="s">
        <v>3268</v>
      </c>
      <c r="E935" s="7"/>
      <c r="F935" s="7" t="s">
        <v>16</v>
      </c>
    </row>
    <row r="936" ht="22.5" customHeight="1">
      <c r="A936" s="7" t="s">
        <v>2284</v>
      </c>
      <c r="B936" s="8" t="s">
        <v>3258</v>
      </c>
      <c r="C936" s="7" t="s">
        <v>103</v>
      </c>
      <c r="D936" s="7" t="s">
        <v>3269</v>
      </c>
      <c r="E936" s="7"/>
      <c r="F936" s="7" t="s">
        <v>16</v>
      </c>
    </row>
    <row r="937" ht="22.5" customHeight="1">
      <c r="A937" s="7" t="s">
        <v>2452</v>
      </c>
      <c r="B937" s="8" t="s">
        <v>3270</v>
      </c>
      <c r="C937" s="7" t="s">
        <v>30</v>
      </c>
      <c r="D937" s="7" t="s">
        <v>3271</v>
      </c>
      <c r="E937" s="7"/>
      <c r="F937" s="7" t="s">
        <v>16</v>
      </c>
    </row>
    <row r="938" ht="22.5" customHeight="1">
      <c r="A938" s="7" t="s">
        <v>2452</v>
      </c>
      <c r="B938" s="8" t="s">
        <v>3270</v>
      </c>
      <c r="C938" s="7" t="s">
        <v>30</v>
      </c>
      <c r="D938" s="7" t="s">
        <v>3272</v>
      </c>
      <c r="E938" s="7"/>
      <c r="F938" s="7" t="s">
        <v>16</v>
      </c>
    </row>
    <row r="939" ht="22.5" customHeight="1">
      <c r="A939" s="7" t="s">
        <v>2452</v>
      </c>
      <c r="B939" s="8" t="s">
        <v>3270</v>
      </c>
      <c r="C939" s="7" t="s">
        <v>598</v>
      </c>
      <c r="D939" s="7" t="s">
        <v>3273</v>
      </c>
      <c r="E939" s="7"/>
      <c r="F939" s="7" t="s">
        <v>16</v>
      </c>
    </row>
    <row r="940" ht="22.5" customHeight="1">
      <c r="A940" s="7" t="s">
        <v>2452</v>
      </c>
      <c r="B940" s="8" t="s">
        <v>3270</v>
      </c>
      <c r="C940" s="7" t="s">
        <v>36</v>
      </c>
      <c r="D940" s="7" t="s">
        <v>3274</v>
      </c>
      <c r="E940" s="7"/>
      <c r="F940" s="7" t="s">
        <v>16</v>
      </c>
    </row>
    <row r="941" ht="22.5" customHeight="1">
      <c r="A941" s="7" t="s">
        <v>2452</v>
      </c>
      <c r="B941" s="8" t="s">
        <v>3270</v>
      </c>
      <c r="C941" s="7" t="s">
        <v>230</v>
      </c>
      <c r="D941" s="7" t="s">
        <v>3275</v>
      </c>
      <c r="E941" s="7"/>
      <c r="F941" s="7" t="s">
        <v>16</v>
      </c>
    </row>
    <row r="942" ht="22.5" customHeight="1">
      <c r="A942" s="7" t="s">
        <v>2452</v>
      </c>
      <c r="B942" s="8" t="s">
        <v>3270</v>
      </c>
      <c r="C942" s="7" t="s">
        <v>38</v>
      </c>
      <c r="D942" s="7" t="s">
        <v>3276</v>
      </c>
      <c r="E942" s="7"/>
      <c r="F942" s="7" t="s">
        <v>16</v>
      </c>
    </row>
    <row r="943" ht="22.5" customHeight="1">
      <c r="A943" s="7" t="s">
        <v>2452</v>
      </c>
      <c r="B943" s="8" t="s">
        <v>3270</v>
      </c>
      <c r="C943" s="7" t="s">
        <v>233</v>
      </c>
      <c r="D943" s="7" t="s">
        <v>3277</v>
      </c>
      <c r="E943" s="7"/>
      <c r="F943" s="7" t="s">
        <v>16</v>
      </c>
    </row>
    <row r="944" ht="22.5" customHeight="1">
      <c r="A944" s="7" t="s">
        <v>2452</v>
      </c>
      <c r="B944" s="8" t="s">
        <v>3270</v>
      </c>
      <c r="C944" s="7" t="s">
        <v>40</v>
      </c>
      <c r="D944" s="7" t="s">
        <v>3278</v>
      </c>
      <c r="E944" s="7"/>
      <c r="F944" s="7" t="s">
        <v>16</v>
      </c>
    </row>
    <row r="945" ht="22.5" customHeight="1">
      <c r="A945" s="7" t="s">
        <v>2452</v>
      </c>
      <c r="B945" s="8" t="s">
        <v>3270</v>
      </c>
      <c r="C945" s="7" t="s">
        <v>236</v>
      </c>
      <c r="D945" s="7" t="s">
        <v>3279</v>
      </c>
      <c r="E945" s="7"/>
      <c r="F945" s="7" t="s">
        <v>16</v>
      </c>
    </row>
    <row r="946" ht="22.5" customHeight="1">
      <c r="A946" s="7" t="s">
        <v>2452</v>
      </c>
      <c r="B946" s="8" t="s">
        <v>3270</v>
      </c>
      <c r="C946" s="7" t="s">
        <v>43</v>
      </c>
      <c r="D946" s="7" t="s">
        <v>3280</v>
      </c>
      <c r="E946" s="7"/>
      <c r="F946" s="7" t="s">
        <v>16</v>
      </c>
    </row>
    <row r="947" ht="22.5" customHeight="1">
      <c r="A947" s="7" t="s">
        <v>2452</v>
      </c>
      <c r="B947" s="8" t="s">
        <v>3270</v>
      </c>
      <c r="C947" s="7" t="s">
        <v>239</v>
      </c>
      <c r="D947" s="7" t="s">
        <v>3281</v>
      </c>
      <c r="E947" s="7"/>
      <c r="F947" s="7" t="s">
        <v>16</v>
      </c>
    </row>
    <row r="948" ht="22.5" customHeight="1">
      <c r="A948" s="7" t="s">
        <v>2452</v>
      </c>
      <c r="B948" s="8" t="s">
        <v>3270</v>
      </c>
      <c r="C948" s="7" t="s">
        <v>103</v>
      </c>
      <c r="D948" s="7" t="s">
        <v>3282</v>
      </c>
      <c r="E948" s="7"/>
      <c r="F948" s="7" t="s">
        <v>16</v>
      </c>
    </row>
    <row r="949" ht="22.5" customHeight="1">
      <c r="A949" s="7" t="s">
        <v>2380</v>
      </c>
      <c r="B949" s="8" t="s">
        <v>3283</v>
      </c>
      <c r="C949" s="7" t="s">
        <v>30</v>
      </c>
      <c r="D949" s="7" t="s">
        <v>3284</v>
      </c>
      <c r="E949" s="7" t="s">
        <v>48</v>
      </c>
      <c r="F949" s="7" t="s">
        <v>1917</v>
      </c>
    </row>
    <row r="950" ht="22.5" customHeight="1">
      <c r="A950" s="7" t="s">
        <v>2380</v>
      </c>
      <c r="B950" s="8" t="s">
        <v>3283</v>
      </c>
      <c r="C950" s="7" t="s">
        <v>30</v>
      </c>
      <c r="D950" s="7" t="s">
        <v>3285</v>
      </c>
      <c r="E950" s="7" t="s">
        <v>48</v>
      </c>
      <c r="F950" s="7" t="s">
        <v>1917</v>
      </c>
    </row>
    <row r="951" ht="22.5" customHeight="1">
      <c r="A951" s="7" t="s">
        <v>2380</v>
      </c>
      <c r="B951" s="8" t="s">
        <v>3283</v>
      </c>
      <c r="C951" s="7" t="s">
        <v>36</v>
      </c>
      <c r="D951" s="7" t="s">
        <v>3286</v>
      </c>
      <c r="E951" s="7" t="s">
        <v>48</v>
      </c>
      <c r="F951" s="7" t="s">
        <v>1917</v>
      </c>
    </row>
    <row r="952" ht="22.5" customHeight="1">
      <c r="A952" s="7" t="s">
        <v>2380</v>
      </c>
      <c r="B952" s="8" t="s">
        <v>3283</v>
      </c>
      <c r="C952" s="7" t="s">
        <v>36</v>
      </c>
      <c r="D952" s="7" t="s">
        <v>3287</v>
      </c>
      <c r="E952" s="7" t="s">
        <v>48</v>
      </c>
      <c r="F952" s="7" t="s">
        <v>1917</v>
      </c>
    </row>
    <row r="953" ht="22.5" customHeight="1">
      <c r="A953" s="7" t="s">
        <v>2380</v>
      </c>
      <c r="B953" s="8" t="s">
        <v>3283</v>
      </c>
      <c r="C953" s="7" t="s">
        <v>38</v>
      </c>
      <c r="D953" s="7" t="s">
        <v>3288</v>
      </c>
      <c r="E953" s="7" t="s">
        <v>48</v>
      </c>
      <c r="F953" s="7" t="s">
        <v>1917</v>
      </c>
    </row>
    <row r="954" ht="22.5" customHeight="1">
      <c r="A954" s="7" t="s">
        <v>2380</v>
      </c>
      <c r="B954" s="8" t="s">
        <v>3283</v>
      </c>
      <c r="C954" s="7" t="s">
        <v>38</v>
      </c>
      <c r="D954" s="7" t="s">
        <v>3289</v>
      </c>
      <c r="E954" s="7" t="s">
        <v>48</v>
      </c>
      <c r="F954" s="7" t="s">
        <v>1917</v>
      </c>
    </row>
    <row r="955" ht="22.5" customHeight="1">
      <c r="A955" s="7" t="s">
        <v>2380</v>
      </c>
      <c r="B955" s="8" t="s">
        <v>3283</v>
      </c>
      <c r="C955" s="7" t="s">
        <v>233</v>
      </c>
      <c r="D955" s="7" t="s">
        <v>3290</v>
      </c>
      <c r="E955" s="7" t="s">
        <v>48</v>
      </c>
      <c r="F955" s="7" t="s">
        <v>1917</v>
      </c>
    </row>
    <row r="956" ht="22.5" customHeight="1">
      <c r="A956" s="7" t="s">
        <v>2380</v>
      </c>
      <c r="B956" s="8" t="s">
        <v>3283</v>
      </c>
      <c r="C956" s="7" t="s">
        <v>233</v>
      </c>
      <c r="D956" s="7" t="s">
        <v>3291</v>
      </c>
      <c r="E956" s="7" t="s">
        <v>48</v>
      </c>
      <c r="F956" s="7" t="s">
        <v>1917</v>
      </c>
    </row>
    <row r="957" ht="22.5" customHeight="1">
      <c r="A957" s="7" t="s">
        <v>2380</v>
      </c>
      <c r="B957" s="8" t="s">
        <v>3283</v>
      </c>
      <c r="C957" s="7" t="s">
        <v>40</v>
      </c>
      <c r="D957" s="7" t="s">
        <v>3292</v>
      </c>
      <c r="E957" s="7" t="s">
        <v>48</v>
      </c>
      <c r="F957" s="7" t="s">
        <v>1917</v>
      </c>
    </row>
    <row r="958" ht="22.5" customHeight="1">
      <c r="A958" s="7" t="s">
        <v>2380</v>
      </c>
      <c r="B958" s="8" t="s">
        <v>3283</v>
      </c>
      <c r="C958" s="7" t="s">
        <v>40</v>
      </c>
      <c r="D958" s="7" t="s">
        <v>3293</v>
      </c>
      <c r="E958" s="7" t="s">
        <v>48</v>
      </c>
      <c r="F958" s="7" t="s">
        <v>1917</v>
      </c>
    </row>
    <row r="959" ht="22.5" customHeight="1">
      <c r="A959" s="7" t="s">
        <v>2380</v>
      </c>
      <c r="B959" s="8" t="s">
        <v>3283</v>
      </c>
      <c r="C959" s="7" t="s">
        <v>236</v>
      </c>
      <c r="D959" s="7" t="s">
        <v>3294</v>
      </c>
      <c r="E959" s="7" t="s">
        <v>48</v>
      </c>
      <c r="F959" s="7" t="s">
        <v>1917</v>
      </c>
    </row>
    <row r="960" ht="22.5" customHeight="1">
      <c r="A960" s="7" t="s">
        <v>2380</v>
      </c>
      <c r="B960" s="8" t="s">
        <v>3283</v>
      </c>
      <c r="C960" s="7" t="s">
        <v>236</v>
      </c>
      <c r="D960" s="7" t="s">
        <v>3295</v>
      </c>
      <c r="E960" s="7" t="s">
        <v>48</v>
      </c>
      <c r="F960" s="7" t="s">
        <v>1917</v>
      </c>
    </row>
    <row r="961" ht="22.5" customHeight="1">
      <c r="A961" s="7" t="s">
        <v>2380</v>
      </c>
      <c r="B961" s="8" t="s">
        <v>3283</v>
      </c>
      <c r="C961" s="7" t="s">
        <v>43</v>
      </c>
      <c r="D961" s="7" t="s">
        <v>3296</v>
      </c>
      <c r="E961" s="7" t="s">
        <v>48</v>
      </c>
      <c r="F961" s="7" t="s">
        <v>1917</v>
      </c>
    </row>
    <row r="962" ht="22.5" customHeight="1">
      <c r="A962" s="7" t="s">
        <v>2380</v>
      </c>
      <c r="B962" s="8" t="s">
        <v>3283</v>
      </c>
      <c r="C962" s="7" t="s">
        <v>43</v>
      </c>
      <c r="D962" s="7" t="s">
        <v>3297</v>
      </c>
      <c r="E962" s="7" t="s">
        <v>48</v>
      </c>
      <c r="F962" s="7" t="s">
        <v>1917</v>
      </c>
    </row>
    <row r="963" ht="22.5" customHeight="1">
      <c r="A963" s="7" t="s">
        <v>2380</v>
      </c>
      <c r="B963" s="8" t="s">
        <v>3283</v>
      </c>
      <c r="C963" s="7" t="s">
        <v>239</v>
      </c>
      <c r="D963" s="7" t="s">
        <v>3298</v>
      </c>
      <c r="E963" s="7" t="s">
        <v>48</v>
      </c>
      <c r="F963" s="7" t="s">
        <v>1917</v>
      </c>
    </row>
    <row r="964" ht="22.5" customHeight="1">
      <c r="A964" s="7" t="s">
        <v>2380</v>
      </c>
      <c r="B964" s="8" t="s">
        <v>3283</v>
      </c>
      <c r="C964" s="7" t="s">
        <v>239</v>
      </c>
      <c r="D964" s="7" t="s">
        <v>3299</v>
      </c>
      <c r="E964" s="7" t="s">
        <v>48</v>
      </c>
      <c r="F964" s="7" t="s">
        <v>1917</v>
      </c>
    </row>
    <row r="965" ht="22.5" customHeight="1">
      <c r="A965" s="7" t="s">
        <v>2380</v>
      </c>
      <c r="B965" s="8" t="s">
        <v>3283</v>
      </c>
      <c r="C965" s="7" t="s">
        <v>103</v>
      </c>
      <c r="D965" s="7" t="s">
        <v>3300</v>
      </c>
      <c r="E965" s="7" t="s">
        <v>48</v>
      </c>
      <c r="F965" s="7" t="s">
        <v>1917</v>
      </c>
    </row>
    <row r="966" ht="22.5" customHeight="1">
      <c r="A966" s="7" t="s">
        <v>2380</v>
      </c>
      <c r="B966" s="8" t="s">
        <v>3283</v>
      </c>
      <c r="C966" s="7" t="s">
        <v>103</v>
      </c>
      <c r="D966" s="7" t="s">
        <v>3301</v>
      </c>
      <c r="E966" s="7" t="s">
        <v>48</v>
      </c>
      <c r="F966" s="7" t="s">
        <v>1917</v>
      </c>
    </row>
    <row r="967" ht="22.5" customHeight="1">
      <c r="A967" s="7" t="s">
        <v>2251</v>
      </c>
      <c r="B967" s="8" t="s">
        <v>3302</v>
      </c>
      <c r="C967" s="7" t="s">
        <v>38</v>
      </c>
      <c r="D967" s="7" t="s">
        <v>3303</v>
      </c>
      <c r="E967" s="7"/>
      <c r="F967" s="7" t="s">
        <v>16</v>
      </c>
    </row>
    <row r="968" ht="22.5" customHeight="1">
      <c r="A968" s="7" t="s">
        <v>2251</v>
      </c>
      <c r="B968" s="8" t="s">
        <v>3302</v>
      </c>
      <c r="C968" s="7" t="s">
        <v>233</v>
      </c>
      <c r="D968" s="7" t="s">
        <v>3304</v>
      </c>
      <c r="E968" s="7"/>
      <c r="F968" s="7" t="s">
        <v>16</v>
      </c>
    </row>
    <row r="969" ht="22.5" customHeight="1">
      <c r="A969" s="7" t="s">
        <v>2251</v>
      </c>
      <c r="B969" s="8" t="s">
        <v>3305</v>
      </c>
      <c r="C969" s="7" t="s">
        <v>40</v>
      </c>
      <c r="D969" s="7" t="s">
        <v>3306</v>
      </c>
      <c r="E969" s="7"/>
      <c r="F969" s="7" t="s">
        <v>16</v>
      </c>
    </row>
    <row r="970" ht="22.5" customHeight="1">
      <c r="A970" s="7" t="s">
        <v>2251</v>
      </c>
      <c r="B970" s="8" t="s">
        <v>3305</v>
      </c>
      <c r="C970" s="7" t="s">
        <v>236</v>
      </c>
      <c r="D970" s="7" t="s">
        <v>3307</v>
      </c>
      <c r="E970" s="7"/>
      <c r="F970" s="7" t="s">
        <v>16</v>
      </c>
    </row>
    <row r="971" ht="22.5" customHeight="1">
      <c r="A971" s="7" t="s">
        <v>2251</v>
      </c>
      <c r="B971" s="8" t="s">
        <v>3308</v>
      </c>
      <c r="C971" s="7" t="s">
        <v>43</v>
      </c>
      <c r="D971" s="7" t="s">
        <v>3309</v>
      </c>
      <c r="E971" s="7"/>
      <c r="F971" s="7" t="s">
        <v>16</v>
      </c>
    </row>
    <row r="972" ht="22.5" customHeight="1">
      <c r="A972" s="7" t="s">
        <v>2251</v>
      </c>
      <c r="B972" s="8" t="s">
        <v>3308</v>
      </c>
      <c r="C972" s="7" t="s">
        <v>239</v>
      </c>
      <c r="D972" s="7" t="s">
        <v>3310</v>
      </c>
      <c r="E972" s="7"/>
      <c r="F972" s="7" t="s">
        <v>16</v>
      </c>
    </row>
    <row r="973" ht="22.5" customHeight="1">
      <c r="A973" s="7" t="s">
        <v>2251</v>
      </c>
      <c r="B973" s="8" t="s">
        <v>3308</v>
      </c>
      <c r="C973" s="7" t="s">
        <v>103</v>
      </c>
      <c r="D973" s="7" t="s">
        <v>3311</v>
      </c>
      <c r="E973" s="7"/>
      <c r="F973" s="7" t="s">
        <v>16</v>
      </c>
    </row>
    <row r="974" ht="22.5" customHeight="1">
      <c r="A974" s="7" t="s">
        <v>2295</v>
      </c>
      <c r="B974" s="8" t="s">
        <v>3312</v>
      </c>
      <c r="C974" s="7" t="s">
        <v>30</v>
      </c>
      <c r="D974" s="7" t="s">
        <v>3313</v>
      </c>
      <c r="E974" s="7"/>
      <c r="F974" s="7" t="s">
        <v>16</v>
      </c>
    </row>
    <row r="975" ht="22.5" customHeight="1">
      <c r="A975" s="7" t="s">
        <v>2295</v>
      </c>
      <c r="B975" s="8" t="s">
        <v>3312</v>
      </c>
      <c r="C975" s="7" t="s">
        <v>36</v>
      </c>
      <c r="D975" s="7" t="s">
        <v>3314</v>
      </c>
      <c r="E975" s="7"/>
      <c r="F975" s="7" t="s">
        <v>16</v>
      </c>
    </row>
    <row r="976" ht="22.5" customHeight="1">
      <c r="A976" s="7" t="s">
        <v>2295</v>
      </c>
      <c r="B976" s="8" t="s">
        <v>3312</v>
      </c>
      <c r="C976" s="7" t="s">
        <v>38</v>
      </c>
      <c r="D976" s="7" t="s">
        <v>3315</v>
      </c>
      <c r="E976" s="7"/>
      <c r="F976" s="7" t="s">
        <v>16</v>
      </c>
    </row>
    <row r="977" ht="22.5" customHeight="1">
      <c r="A977" s="7" t="s">
        <v>2295</v>
      </c>
      <c r="B977" s="8" t="s">
        <v>3312</v>
      </c>
      <c r="C977" s="7" t="s">
        <v>40</v>
      </c>
      <c r="D977" s="7" t="s">
        <v>3316</v>
      </c>
      <c r="E977" s="7"/>
      <c r="F977" s="7" t="s">
        <v>16</v>
      </c>
    </row>
    <row r="978" ht="22.5" customHeight="1">
      <c r="A978" s="7" t="s">
        <v>2295</v>
      </c>
      <c r="B978" s="8" t="s">
        <v>3312</v>
      </c>
      <c r="C978" s="7" t="s">
        <v>43</v>
      </c>
      <c r="D978" s="7" t="s">
        <v>3317</v>
      </c>
      <c r="E978" s="7"/>
      <c r="F978" s="7" t="s">
        <v>16</v>
      </c>
    </row>
    <row r="979" ht="22.5" customHeight="1">
      <c r="A979" s="7" t="s">
        <v>2295</v>
      </c>
      <c r="B979" s="8" t="s">
        <v>3312</v>
      </c>
      <c r="C979" s="7" t="s">
        <v>43</v>
      </c>
      <c r="D979" s="7" t="s">
        <v>3318</v>
      </c>
      <c r="E979" s="7" t="s">
        <v>48</v>
      </c>
      <c r="F979" s="7" t="s">
        <v>16</v>
      </c>
    </row>
    <row r="980" ht="22.5" customHeight="1">
      <c r="A980" s="7" t="s">
        <v>2230</v>
      </c>
      <c r="B980" s="8" t="s">
        <v>3319</v>
      </c>
      <c r="C980" s="7" t="s">
        <v>30</v>
      </c>
      <c r="D980" s="7" t="s">
        <v>3320</v>
      </c>
      <c r="E980" s="7"/>
      <c r="F980" s="7" t="s">
        <v>16</v>
      </c>
    </row>
    <row r="981" ht="22.5" customHeight="1">
      <c r="A981" s="7" t="s">
        <v>2230</v>
      </c>
      <c r="B981" s="8" t="s">
        <v>3319</v>
      </c>
      <c r="C981" s="7" t="s">
        <v>598</v>
      </c>
      <c r="D981" s="7" t="s">
        <v>3321</v>
      </c>
      <c r="E981" s="7"/>
      <c r="F981" s="7" t="s">
        <v>16</v>
      </c>
    </row>
    <row r="982" ht="22.5" customHeight="1">
      <c r="A982" s="7" t="s">
        <v>2230</v>
      </c>
      <c r="B982" s="8" t="s">
        <v>3319</v>
      </c>
      <c r="C982" s="7" t="s">
        <v>36</v>
      </c>
      <c r="D982" s="7" t="s">
        <v>3322</v>
      </c>
      <c r="E982" s="7"/>
      <c r="F982" s="7" t="s">
        <v>16</v>
      </c>
    </row>
    <row r="983" ht="22.5" customHeight="1">
      <c r="A983" s="7" t="s">
        <v>2230</v>
      </c>
      <c r="B983" s="8" t="s">
        <v>3319</v>
      </c>
      <c r="C983" s="7" t="s">
        <v>230</v>
      </c>
      <c r="D983" s="7" t="s">
        <v>3323</v>
      </c>
      <c r="E983" s="7"/>
      <c r="F983" s="7" t="s">
        <v>16</v>
      </c>
    </row>
    <row r="984" ht="22.5" customHeight="1">
      <c r="A984" s="7" t="s">
        <v>2230</v>
      </c>
      <c r="B984" s="8" t="s">
        <v>3319</v>
      </c>
      <c r="C984" s="7" t="s">
        <v>38</v>
      </c>
      <c r="D984" s="7" t="s">
        <v>3324</v>
      </c>
      <c r="E984" s="7"/>
      <c r="F984" s="7" t="s">
        <v>16</v>
      </c>
    </row>
    <row r="985" ht="22.5" customHeight="1">
      <c r="A985" s="7" t="s">
        <v>2230</v>
      </c>
      <c r="B985" s="8" t="s">
        <v>3319</v>
      </c>
      <c r="C985" s="7" t="s">
        <v>233</v>
      </c>
      <c r="D985" s="7" t="s">
        <v>3325</v>
      </c>
      <c r="E985" s="7"/>
      <c r="F985" s="7" t="s">
        <v>16</v>
      </c>
    </row>
    <row r="986" ht="22.5" customHeight="1">
      <c r="A986" s="7" t="s">
        <v>2230</v>
      </c>
      <c r="B986" s="8" t="s">
        <v>3319</v>
      </c>
      <c r="C986" s="7" t="s">
        <v>40</v>
      </c>
      <c r="D986" s="7" t="s">
        <v>3326</v>
      </c>
      <c r="E986" s="7"/>
      <c r="F986" s="7" t="s">
        <v>16</v>
      </c>
    </row>
    <row r="987" ht="22.5" customHeight="1">
      <c r="A987" s="7" t="s">
        <v>2230</v>
      </c>
      <c r="B987" s="8" t="s">
        <v>3319</v>
      </c>
      <c r="C987" s="7" t="s">
        <v>236</v>
      </c>
      <c r="D987" s="7" t="s">
        <v>3327</v>
      </c>
      <c r="E987" s="7"/>
      <c r="F987" s="7" t="s">
        <v>16</v>
      </c>
    </row>
    <row r="988" ht="22.5" customHeight="1">
      <c r="A988" s="7" t="s">
        <v>2230</v>
      </c>
      <c r="B988" s="8" t="s">
        <v>3319</v>
      </c>
      <c r="C988" s="7" t="s">
        <v>43</v>
      </c>
      <c r="D988" s="7" t="s">
        <v>3328</v>
      </c>
      <c r="E988" s="7"/>
      <c r="F988" s="7" t="s">
        <v>16</v>
      </c>
    </row>
    <row r="989" ht="22.5" customHeight="1">
      <c r="A989" s="7" t="s">
        <v>2230</v>
      </c>
      <c r="B989" s="8" t="s">
        <v>3319</v>
      </c>
      <c r="C989" s="7" t="s">
        <v>239</v>
      </c>
      <c r="D989" s="7" t="s">
        <v>3329</v>
      </c>
      <c r="E989" s="7"/>
      <c r="F989" s="7" t="s">
        <v>16</v>
      </c>
    </row>
    <row r="990" ht="22.5" customHeight="1">
      <c r="A990" s="7" t="s">
        <v>2230</v>
      </c>
      <c r="B990" s="8" t="s">
        <v>3319</v>
      </c>
      <c r="C990" s="7" t="s">
        <v>103</v>
      </c>
      <c r="D990" s="7" t="s">
        <v>3330</v>
      </c>
      <c r="E990" s="7"/>
      <c r="F990" s="7" t="s">
        <v>16</v>
      </c>
    </row>
    <row r="991" ht="22.5" customHeight="1">
      <c r="A991" s="7" t="s">
        <v>2725</v>
      </c>
      <c r="B991" s="8" t="s">
        <v>3331</v>
      </c>
      <c r="C991" s="7" t="s">
        <v>36</v>
      </c>
      <c r="D991" s="7" t="s">
        <v>3332</v>
      </c>
      <c r="E991" s="7"/>
      <c r="F991" s="7" t="s">
        <v>16</v>
      </c>
    </row>
    <row r="992" ht="22.5" customHeight="1">
      <c r="A992" s="7" t="s">
        <v>2725</v>
      </c>
      <c r="B992" s="8" t="s">
        <v>3331</v>
      </c>
      <c r="C992" s="7" t="s">
        <v>230</v>
      </c>
      <c r="D992" s="7" t="s">
        <v>3333</v>
      </c>
      <c r="E992" s="7"/>
      <c r="F992" s="7" t="s">
        <v>16</v>
      </c>
    </row>
    <row r="993" ht="22.5" customHeight="1">
      <c r="A993" s="7" t="s">
        <v>2725</v>
      </c>
      <c r="B993" s="8" t="s">
        <v>3331</v>
      </c>
      <c r="C993" s="7" t="s">
        <v>38</v>
      </c>
      <c r="D993" s="7" t="s">
        <v>3334</v>
      </c>
      <c r="E993" s="7"/>
      <c r="F993" s="7" t="s">
        <v>16</v>
      </c>
    </row>
    <row r="994" ht="22.5" customHeight="1">
      <c r="A994" s="7" t="s">
        <v>2725</v>
      </c>
      <c r="B994" s="8" t="s">
        <v>3331</v>
      </c>
      <c r="C994" s="7" t="s">
        <v>233</v>
      </c>
      <c r="D994" s="7" t="s">
        <v>3335</v>
      </c>
      <c r="E994" s="7"/>
      <c r="F994" s="7" t="s">
        <v>16</v>
      </c>
    </row>
    <row r="995" ht="22.5" customHeight="1">
      <c r="A995" s="7" t="s">
        <v>2725</v>
      </c>
      <c r="B995" s="8" t="s">
        <v>3331</v>
      </c>
      <c r="C995" s="7" t="s">
        <v>40</v>
      </c>
      <c r="D995" s="7" t="s">
        <v>3336</v>
      </c>
      <c r="E995" s="7"/>
      <c r="F995" s="7" t="s">
        <v>16</v>
      </c>
    </row>
    <row r="996" ht="22.5" customHeight="1">
      <c r="A996" s="7" t="s">
        <v>2725</v>
      </c>
      <c r="B996" s="8" t="s">
        <v>3331</v>
      </c>
      <c r="C996" s="7" t="s">
        <v>236</v>
      </c>
      <c r="D996" s="7" t="s">
        <v>3337</v>
      </c>
      <c r="E996" s="7"/>
      <c r="F996" s="7" t="s">
        <v>16</v>
      </c>
    </row>
    <row r="997" ht="22.5" customHeight="1">
      <c r="A997" s="7" t="s">
        <v>2725</v>
      </c>
      <c r="B997" s="8" t="s">
        <v>3331</v>
      </c>
      <c r="C997" s="7" t="s">
        <v>43</v>
      </c>
      <c r="D997" s="7" t="s">
        <v>3338</v>
      </c>
      <c r="E997" s="7"/>
      <c r="F997" s="7" t="s">
        <v>16</v>
      </c>
    </row>
    <row r="998" ht="22.5" customHeight="1">
      <c r="A998" s="7" t="s">
        <v>2725</v>
      </c>
      <c r="B998" s="8" t="s">
        <v>3331</v>
      </c>
      <c r="C998" s="7" t="s">
        <v>239</v>
      </c>
      <c r="D998" s="7" t="s">
        <v>3339</v>
      </c>
      <c r="E998" s="7"/>
      <c r="F998" s="7" t="s">
        <v>16</v>
      </c>
    </row>
    <row r="999" ht="22.5" customHeight="1">
      <c r="A999" s="7" t="s">
        <v>2725</v>
      </c>
      <c r="B999" s="8" t="s">
        <v>3331</v>
      </c>
      <c r="C999" s="7" t="s">
        <v>103</v>
      </c>
      <c r="D999" s="7" t="s">
        <v>3340</v>
      </c>
      <c r="E999" s="7"/>
      <c r="F999" s="7" t="s">
        <v>16</v>
      </c>
    </row>
    <row r="1000" ht="22.5" customHeight="1">
      <c r="A1000" s="7" t="s">
        <v>2295</v>
      </c>
      <c r="B1000" s="8" t="s">
        <v>3341</v>
      </c>
      <c r="C1000" s="7" t="s">
        <v>36</v>
      </c>
      <c r="D1000" s="7" t="s">
        <v>3342</v>
      </c>
      <c r="E1000" s="7"/>
      <c r="F1000" s="7" t="s">
        <v>16</v>
      </c>
    </row>
    <row r="1001" ht="22.5" customHeight="1">
      <c r="A1001" s="7" t="s">
        <v>2295</v>
      </c>
      <c r="B1001" s="8" t="s">
        <v>3341</v>
      </c>
      <c r="C1001" s="7" t="s">
        <v>38</v>
      </c>
      <c r="D1001" s="7" t="s">
        <v>3343</v>
      </c>
      <c r="E1001" s="7"/>
      <c r="F1001" s="7" t="s">
        <v>16</v>
      </c>
    </row>
    <row r="1002" ht="22.5" customHeight="1">
      <c r="A1002" s="7" t="s">
        <v>2295</v>
      </c>
      <c r="B1002" s="8" t="s">
        <v>3341</v>
      </c>
      <c r="C1002" s="7" t="s">
        <v>40</v>
      </c>
      <c r="D1002" s="7" t="s">
        <v>3344</v>
      </c>
      <c r="E1002" s="7"/>
      <c r="F1002" s="7" t="s">
        <v>16</v>
      </c>
    </row>
    <row r="1003" ht="22.5" customHeight="1">
      <c r="A1003" s="7" t="s">
        <v>2295</v>
      </c>
      <c r="B1003" s="8" t="s">
        <v>3341</v>
      </c>
      <c r="C1003" s="7" t="s">
        <v>43</v>
      </c>
      <c r="D1003" s="7" t="s">
        <v>3345</v>
      </c>
      <c r="E1003" s="7"/>
      <c r="F1003" s="7" t="s">
        <v>16</v>
      </c>
    </row>
    <row r="1004" ht="22.5" customHeight="1">
      <c r="A1004" s="7" t="s">
        <v>2295</v>
      </c>
      <c r="B1004" s="8" t="s">
        <v>3341</v>
      </c>
      <c r="C1004" s="7" t="s">
        <v>43</v>
      </c>
      <c r="D1004" s="7" t="s">
        <v>3346</v>
      </c>
      <c r="E1004" s="7" t="s">
        <v>48</v>
      </c>
      <c r="F1004" s="7" t="s">
        <v>16</v>
      </c>
    </row>
    <row r="1005" ht="22.5" customHeight="1">
      <c r="A1005" s="7" t="s">
        <v>2230</v>
      </c>
      <c r="B1005" s="8" t="s">
        <v>3347</v>
      </c>
      <c r="C1005" s="7" t="s">
        <v>38</v>
      </c>
      <c r="D1005" s="7" t="s">
        <v>3348</v>
      </c>
      <c r="E1005" s="7" t="s">
        <v>48</v>
      </c>
      <c r="F1005" s="7" t="s">
        <v>1917</v>
      </c>
    </row>
    <row r="1006" ht="22.5" customHeight="1">
      <c r="A1006" s="7" t="s">
        <v>2230</v>
      </c>
      <c r="B1006" s="8" t="s">
        <v>3347</v>
      </c>
      <c r="C1006" s="7" t="s">
        <v>233</v>
      </c>
      <c r="D1006" s="7" t="s">
        <v>3349</v>
      </c>
      <c r="E1006" s="7" t="s">
        <v>48</v>
      </c>
      <c r="F1006" s="7" t="s">
        <v>1917</v>
      </c>
    </row>
    <row r="1007" ht="22.5" customHeight="1">
      <c r="A1007" s="7" t="s">
        <v>2230</v>
      </c>
      <c r="B1007" s="8" t="s">
        <v>3347</v>
      </c>
      <c r="C1007" s="7" t="s">
        <v>40</v>
      </c>
      <c r="D1007" s="7" t="s">
        <v>3350</v>
      </c>
      <c r="E1007" s="7" t="s">
        <v>48</v>
      </c>
      <c r="F1007" s="7" t="s">
        <v>1917</v>
      </c>
    </row>
    <row r="1008" ht="22.5" customHeight="1">
      <c r="A1008" s="7" t="s">
        <v>2230</v>
      </c>
      <c r="B1008" s="8" t="s">
        <v>3347</v>
      </c>
      <c r="C1008" s="7" t="s">
        <v>236</v>
      </c>
      <c r="D1008" s="7" t="s">
        <v>3351</v>
      </c>
      <c r="E1008" s="7" t="s">
        <v>48</v>
      </c>
      <c r="F1008" s="7" t="s">
        <v>1917</v>
      </c>
    </row>
    <row r="1009" ht="22.5" customHeight="1">
      <c r="A1009" s="7" t="s">
        <v>2230</v>
      </c>
      <c r="B1009" s="8" t="s">
        <v>3347</v>
      </c>
      <c r="C1009" s="7" t="s">
        <v>43</v>
      </c>
      <c r="D1009" s="7" t="s">
        <v>3352</v>
      </c>
      <c r="E1009" s="7" t="s">
        <v>48</v>
      </c>
      <c r="F1009" s="7" t="s">
        <v>1917</v>
      </c>
    </row>
    <row r="1010" ht="22.5" customHeight="1">
      <c r="A1010" s="7" t="s">
        <v>2230</v>
      </c>
      <c r="B1010" s="8" t="s">
        <v>3347</v>
      </c>
      <c r="C1010" s="7" t="s">
        <v>239</v>
      </c>
      <c r="D1010" s="7" t="s">
        <v>3353</v>
      </c>
      <c r="E1010" s="7" t="s">
        <v>48</v>
      </c>
      <c r="F1010" s="7" t="s">
        <v>1917</v>
      </c>
    </row>
    <row r="1011" ht="22.5" customHeight="1">
      <c r="A1011" s="7" t="s">
        <v>2230</v>
      </c>
      <c r="B1011" s="8" t="s">
        <v>3347</v>
      </c>
      <c r="C1011" s="7" t="s">
        <v>103</v>
      </c>
      <c r="D1011" s="7" t="s">
        <v>3354</v>
      </c>
      <c r="E1011" s="7" t="s">
        <v>48</v>
      </c>
      <c r="F1011" s="7" t="s">
        <v>1917</v>
      </c>
    </row>
    <row r="1012" ht="22.5" customHeight="1">
      <c r="A1012" s="7" t="s">
        <v>2380</v>
      </c>
      <c r="B1012" s="8" t="s">
        <v>3355</v>
      </c>
      <c r="C1012" s="7" t="s">
        <v>30</v>
      </c>
      <c r="D1012" s="7" t="s">
        <v>3356</v>
      </c>
      <c r="E1012" s="7"/>
      <c r="F1012" s="7" t="s">
        <v>16</v>
      </c>
    </row>
    <row r="1013" ht="22.5" customHeight="1">
      <c r="A1013" s="7" t="s">
        <v>2380</v>
      </c>
      <c r="B1013" s="8" t="s">
        <v>3355</v>
      </c>
      <c r="C1013" s="7" t="s">
        <v>30</v>
      </c>
      <c r="D1013" s="7" t="s">
        <v>3357</v>
      </c>
      <c r="E1013" s="7"/>
      <c r="F1013" s="7" t="s">
        <v>16</v>
      </c>
    </row>
    <row r="1014" ht="22.5" customHeight="1">
      <c r="A1014" s="7" t="s">
        <v>2380</v>
      </c>
      <c r="B1014" s="8" t="s">
        <v>3355</v>
      </c>
      <c r="C1014" s="7" t="s">
        <v>598</v>
      </c>
      <c r="D1014" s="7" t="s">
        <v>3358</v>
      </c>
      <c r="E1014" s="7"/>
      <c r="F1014" s="7" t="s">
        <v>16</v>
      </c>
    </row>
    <row r="1015" ht="22.5" customHeight="1">
      <c r="A1015" s="7" t="s">
        <v>2380</v>
      </c>
      <c r="B1015" s="8" t="s">
        <v>3355</v>
      </c>
      <c r="C1015" s="7" t="s">
        <v>598</v>
      </c>
      <c r="D1015" s="7" t="s">
        <v>3359</v>
      </c>
      <c r="E1015" s="7"/>
      <c r="F1015" s="7" t="s">
        <v>16</v>
      </c>
    </row>
    <row r="1016" ht="22.5" customHeight="1">
      <c r="A1016" s="7" t="s">
        <v>2380</v>
      </c>
      <c r="B1016" s="8" t="s">
        <v>3355</v>
      </c>
      <c r="C1016" s="7" t="s">
        <v>36</v>
      </c>
      <c r="D1016" s="7" t="s">
        <v>3360</v>
      </c>
      <c r="E1016" s="7"/>
      <c r="F1016" s="7" t="s">
        <v>16</v>
      </c>
    </row>
    <row r="1017" ht="22.5" customHeight="1">
      <c r="A1017" s="7" t="s">
        <v>2380</v>
      </c>
      <c r="B1017" s="8" t="s">
        <v>3355</v>
      </c>
      <c r="C1017" s="7" t="s">
        <v>36</v>
      </c>
      <c r="D1017" s="7" t="s">
        <v>3361</v>
      </c>
      <c r="E1017" s="7"/>
      <c r="F1017" s="7" t="s">
        <v>16</v>
      </c>
    </row>
    <row r="1018" ht="22.5" customHeight="1">
      <c r="A1018" s="7" t="s">
        <v>2380</v>
      </c>
      <c r="B1018" s="8" t="s">
        <v>3355</v>
      </c>
      <c r="C1018" s="7" t="s">
        <v>230</v>
      </c>
      <c r="D1018" s="7" t="s">
        <v>3362</v>
      </c>
      <c r="E1018" s="7"/>
      <c r="F1018" s="7" t="s">
        <v>16</v>
      </c>
    </row>
    <row r="1019" ht="22.5" customHeight="1">
      <c r="A1019" s="7" t="s">
        <v>2380</v>
      </c>
      <c r="B1019" s="8" t="s">
        <v>3355</v>
      </c>
      <c r="C1019" s="7" t="s">
        <v>230</v>
      </c>
      <c r="D1019" s="7" t="s">
        <v>3363</v>
      </c>
      <c r="E1019" s="7"/>
      <c r="F1019" s="7" t="s">
        <v>16</v>
      </c>
    </row>
    <row r="1020" ht="22.5" customHeight="1">
      <c r="A1020" s="7" t="s">
        <v>2380</v>
      </c>
      <c r="B1020" s="8" t="s">
        <v>3355</v>
      </c>
      <c r="C1020" s="7" t="s">
        <v>38</v>
      </c>
      <c r="D1020" s="7" t="s">
        <v>3364</v>
      </c>
      <c r="E1020" s="7"/>
      <c r="F1020" s="7" t="s">
        <v>16</v>
      </c>
    </row>
    <row r="1021" ht="22.5" customHeight="1">
      <c r="A1021" s="7" t="s">
        <v>2380</v>
      </c>
      <c r="B1021" s="8" t="s">
        <v>3355</v>
      </c>
      <c r="C1021" s="7" t="s">
        <v>38</v>
      </c>
      <c r="D1021" s="7" t="s">
        <v>3365</v>
      </c>
      <c r="E1021" s="7"/>
      <c r="F1021" s="7" t="s">
        <v>16</v>
      </c>
    </row>
    <row r="1022" ht="22.5" customHeight="1">
      <c r="A1022" s="7" t="s">
        <v>2380</v>
      </c>
      <c r="B1022" s="8" t="s">
        <v>3355</v>
      </c>
      <c r="C1022" s="7" t="s">
        <v>233</v>
      </c>
      <c r="D1022" s="7" t="s">
        <v>3366</v>
      </c>
      <c r="E1022" s="7"/>
      <c r="F1022" s="7" t="s">
        <v>16</v>
      </c>
    </row>
    <row r="1023" ht="22.5" customHeight="1">
      <c r="A1023" s="7" t="s">
        <v>2380</v>
      </c>
      <c r="B1023" s="8" t="s">
        <v>3355</v>
      </c>
      <c r="C1023" s="7" t="s">
        <v>233</v>
      </c>
      <c r="D1023" s="7" t="s">
        <v>3367</v>
      </c>
      <c r="E1023" s="7"/>
      <c r="F1023" s="7" t="s">
        <v>16</v>
      </c>
    </row>
    <row r="1024" ht="22.5" customHeight="1">
      <c r="A1024" s="7" t="s">
        <v>2380</v>
      </c>
      <c r="B1024" s="8" t="s">
        <v>3355</v>
      </c>
      <c r="C1024" s="7" t="s">
        <v>40</v>
      </c>
      <c r="D1024" s="7" t="s">
        <v>3368</v>
      </c>
      <c r="E1024" s="7"/>
      <c r="F1024" s="7" t="s">
        <v>16</v>
      </c>
    </row>
    <row r="1025" ht="22.5" customHeight="1">
      <c r="A1025" s="7" t="s">
        <v>2380</v>
      </c>
      <c r="B1025" s="8" t="s">
        <v>3355</v>
      </c>
      <c r="C1025" s="7" t="s">
        <v>40</v>
      </c>
      <c r="D1025" s="7" t="s">
        <v>3369</v>
      </c>
      <c r="E1025" s="7"/>
      <c r="F1025" s="7" t="s">
        <v>16</v>
      </c>
    </row>
    <row r="1026" ht="22.5" customHeight="1">
      <c r="A1026" s="7" t="s">
        <v>2380</v>
      </c>
      <c r="B1026" s="8" t="s">
        <v>3355</v>
      </c>
      <c r="C1026" s="7" t="s">
        <v>236</v>
      </c>
      <c r="D1026" s="7" t="s">
        <v>3370</v>
      </c>
      <c r="E1026" s="7"/>
      <c r="F1026" s="7" t="s">
        <v>16</v>
      </c>
    </row>
    <row r="1027" ht="22.5" customHeight="1">
      <c r="A1027" s="7" t="s">
        <v>2380</v>
      </c>
      <c r="B1027" s="8" t="s">
        <v>3355</v>
      </c>
      <c r="C1027" s="7" t="s">
        <v>236</v>
      </c>
      <c r="D1027" s="7" t="s">
        <v>3371</v>
      </c>
      <c r="E1027" s="7"/>
      <c r="F1027" s="7" t="s">
        <v>16</v>
      </c>
    </row>
    <row r="1028" ht="22.5" customHeight="1">
      <c r="A1028" s="7" t="s">
        <v>2380</v>
      </c>
      <c r="B1028" s="8" t="s">
        <v>3355</v>
      </c>
      <c r="C1028" s="7" t="s">
        <v>43</v>
      </c>
      <c r="D1028" s="7" t="s">
        <v>3372</v>
      </c>
      <c r="E1028" s="7"/>
      <c r="F1028" s="7" t="s">
        <v>16</v>
      </c>
    </row>
    <row r="1029" ht="22.5" customHeight="1">
      <c r="A1029" s="7" t="s">
        <v>2380</v>
      </c>
      <c r="B1029" s="8" t="s">
        <v>3355</v>
      </c>
      <c r="C1029" s="7" t="s">
        <v>43</v>
      </c>
      <c r="D1029" s="7" t="s">
        <v>3373</v>
      </c>
      <c r="E1029" s="7"/>
      <c r="F1029" s="7" t="s">
        <v>16</v>
      </c>
    </row>
    <row r="1030" ht="22.5" customHeight="1">
      <c r="A1030" s="7" t="s">
        <v>2380</v>
      </c>
      <c r="B1030" s="8" t="s">
        <v>3355</v>
      </c>
      <c r="C1030" s="7" t="s">
        <v>239</v>
      </c>
      <c r="D1030" s="7" t="s">
        <v>3374</v>
      </c>
      <c r="E1030" s="7"/>
      <c r="F1030" s="7" t="s">
        <v>16</v>
      </c>
    </row>
    <row r="1031" ht="22.5" customHeight="1">
      <c r="A1031" s="7" t="s">
        <v>2380</v>
      </c>
      <c r="B1031" s="8" t="s">
        <v>3355</v>
      </c>
      <c r="C1031" s="7" t="s">
        <v>239</v>
      </c>
      <c r="D1031" s="7" t="s">
        <v>3375</v>
      </c>
      <c r="E1031" s="7"/>
      <c r="F1031" s="7" t="s">
        <v>16</v>
      </c>
    </row>
    <row r="1032" ht="22.5" customHeight="1">
      <c r="A1032" s="7" t="s">
        <v>2380</v>
      </c>
      <c r="B1032" s="8" t="s">
        <v>3355</v>
      </c>
      <c r="C1032" s="7" t="s">
        <v>103</v>
      </c>
      <c r="D1032" s="7" t="s">
        <v>3376</v>
      </c>
      <c r="E1032" s="7"/>
      <c r="F1032" s="7" t="s">
        <v>16</v>
      </c>
    </row>
    <row r="1033" ht="22.5" customHeight="1">
      <c r="A1033" s="7" t="s">
        <v>2380</v>
      </c>
      <c r="B1033" s="8" t="s">
        <v>3355</v>
      </c>
      <c r="C1033" s="7" t="s">
        <v>103</v>
      </c>
      <c r="D1033" s="7" t="s">
        <v>3377</v>
      </c>
      <c r="E1033" s="7"/>
      <c r="F1033" s="7" t="s">
        <v>16</v>
      </c>
    </row>
    <row r="1034" ht="22.5" customHeight="1">
      <c r="A1034" s="7" t="s">
        <v>2380</v>
      </c>
      <c r="B1034" s="8" t="s">
        <v>1479</v>
      </c>
      <c r="C1034" s="7" t="s">
        <v>30</v>
      </c>
      <c r="D1034" s="7" t="s">
        <v>3378</v>
      </c>
      <c r="E1034" s="7"/>
      <c r="F1034" s="7" t="s">
        <v>16</v>
      </c>
    </row>
    <row r="1035" ht="22.5" customHeight="1">
      <c r="A1035" s="7" t="s">
        <v>2380</v>
      </c>
      <c r="B1035" s="8" t="s">
        <v>1479</v>
      </c>
      <c r="C1035" s="7" t="s">
        <v>30</v>
      </c>
      <c r="D1035" s="7" t="s">
        <v>3379</v>
      </c>
      <c r="E1035" s="7"/>
      <c r="F1035" s="7" t="s">
        <v>16</v>
      </c>
    </row>
    <row r="1036" ht="22.5" customHeight="1">
      <c r="A1036" s="7" t="s">
        <v>2380</v>
      </c>
      <c r="B1036" s="8" t="s">
        <v>1479</v>
      </c>
      <c r="C1036" s="7" t="s">
        <v>598</v>
      </c>
      <c r="D1036" s="7" t="s">
        <v>3380</v>
      </c>
      <c r="E1036" s="7"/>
      <c r="F1036" s="7" t="s">
        <v>16</v>
      </c>
    </row>
    <row r="1037" ht="22.5" customHeight="1">
      <c r="A1037" s="7" t="s">
        <v>2380</v>
      </c>
      <c r="B1037" s="8" t="s">
        <v>1479</v>
      </c>
      <c r="C1037" s="7" t="s">
        <v>598</v>
      </c>
      <c r="D1037" s="7" t="s">
        <v>3381</v>
      </c>
      <c r="E1037" s="7"/>
      <c r="F1037" s="7" t="s">
        <v>16</v>
      </c>
    </row>
    <row r="1038" ht="22.5" customHeight="1">
      <c r="A1038" s="7" t="s">
        <v>2380</v>
      </c>
      <c r="B1038" s="8" t="s">
        <v>1479</v>
      </c>
      <c r="C1038" s="7" t="s">
        <v>36</v>
      </c>
      <c r="D1038" s="7" t="s">
        <v>3382</v>
      </c>
      <c r="E1038" s="7"/>
      <c r="F1038" s="7" t="s">
        <v>16</v>
      </c>
    </row>
    <row r="1039" ht="22.5" customHeight="1">
      <c r="A1039" s="7" t="s">
        <v>2380</v>
      </c>
      <c r="B1039" s="8" t="s">
        <v>1479</v>
      </c>
      <c r="C1039" s="7" t="s">
        <v>36</v>
      </c>
      <c r="D1039" s="7" t="s">
        <v>3383</v>
      </c>
      <c r="E1039" s="7"/>
      <c r="F1039" s="7" t="s">
        <v>16</v>
      </c>
    </row>
    <row r="1040" ht="22.5" customHeight="1">
      <c r="A1040" s="7" t="s">
        <v>2380</v>
      </c>
      <c r="B1040" s="8" t="s">
        <v>1479</v>
      </c>
      <c r="C1040" s="7" t="s">
        <v>230</v>
      </c>
      <c r="D1040" s="7" t="s">
        <v>3384</v>
      </c>
      <c r="E1040" s="7"/>
      <c r="F1040" s="7" t="s">
        <v>16</v>
      </c>
    </row>
    <row r="1041" ht="22.5" customHeight="1">
      <c r="A1041" s="7" t="s">
        <v>2380</v>
      </c>
      <c r="B1041" s="8" t="s">
        <v>1479</v>
      </c>
      <c r="C1041" s="7" t="s">
        <v>230</v>
      </c>
      <c r="D1041" s="7" t="s">
        <v>3385</v>
      </c>
      <c r="E1041" s="7"/>
      <c r="F1041" s="7" t="s">
        <v>16</v>
      </c>
    </row>
    <row r="1042" ht="22.5" customHeight="1">
      <c r="A1042" s="7" t="s">
        <v>2380</v>
      </c>
      <c r="B1042" s="8" t="s">
        <v>1479</v>
      </c>
      <c r="C1042" s="7" t="s">
        <v>38</v>
      </c>
      <c r="D1042" s="7" t="s">
        <v>3386</v>
      </c>
      <c r="E1042" s="7"/>
      <c r="F1042" s="7" t="s">
        <v>16</v>
      </c>
    </row>
    <row r="1043" ht="22.5" customHeight="1">
      <c r="A1043" s="7" t="s">
        <v>2380</v>
      </c>
      <c r="B1043" s="8" t="s">
        <v>1479</v>
      </c>
      <c r="C1043" s="7" t="s">
        <v>38</v>
      </c>
      <c r="D1043" s="7" t="s">
        <v>3387</v>
      </c>
      <c r="E1043" s="7"/>
      <c r="F1043" s="7" t="s">
        <v>16</v>
      </c>
    </row>
    <row r="1044" ht="22.5" customHeight="1">
      <c r="A1044" s="7" t="s">
        <v>2380</v>
      </c>
      <c r="B1044" s="8" t="s">
        <v>1479</v>
      </c>
      <c r="C1044" s="7" t="s">
        <v>233</v>
      </c>
      <c r="D1044" s="7" t="s">
        <v>3388</v>
      </c>
      <c r="E1044" s="7"/>
      <c r="F1044" s="7" t="s">
        <v>16</v>
      </c>
    </row>
    <row r="1045" ht="22.5" customHeight="1">
      <c r="A1045" s="7" t="s">
        <v>2380</v>
      </c>
      <c r="B1045" s="8" t="s">
        <v>1479</v>
      </c>
      <c r="C1045" s="7" t="s">
        <v>233</v>
      </c>
      <c r="D1045" s="7" t="s">
        <v>3389</v>
      </c>
      <c r="E1045" s="7"/>
      <c r="F1045" s="7" t="s">
        <v>16</v>
      </c>
    </row>
    <row r="1046" ht="22.5" customHeight="1">
      <c r="A1046" s="7" t="s">
        <v>2380</v>
      </c>
      <c r="B1046" s="8" t="s">
        <v>1479</v>
      </c>
      <c r="C1046" s="7" t="s">
        <v>40</v>
      </c>
      <c r="D1046" s="7" t="s">
        <v>3390</v>
      </c>
      <c r="E1046" s="7"/>
      <c r="F1046" s="7" t="s">
        <v>16</v>
      </c>
    </row>
    <row r="1047" ht="22.5" customHeight="1">
      <c r="A1047" s="7" t="s">
        <v>2380</v>
      </c>
      <c r="B1047" s="8" t="s">
        <v>1479</v>
      </c>
      <c r="C1047" s="7" t="s">
        <v>40</v>
      </c>
      <c r="D1047" s="7" t="s">
        <v>3391</v>
      </c>
      <c r="E1047" s="7"/>
      <c r="F1047" s="7" t="s">
        <v>16</v>
      </c>
    </row>
    <row r="1048" ht="22.5" customHeight="1">
      <c r="A1048" s="7" t="s">
        <v>2380</v>
      </c>
      <c r="B1048" s="8" t="s">
        <v>1479</v>
      </c>
      <c r="C1048" s="7" t="s">
        <v>236</v>
      </c>
      <c r="D1048" s="7" t="s">
        <v>3392</v>
      </c>
      <c r="E1048" s="7"/>
      <c r="F1048" s="7" t="s">
        <v>16</v>
      </c>
    </row>
    <row r="1049" ht="22.5" customHeight="1">
      <c r="A1049" s="7" t="s">
        <v>2380</v>
      </c>
      <c r="B1049" s="8" t="s">
        <v>1479</v>
      </c>
      <c r="C1049" s="7" t="s">
        <v>236</v>
      </c>
      <c r="D1049" s="7" t="s">
        <v>3393</v>
      </c>
      <c r="E1049" s="7"/>
      <c r="F1049" s="7" t="s">
        <v>16</v>
      </c>
    </row>
    <row r="1050" ht="22.5" customHeight="1">
      <c r="A1050" s="7" t="s">
        <v>2380</v>
      </c>
      <c r="B1050" s="8" t="s">
        <v>1479</v>
      </c>
      <c r="C1050" s="7" t="s">
        <v>43</v>
      </c>
      <c r="D1050" s="7" t="s">
        <v>3394</v>
      </c>
      <c r="E1050" s="7"/>
      <c r="F1050" s="7" t="s">
        <v>16</v>
      </c>
    </row>
    <row r="1051" ht="22.5" customHeight="1">
      <c r="A1051" s="7" t="s">
        <v>2380</v>
      </c>
      <c r="B1051" s="8" t="s">
        <v>1479</v>
      </c>
      <c r="C1051" s="7" t="s">
        <v>43</v>
      </c>
      <c r="D1051" s="7" t="s">
        <v>3395</v>
      </c>
      <c r="E1051" s="7"/>
      <c r="F1051" s="7" t="s">
        <v>16</v>
      </c>
    </row>
    <row r="1052" ht="22.5" customHeight="1">
      <c r="A1052" s="7" t="s">
        <v>2380</v>
      </c>
      <c r="B1052" s="8" t="s">
        <v>1479</v>
      </c>
      <c r="C1052" s="7" t="s">
        <v>239</v>
      </c>
      <c r="D1052" s="7" t="s">
        <v>3396</v>
      </c>
      <c r="E1052" s="7"/>
      <c r="F1052" s="7" t="s">
        <v>16</v>
      </c>
    </row>
    <row r="1053" ht="22.5" customHeight="1">
      <c r="A1053" s="7" t="s">
        <v>2380</v>
      </c>
      <c r="B1053" s="8" t="s">
        <v>1479</v>
      </c>
      <c r="C1053" s="7" t="s">
        <v>239</v>
      </c>
      <c r="D1053" s="7" t="s">
        <v>3397</v>
      </c>
      <c r="E1053" s="7"/>
      <c r="F1053" s="7" t="s">
        <v>16</v>
      </c>
    </row>
    <row r="1054" ht="22.5" customHeight="1">
      <c r="A1054" s="7" t="s">
        <v>2380</v>
      </c>
      <c r="B1054" s="8" t="s">
        <v>1479</v>
      </c>
      <c r="C1054" s="7" t="s">
        <v>103</v>
      </c>
      <c r="D1054" s="7" t="s">
        <v>3398</v>
      </c>
      <c r="E1054" s="7"/>
      <c r="F1054" s="7" t="s">
        <v>16</v>
      </c>
    </row>
    <row r="1055" ht="22.5" customHeight="1">
      <c r="A1055" s="7" t="s">
        <v>2380</v>
      </c>
      <c r="B1055" s="8" t="s">
        <v>1479</v>
      </c>
      <c r="C1055" s="7" t="s">
        <v>103</v>
      </c>
      <c r="D1055" s="7" t="s">
        <v>3399</v>
      </c>
      <c r="E1055" s="7"/>
      <c r="F1055" s="7" t="s">
        <v>16</v>
      </c>
    </row>
    <row r="1056" ht="22.5" customHeight="1">
      <c r="A1056" s="7" t="s">
        <v>2217</v>
      </c>
      <c r="B1056" s="8" t="s">
        <v>3400</v>
      </c>
      <c r="C1056" s="7" t="s">
        <v>40</v>
      </c>
      <c r="D1056" s="7" t="s">
        <v>3401</v>
      </c>
      <c r="E1056" s="7"/>
      <c r="F1056" s="7" t="s">
        <v>16</v>
      </c>
    </row>
    <row r="1057" ht="22.5" customHeight="1">
      <c r="A1057" s="7" t="s">
        <v>2217</v>
      </c>
      <c r="B1057" s="8" t="s">
        <v>3400</v>
      </c>
      <c r="C1057" s="7" t="s">
        <v>236</v>
      </c>
      <c r="D1057" s="7" t="s">
        <v>3402</v>
      </c>
      <c r="E1057" s="7"/>
      <c r="F1057" s="7" t="s">
        <v>16</v>
      </c>
    </row>
    <row r="1058" ht="22.5" customHeight="1">
      <c r="A1058" s="7" t="s">
        <v>2217</v>
      </c>
      <c r="B1058" s="8" t="s">
        <v>3400</v>
      </c>
      <c r="C1058" s="7" t="s">
        <v>43</v>
      </c>
      <c r="D1058" s="7" t="s">
        <v>3403</v>
      </c>
      <c r="E1058" s="7"/>
      <c r="F1058" s="7" t="s">
        <v>16</v>
      </c>
    </row>
    <row r="1059" ht="22.5" customHeight="1">
      <c r="A1059" s="7" t="s">
        <v>2217</v>
      </c>
      <c r="B1059" s="8" t="s">
        <v>3400</v>
      </c>
      <c r="C1059" s="7" t="s">
        <v>239</v>
      </c>
      <c r="D1059" s="7" t="s">
        <v>3404</v>
      </c>
      <c r="E1059" s="7"/>
      <c r="F1059" s="7" t="s">
        <v>16</v>
      </c>
    </row>
    <row r="1060" ht="22.5" customHeight="1">
      <c r="A1060" s="7" t="s">
        <v>2217</v>
      </c>
      <c r="B1060" s="8" t="s">
        <v>3400</v>
      </c>
      <c r="C1060" s="7" t="s">
        <v>103</v>
      </c>
      <c r="D1060" s="7" t="s">
        <v>3405</v>
      </c>
      <c r="E1060" s="7"/>
      <c r="F1060" s="7" t="s">
        <v>16</v>
      </c>
    </row>
    <row r="1061" ht="22.5" customHeight="1">
      <c r="A1061" s="7" t="s">
        <v>2284</v>
      </c>
      <c r="B1061" s="8" t="s">
        <v>3406</v>
      </c>
      <c r="C1061" s="7" t="s">
        <v>38</v>
      </c>
      <c r="D1061" s="7" t="s">
        <v>3407</v>
      </c>
      <c r="E1061" s="7"/>
      <c r="F1061" s="7" t="s">
        <v>16</v>
      </c>
    </row>
    <row r="1062" ht="22.5" customHeight="1">
      <c r="A1062" s="7" t="s">
        <v>2284</v>
      </c>
      <c r="B1062" s="8" t="s">
        <v>3406</v>
      </c>
      <c r="C1062" s="7" t="s">
        <v>233</v>
      </c>
      <c r="D1062" s="7" t="s">
        <v>3408</v>
      </c>
      <c r="E1062" s="7"/>
      <c r="F1062" s="7" t="s">
        <v>16</v>
      </c>
    </row>
    <row r="1063" ht="22.5" customHeight="1">
      <c r="A1063" s="7" t="s">
        <v>2284</v>
      </c>
      <c r="B1063" s="8" t="s">
        <v>3406</v>
      </c>
      <c r="C1063" s="7" t="s">
        <v>40</v>
      </c>
      <c r="D1063" s="7" t="s">
        <v>3409</v>
      </c>
      <c r="E1063" s="7"/>
      <c r="F1063" s="7" t="s">
        <v>16</v>
      </c>
    </row>
    <row r="1064" ht="22.5" customHeight="1">
      <c r="A1064" s="7" t="s">
        <v>2284</v>
      </c>
      <c r="B1064" s="8" t="s">
        <v>3406</v>
      </c>
      <c r="C1064" s="7" t="s">
        <v>236</v>
      </c>
      <c r="D1064" s="7" t="s">
        <v>3410</v>
      </c>
      <c r="E1064" s="7"/>
      <c r="F1064" s="7" t="s">
        <v>16</v>
      </c>
    </row>
    <row r="1065" ht="22.5" customHeight="1">
      <c r="A1065" s="7" t="s">
        <v>2284</v>
      </c>
      <c r="B1065" s="8" t="s">
        <v>3406</v>
      </c>
      <c r="C1065" s="7" t="s">
        <v>43</v>
      </c>
      <c r="D1065" s="7" t="s">
        <v>3411</v>
      </c>
      <c r="E1065" s="7"/>
      <c r="F1065" s="7" t="s">
        <v>16</v>
      </c>
    </row>
    <row r="1066" ht="22.5" customHeight="1">
      <c r="A1066" s="7" t="s">
        <v>2284</v>
      </c>
      <c r="B1066" s="8" t="s">
        <v>3406</v>
      </c>
      <c r="C1066" s="7" t="s">
        <v>239</v>
      </c>
      <c r="D1066" s="7" t="s">
        <v>3412</v>
      </c>
      <c r="E1066" s="7"/>
      <c r="F1066" s="7" t="s">
        <v>16</v>
      </c>
    </row>
    <row r="1067" ht="22.5" customHeight="1">
      <c r="A1067" s="7" t="s">
        <v>2284</v>
      </c>
      <c r="B1067" s="8" t="s">
        <v>3406</v>
      </c>
      <c r="C1067" s="7" t="s">
        <v>103</v>
      </c>
      <c r="D1067" s="7" t="s">
        <v>3413</v>
      </c>
      <c r="E1067" s="7"/>
      <c r="F1067" s="7" t="s">
        <v>16</v>
      </c>
    </row>
    <row r="1068" ht="22.5" customHeight="1">
      <c r="A1068" s="7" t="s">
        <v>2301</v>
      </c>
      <c r="B1068" s="8" t="s">
        <v>3414</v>
      </c>
      <c r="C1068" s="7" t="s">
        <v>30</v>
      </c>
      <c r="D1068" s="7" t="s">
        <v>3415</v>
      </c>
      <c r="E1068" s="7"/>
      <c r="F1068" s="7" t="s">
        <v>16</v>
      </c>
    </row>
    <row r="1069" ht="22.5" customHeight="1">
      <c r="A1069" s="7" t="s">
        <v>2301</v>
      </c>
      <c r="B1069" s="8" t="s">
        <v>3414</v>
      </c>
      <c r="C1069" s="7" t="s">
        <v>598</v>
      </c>
      <c r="D1069" s="7" t="s">
        <v>3416</v>
      </c>
      <c r="E1069" s="7"/>
      <c r="F1069" s="7" t="s">
        <v>16</v>
      </c>
    </row>
    <row r="1070" ht="22.5" customHeight="1">
      <c r="A1070" s="7" t="s">
        <v>2301</v>
      </c>
      <c r="B1070" s="8" t="s">
        <v>3414</v>
      </c>
      <c r="C1070" s="7" t="s">
        <v>36</v>
      </c>
      <c r="D1070" s="7" t="s">
        <v>3417</v>
      </c>
      <c r="E1070" s="7"/>
      <c r="F1070" s="7" t="s">
        <v>16</v>
      </c>
    </row>
    <row r="1071" ht="22.5" customHeight="1">
      <c r="A1071" s="7" t="s">
        <v>2301</v>
      </c>
      <c r="B1071" s="8" t="s">
        <v>3414</v>
      </c>
      <c r="C1071" s="7" t="s">
        <v>230</v>
      </c>
      <c r="D1071" s="7" t="s">
        <v>3418</v>
      </c>
      <c r="E1071" s="7"/>
      <c r="F1071" s="7" t="s">
        <v>16</v>
      </c>
    </row>
    <row r="1072" ht="22.5" customHeight="1">
      <c r="A1072" s="7" t="s">
        <v>2301</v>
      </c>
      <c r="B1072" s="8" t="s">
        <v>3414</v>
      </c>
      <c r="C1072" s="7" t="s">
        <v>38</v>
      </c>
      <c r="D1072" s="7" t="s">
        <v>3419</v>
      </c>
      <c r="E1072" s="7"/>
      <c r="F1072" s="7" t="s">
        <v>16</v>
      </c>
    </row>
    <row r="1073" ht="22.5" customHeight="1">
      <c r="A1073" s="7" t="s">
        <v>2301</v>
      </c>
      <c r="B1073" s="8" t="s">
        <v>3414</v>
      </c>
      <c r="C1073" s="7" t="s">
        <v>233</v>
      </c>
      <c r="D1073" s="7" t="s">
        <v>3420</v>
      </c>
      <c r="E1073" s="7"/>
      <c r="F1073" s="7" t="s">
        <v>16</v>
      </c>
    </row>
    <row r="1074" ht="22.5" customHeight="1">
      <c r="A1074" s="7" t="s">
        <v>2301</v>
      </c>
      <c r="B1074" s="8" t="s">
        <v>3414</v>
      </c>
      <c r="C1074" s="7" t="s">
        <v>40</v>
      </c>
      <c r="D1074" s="7" t="s">
        <v>3421</v>
      </c>
      <c r="E1074" s="7"/>
      <c r="F1074" s="7" t="s">
        <v>16</v>
      </c>
    </row>
    <row r="1075" ht="22.5" customHeight="1">
      <c r="A1075" s="7" t="s">
        <v>2301</v>
      </c>
      <c r="B1075" s="8" t="s">
        <v>3414</v>
      </c>
      <c r="C1075" s="7" t="s">
        <v>236</v>
      </c>
      <c r="D1075" s="7" t="s">
        <v>3422</v>
      </c>
      <c r="E1075" s="7"/>
      <c r="F1075" s="7" t="s">
        <v>16</v>
      </c>
    </row>
    <row r="1076" ht="22.5" customHeight="1">
      <c r="A1076" s="7" t="s">
        <v>2301</v>
      </c>
      <c r="B1076" s="8" t="s">
        <v>3414</v>
      </c>
      <c r="C1076" s="7" t="s">
        <v>43</v>
      </c>
      <c r="D1076" s="7" t="s">
        <v>3423</v>
      </c>
      <c r="E1076" s="7"/>
      <c r="F1076" s="7" t="s">
        <v>16</v>
      </c>
    </row>
    <row r="1077" ht="22.5" customHeight="1">
      <c r="A1077" s="7" t="s">
        <v>2301</v>
      </c>
      <c r="B1077" s="8" t="s">
        <v>3414</v>
      </c>
      <c r="C1077" s="7" t="s">
        <v>239</v>
      </c>
      <c r="D1077" s="7" t="s">
        <v>3424</v>
      </c>
      <c r="E1077" s="7"/>
      <c r="F1077" s="7" t="s">
        <v>16</v>
      </c>
    </row>
    <row r="1078" ht="22.5" customHeight="1">
      <c r="A1078" s="7" t="s">
        <v>2301</v>
      </c>
      <c r="B1078" s="8" t="s">
        <v>3414</v>
      </c>
      <c r="C1078" s="7" t="s">
        <v>103</v>
      </c>
      <c r="D1078" s="7" t="s">
        <v>3425</v>
      </c>
      <c r="E1078" s="7"/>
      <c r="F1078" s="7" t="s">
        <v>16</v>
      </c>
    </row>
    <row r="1079" ht="22.5" customHeight="1">
      <c r="A1079" s="7" t="s">
        <v>2452</v>
      </c>
      <c r="B1079" s="8" t="s">
        <v>3426</v>
      </c>
      <c r="C1079" s="7" t="s">
        <v>30</v>
      </c>
      <c r="D1079" s="7" t="s">
        <v>3427</v>
      </c>
      <c r="E1079" s="7"/>
      <c r="F1079" s="7" t="s">
        <v>16</v>
      </c>
    </row>
    <row r="1080" ht="22.5" customHeight="1">
      <c r="A1080" s="7" t="s">
        <v>2452</v>
      </c>
      <c r="B1080" s="8" t="s">
        <v>3426</v>
      </c>
      <c r="C1080" s="7" t="s">
        <v>598</v>
      </c>
      <c r="D1080" s="7" t="s">
        <v>3428</v>
      </c>
      <c r="E1080" s="7"/>
      <c r="F1080" s="7" t="s">
        <v>16</v>
      </c>
    </row>
    <row r="1081" ht="22.5" customHeight="1">
      <c r="A1081" s="7" t="s">
        <v>2452</v>
      </c>
      <c r="B1081" s="8" t="s">
        <v>3426</v>
      </c>
      <c r="C1081" s="7" t="s">
        <v>36</v>
      </c>
      <c r="D1081" s="7" t="s">
        <v>3429</v>
      </c>
      <c r="E1081" s="7"/>
      <c r="F1081" s="7" t="s">
        <v>16</v>
      </c>
    </row>
    <row r="1082" ht="22.5" customHeight="1">
      <c r="A1082" s="7" t="s">
        <v>2452</v>
      </c>
      <c r="B1082" s="8" t="s">
        <v>3426</v>
      </c>
      <c r="C1082" s="7" t="s">
        <v>230</v>
      </c>
      <c r="D1082" s="7" t="s">
        <v>3430</v>
      </c>
      <c r="E1082" s="7"/>
      <c r="F1082" s="7" t="s">
        <v>16</v>
      </c>
    </row>
    <row r="1083" ht="22.5" customHeight="1">
      <c r="A1083" s="7" t="s">
        <v>2452</v>
      </c>
      <c r="B1083" s="8" t="s">
        <v>3426</v>
      </c>
      <c r="C1083" s="7" t="s">
        <v>38</v>
      </c>
      <c r="D1083" s="7" t="s">
        <v>3431</v>
      </c>
      <c r="E1083" s="7"/>
      <c r="F1083" s="7" t="s">
        <v>16</v>
      </c>
    </row>
    <row r="1084" ht="22.5" customHeight="1">
      <c r="A1084" s="7" t="s">
        <v>2452</v>
      </c>
      <c r="B1084" s="8" t="s">
        <v>3426</v>
      </c>
      <c r="C1084" s="7" t="s">
        <v>233</v>
      </c>
      <c r="D1084" s="7" t="s">
        <v>3432</v>
      </c>
      <c r="E1084" s="7"/>
      <c r="F1084" s="7" t="s">
        <v>16</v>
      </c>
    </row>
    <row r="1085" ht="22.5" customHeight="1">
      <c r="A1085" s="7" t="s">
        <v>2452</v>
      </c>
      <c r="B1085" s="8" t="s">
        <v>3426</v>
      </c>
      <c r="C1085" s="7" t="s">
        <v>40</v>
      </c>
      <c r="D1085" s="7" t="s">
        <v>3433</v>
      </c>
      <c r="E1085" s="7"/>
      <c r="F1085" s="7" t="s">
        <v>16</v>
      </c>
    </row>
    <row r="1086" ht="22.5" customHeight="1">
      <c r="A1086" s="7" t="s">
        <v>2452</v>
      </c>
      <c r="B1086" s="8" t="s">
        <v>3426</v>
      </c>
      <c r="C1086" s="7" t="s">
        <v>236</v>
      </c>
      <c r="D1086" s="7" t="s">
        <v>3434</v>
      </c>
      <c r="E1086" s="7"/>
      <c r="F1086" s="7" t="s">
        <v>16</v>
      </c>
    </row>
    <row r="1087" ht="22.5" customHeight="1">
      <c r="A1087" s="7" t="s">
        <v>2452</v>
      </c>
      <c r="B1087" s="8" t="s">
        <v>3426</v>
      </c>
      <c r="C1087" s="7" t="s">
        <v>43</v>
      </c>
      <c r="D1087" s="7" t="s">
        <v>3435</v>
      </c>
      <c r="E1087" s="7"/>
      <c r="F1087" s="7" t="s">
        <v>16</v>
      </c>
    </row>
    <row r="1088" ht="22.5" customHeight="1">
      <c r="A1088" s="7" t="s">
        <v>2452</v>
      </c>
      <c r="B1088" s="8" t="s">
        <v>3426</v>
      </c>
      <c r="C1088" s="7" t="s">
        <v>239</v>
      </c>
      <c r="D1088" s="7" t="s">
        <v>3436</v>
      </c>
      <c r="E1088" s="7"/>
      <c r="F1088" s="7" t="s">
        <v>16</v>
      </c>
    </row>
    <row r="1089" ht="22.5" customHeight="1">
      <c r="A1089" s="7" t="s">
        <v>2452</v>
      </c>
      <c r="B1089" s="8" t="s">
        <v>3426</v>
      </c>
      <c r="C1089" s="7" t="s">
        <v>103</v>
      </c>
      <c r="D1089" s="7" t="s">
        <v>3437</v>
      </c>
      <c r="E1089" s="7"/>
      <c r="F1089" s="7" t="s">
        <v>16</v>
      </c>
    </row>
    <row r="1090" ht="22.5" customHeight="1">
      <c r="A1090" s="7" t="s">
        <v>2295</v>
      </c>
      <c r="B1090" s="8" t="s">
        <v>3438</v>
      </c>
      <c r="C1090" s="7" t="s">
        <v>30</v>
      </c>
      <c r="D1090" s="7" t="s">
        <v>3439</v>
      </c>
      <c r="E1090" s="7"/>
      <c r="F1090" s="7" t="s">
        <v>16</v>
      </c>
    </row>
    <row r="1091" ht="22.5" customHeight="1">
      <c r="A1091" s="7" t="s">
        <v>2295</v>
      </c>
      <c r="B1091" s="8" t="s">
        <v>3438</v>
      </c>
      <c r="C1091" s="7" t="s">
        <v>36</v>
      </c>
      <c r="D1091" s="7" t="s">
        <v>3440</v>
      </c>
      <c r="E1091" s="7"/>
      <c r="F1091" s="7" t="s">
        <v>16</v>
      </c>
    </row>
    <row r="1092" ht="22.5" customHeight="1">
      <c r="A1092" s="7" t="s">
        <v>2295</v>
      </c>
      <c r="B1092" s="8" t="s">
        <v>3438</v>
      </c>
      <c r="C1092" s="7" t="s">
        <v>38</v>
      </c>
      <c r="D1092" s="7" t="s">
        <v>3441</v>
      </c>
      <c r="E1092" s="7"/>
      <c r="F1092" s="7" t="s">
        <v>16</v>
      </c>
    </row>
    <row r="1093" ht="22.5" customHeight="1">
      <c r="A1093" s="7" t="s">
        <v>2295</v>
      </c>
      <c r="B1093" s="8" t="s">
        <v>3438</v>
      </c>
      <c r="C1093" s="7" t="s">
        <v>40</v>
      </c>
      <c r="D1093" s="7" t="s">
        <v>3442</v>
      </c>
      <c r="E1093" s="7"/>
      <c r="F1093" s="7" t="s">
        <v>16</v>
      </c>
    </row>
    <row r="1094" ht="22.5" customHeight="1">
      <c r="A1094" s="7" t="s">
        <v>2295</v>
      </c>
      <c r="B1094" s="8" t="s">
        <v>3438</v>
      </c>
      <c r="C1094" s="7" t="s">
        <v>43</v>
      </c>
      <c r="D1094" s="7" t="s">
        <v>3443</v>
      </c>
      <c r="E1094" s="7"/>
      <c r="F1094" s="7" t="s">
        <v>16</v>
      </c>
    </row>
    <row r="1095" ht="22.5" customHeight="1">
      <c r="A1095" s="7" t="s">
        <v>2295</v>
      </c>
      <c r="B1095" s="8" t="s">
        <v>3438</v>
      </c>
      <c r="C1095" s="7" t="s">
        <v>43</v>
      </c>
      <c r="D1095" s="7" t="s">
        <v>3444</v>
      </c>
      <c r="E1095" s="7" t="s">
        <v>48</v>
      </c>
      <c r="F1095" s="7" t="s">
        <v>16</v>
      </c>
    </row>
    <row r="1096" ht="22.5" customHeight="1">
      <c r="A1096" s="7" t="s">
        <v>2301</v>
      </c>
      <c r="B1096" s="8" t="s">
        <v>3445</v>
      </c>
      <c r="C1096" s="7" t="s">
        <v>30</v>
      </c>
      <c r="D1096" s="7" t="s">
        <v>3446</v>
      </c>
      <c r="E1096" s="7"/>
      <c r="F1096" s="7" t="s">
        <v>16</v>
      </c>
    </row>
    <row r="1097" ht="22.5" customHeight="1">
      <c r="A1097" s="7" t="s">
        <v>2301</v>
      </c>
      <c r="B1097" s="8" t="s">
        <v>3445</v>
      </c>
      <c r="C1097" s="7" t="s">
        <v>30</v>
      </c>
      <c r="D1097" s="7" t="s">
        <v>3447</v>
      </c>
      <c r="E1097" s="7"/>
      <c r="F1097" s="7" t="s">
        <v>16</v>
      </c>
    </row>
    <row r="1098" ht="22.5" customHeight="1">
      <c r="A1098" s="7" t="s">
        <v>2301</v>
      </c>
      <c r="B1098" s="8" t="s">
        <v>3445</v>
      </c>
      <c r="C1098" s="7" t="s">
        <v>598</v>
      </c>
      <c r="D1098" s="7" t="s">
        <v>3448</v>
      </c>
      <c r="E1098" s="7"/>
      <c r="F1098" s="7" t="s">
        <v>16</v>
      </c>
    </row>
    <row r="1099" ht="22.5" customHeight="1">
      <c r="A1099" s="7" t="s">
        <v>2301</v>
      </c>
      <c r="B1099" s="8" t="s">
        <v>3445</v>
      </c>
      <c r="C1099" s="7" t="s">
        <v>598</v>
      </c>
      <c r="D1099" s="7" t="s">
        <v>3449</v>
      </c>
      <c r="E1099" s="7"/>
      <c r="F1099" s="7" t="s">
        <v>16</v>
      </c>
    </row>
    <row r="1100" ht="22.5" customHeight="1">
      <c r="A1100" s="7" t="s">
        <v>2301</v>
      </c>
      <c r="B1100" s="8" t="s">
        <v>3445</v>
      </c>
      <c r="C1100" s="7" t="s">
        <v>36</v>
      </c>
      <c r="D1100" s="7" t="s">
        <v>3450</v>
      </c>
      <c r="E1100" s="7"/>
      <c r="F1100" s="7" t="s">
        <v>16</v>
      </c>
    </row>
    <row r="1101" ht="22.5" customHeight="1">
      <c r="A1101" s="7" t="s">
        <v>2301</v>
      </c>
      <c r="B1101" s="8" t="s">
        <v>3445</v>
      </c>
      <c r="C1101" s="7" t="s">
        <v>36</v>
      </c>
      <c r="D1101" s="7" t="s">
        <v>3451</v>
      </c>
      <c r="E1101" s="7"/>
      <c r="F1101" s="7" t="s">
        <v>16</v>
      </c>
    </row>
    <row r="1102" ht="22.5" customHeight="1">
      <c r="A1102" s="7" t="s">
        <v>2301</v>
      </c>
      <c r="B1102" s="8" t="s">
        <v>3445</v>
      </c>
      <c r="C1102" s="7" t="s">
        <v>230</v>
      </c>
      <c r="D1102" s="7" t="s">
        <v>3452</v>
      </c>
      <c r="E1102" s="7"/>
      <c r="F1102" s="7" t="s">
        <v>16</v>
      </c>
    </row>
    <row r="1103" ht="22.5" customHeight="1">
      <c r="A1103" s="7" t="s">
        <v>2301</v>
      </c>
      <c r="B1103" s="8" t="s">
        <v>3445</v>
      </c>
      <c r="C1103" s="7" t="s">
        <v>230</v>
      </c>
      <c r="D1103" s="7" t="s">
        <v>3453</v>
      </c>
      <c r="E1103" s="7"/>
      <c r="F1103" s="7" t="s">
        <v>16</v>
      </c>
    </row>
    <row r="1104" ht="22.5" customHeight="1">
      <c r="A1104" s="7" t="s">
        <v>2301</v>
      </c>
      <c r="B1104" s="8" t="s">
        <v>3445</v>
      </c>
      <c r="C1104" s="7" t="s">
        <v>38</v>
      </c>
      <c r="D1104" s="7" t="s">
        <v>3454</v>
      </c>
      <c r="E1104" s="7"/>
      <c r="F1104" s="7" t="s">
        <v>16</v>
      </c>
    </row>
    <row r="1105" ht="22.5" customHeight="1">
      <c r="A1105" s="7" t="s">
        <v>2301</v>
      </c>
      <c r="B1105" s="8" t="s">
        <v>3445</v>
      </c>
      <c r="C1105" s="7" t="s">
        <v>38</v>
      </c>
      <c r="D1105" s="7" t="s">
        <v>3455</v>
      </c>
      <c r="E1105" s="7"/>
      <c r="F1105" s="7" t="s">
        <v>16</v>
      </c>
    </row>
    <row r="1106" ht="22.5" customHeight="1">
      <c r="A1106" s="7" t="s">
        <v>2301</v>
      </c>
      <c r="B1106" s="8" t="s">
        <v>3445</v>
      </c>
      <c r="C1106" s="7" t="s">
        <v>233</v>
      </c>
      <c r="D1106" s="7" t="s">
        <v>3456</v>
      </c>
      <c r="E1106" s="7"/>
      <c r="F1106" s="7" t="s">
        <v>16</v>
      </c>
    </row>
    <row r="1107" ht="22.5" customHeight="1">
      <c r="A1107" s="7" t="s">
        <v>2301</v>
      </c>
      <c r="B1107" s="8" t="s">
        <v>3445</v>
      </c>
      <c r="C1107" s="7" t="s">
        <v>233</v>
      </c>
      <c r="D1107" s="7" t="s">
        <v>3457</v>
      </c>
      <c r="E1107" s="7"/>
      <c r="F1107" s="7" t="s">
        <v>16</v>
      </c>
    </row>
    <row r="1108" ht="22.5" customHeight="1">
      <c r="A1108" s="7" t="s">
        <v>2301</v>
      </c>
      <c r="B1108" s="8" t="s">
        <v>3445</v>
      </c>
      <c r="C1108" s="7" t="s">
        <v>40</v>
      </c>
      <c r="D1108" s="7" t="s">
        <v>3458</v>
      </c>
      <c r="E1108" s="7"/>
      <c r="F1108" s="7" t="s">
        <v>16</v>
      </c>
    </row>
    <row r="1109" ht="22.5" customHeight="1">
      <c r="A1109" s="7" t="s">
        <v>2301</v>
      </c>
      <c r="B1109" s="8" t="s">
        <v>3445</v>
      </c>
      <c r="C1109" s="7" t="s">
        <v>40</v>
      </c>
      <c r="D1109" s="7" t="s">
        <v>3459</v>
      </c>
      <c r="E1109" s="7"/>
      <c r="F1109" s="7" t="s">
        <v>16</v>
      </c>
    </row>
    <row r="1110" ht="22.5" customHeight="1">
      <c r="A1110" s="7" t="s">
        <v>2301</v>
      </c>
      <c r="B1110" s="8" t="s">
        <v>3445</v>
      </c>
      <c r="C1110" s="7" t="s">
        <v>236</v>
      </c>
      <c r="D1110" s="7" t="s">
        <v>3460</v>
      </c>
      <c r="E1110" s="7"/>
      <c r="F1110" s="7" t="s">
        <v>16</v>
      </c>
    </row>
    <row r="1111" ht="22.5" customHeight="1">
      <c r="A1111" s="7" t="s">
        <v>2301</v>
      </c>
      <c r="B1111" s="8" t="s">
        <v>3445</v>
      </c>
      <c r="C1111" s="7" t="s">
        <v>236</v>
      </c>
      <c r="D1111" s="7" t="s">
        <v>3461</v>
      </c>
      <c r="E1111" s="7"/>
      <c r="F1111" s="7" t="s">
        <v>16</v>
      </c>
    </row>
    <row r="1112" ht="22.5" customHeight="1">
      <c r="A1112" s="7" t="s">
        <v>2301</v>
      </c>
      <c r="B1112" s="8" t="s">
        <v>3445</v>
      </c>
      <c r="C1112" s="7" t="s">
        <v>43</v>
      </c>
      <c r="D1112" s="7" t="s">
        <v>3462</v>
      </c>
      <c r="E1112" s="7"/>
      <c r="F1112" s="7" t="s">
        <v>16</v>
      </c>
    </row>
    <row r="1113" ht="22.5" customHeight="1">
      <c r="A1113" s="7" t="s">
        <v>2301</v>
      </c>
      <c r="B1113" s="8" t="s">
        <v>3445</v>
      </c>
      <c r="C1113" s="7" t="s">
        <v>43</v>
      </c>
      <c r="D1113" s="7" t="s">
        <v>3463</v>
      </c>
      <c r="E1113" s="7"/>
      <c r="F1113" s="7" t="s">
        <v>16</v>
      </c>
    </row>
    <row r="1114" ht="22.5" customHeight="1">
      <c r="A1114" s="7" t="s">
        <v>2301</v>
      </c>
      <c r="B1114" s="8" t="s">
        <v>3445</v>
      </c>
      <c r="C1114" s="7" t="s">
        <v>239</v>
      </c>
      <c r="D1114" s="7" t="s">
        <v>3464</v>
      </c>
      <c r="E1114" s="7"/>
      <c r="F1114" s="7" t="s">
        <v>16</v>
      </c>
    </row>
    <row r="1115" ht="22.5" customHeight="1">
      <c r="A1115" s="7" t="s">
        <v>2301</v>
      </c>
      <c r="B1115" s="8" t="s">
        <v>3445</v>
      </c>
      <c r="C1115" s="7" t="s">
        <v>239</v>
      </c>
      <c r="D1115" s="7" t="s">
        <v>3465</v>
      </c>
      <c r="E1115" s="7"/>
      <c r="F1115" s="7" t="s">
        <v>16</v>
      </c>
    </row>
    <row r="1116" ht="22.5" customHeight="1">
      <c r="A1116" s="7" t="s">
        <v>2301</v>
      </c>
      <c r="B1116" s="8" t="s">
        <v>3445</v>
      </c>
      <c r="C1116" s="7" t="s">
        <v>103</v>
      </c>
      <c r="D1116" s="7" t="s">
        <v>3466</v>
      </c>
      <c r="E1116" s="7"/>
      <c r="F1116" s="7" t="s">
        <v>16</v>
      </c>
    </row>
    <row r="1117" ht="22.5" customHeight="1">
      <c r="A1117" s="7" t="s">
        <v>2301</v>
      </c>
      <c r="B1117" s="8" t="s">
        <v>3445</v>
      </c>
      <c r="C1117" s="7" t="s">
        <v>103</v>
      </c>
      <c r="D1117" s="7" t="s">
        <v>3467</v>
      </c>
      <c r="E1117" s="7"/>
      <c r="F1117" s="7" t="s">
        <v>16</v>
      </c>
    </row>
    <row r="1118" ht="22.5" customHeight="1">
      <c r="A1118" s="7" t="s">
        <v>2295</v>
      </c>
      <c r="B1118" s="8" t="s">
        <v>3468</v>
      </c>
      <c r="C1118" s="7" t="s">
        <v>36</v>
      </c>
      <c r="D1118" s="7" t="s">
        <v>3469</v>
      </c>
      <c r="E1118" s="7"/>
      <c r="F1118" s="7" t="s">
        <v>16</v>
      </c>
    </row>
    <row r="1119" ht="22.5" customHeight="1">
      <c r="A1119" s="7" t="s">
        <v>2295</v>
      </c>
      <c r="B1119" s="8" t="s">
        <v>3468</v>
      </c>
      <c r="C1119" s="7" t="s">
        <v>38</v>
      </c>
      <c r="D1119" s="7" t="s">
        <v>3470</v>
      </c>
      <c r="E1119" s="7"/>
      <c r="F1119" s="7" t="s">
        <v>16</v>
      </c>
    </row>
    <row r="1120" ht="22.5" customHeight="1">
      <c r="A1120" s="7" t="s">
        <v>2295</v>
      </c>
      <c r="B1120" s="8" t="s">
        <v>3468</v>
      </c>
      <c r="C1120" s="7" t="s">
        <v>40</v>
      </c>
      <c r="D1120" s="7" t="s">
        <v>3471</v>
      </c>
      <c r="E1120" s="7"/>
      <c r="F1120" s="7" t="s">
        <v>16</v>
      </c>
    </row>
    <row r="1121" ht="22.5" customHeight="1">
      <c r="A1121" s="7" t="s">
        <v>2295</v>
      </c>
      <c r="B1121" s="8" t="s">
        <v>3468</v>
      </c>
      <c r="C1121" s="7" t="s">
        <v>43</v>
      </c>
      <c r="D1121" s="7" t="s">
        <v>3472</v>
      </c>
      <c r="E1121" s="7"/>
      <c r="F1121" s="7" t="s">
        <v>16</v>
      </c>
    </row>
    <row r="1122" ht="22.5" customHeight="1">
      <c r="A1122" s="7" t="s">
        <v>2295</v>
      </c>
      <c r="B1122" s="8" t="s">
        <v>3468</v>
      </c>
      <c r="C1122" s="7" t="s">
        <v>43</v>
      </c>
      <c r="D1122" s="7" t="s">
        <v>3473</v>
      </c>
      <c r="E1122" s="7" t="s">
        <v>48</v>
      </c>
      <c r="F1122" s="7" t="s">
        <v>16</v>
      </c>
    </row>
    <row r="1123" ht="22.5" customHeight="1">
      <c r="A1123" s="7" t="s">
        <v>2380</v>
      </c>
      <c r="B1123" s="8" t="s">
        <v>3474</v>
      </c>
      <c r="C1123" s="7" t="s">
        <v>30</v>
      </c>
      <c r="D1123" s="7" t="s">
        <v>3475</v>
      </c>
      <c r="E1123" s="7"/>
      <c r="F1123" s="7" t="s">
        <v>16</v>
      </c>
    </row>
    <row r="1124" ht="22.5" customHeight="1">
      <c r="A1124" s="7" t="s">
        <v>2380</v>
      </c>
      <c r="B1124" s="8" t="s">
        <v>3474</v>
      </c>
      <c r="C1124" s="7" t="s">
        <v>30</v>
      </c>
      <c r="D1124" s="7" t="s">
        <v>3476</v>
      </c>
      <c r="E1124" s="7"/>
      <c r="F1124" s="7" t="s">
        <v>16</v>
      </c>
    </row>
    <row r="1125" ht="22.5" customHeight="1">
      <c r="A1125" s="7" t="s">
        <v>2380</v>
      </c>
      <c r="B1125" s="8" t="s">
        <v>3474</v>
      </c>
      <c r="C1125" s="7" t="s">
        <v>598</v>
      </c>
      <c r="D1125" s="7" t="s">
        <v>3477</v>
      </c>
      <c r="E1125" s="7"/>
      <c r="F1125" s="7" t="s">
        <v>16</v>
      </c>
    </row>
    <row r="1126" ht="22.5" customHeight="1">
      <c r="A1126" s="7" t="s">
        <v>2380</v>
      </c>
      <c r="B1126" s="8" t="s">
        <v>3474</v>
      </c>
      <c r="C1126" s="7" t="s">
        <v>598</v>
      </c>
      <c r="D1126" s="7" t="s">
        <v>3478</v>
      </c>
      <c r="E1126" s="7"/>
      <c r="F1126" s="7" t="s">
        <v>16</v>
      </c>
    </row>
    <row r="1127" ht="22.5" customHeight="1">
      <c r="A1127" s="7" t="s">
        <v>2380</v>
      </c>
      <c r="B1127" s="8" t="s">
        <v>3474</v>
      </c>
      <c r="C1127" s="7" t="s">
        <v>36</v>
      </c>
      <c r="D1127" s="7" t="s">
        <v>3479</v>
      </c>
      <c r="E1127" s="7"/>
      <c r="F1127" s="7" t="s">
        <v>16</v>
      </c>
    </row>
    <row r="1128" ht="22.5" customHeight="1">
      <c r="A1128" s="7" t="s">
        <v>2380</v>
      </c>
      <c r="B1128" s="8" t="s">
        <v>3474</v>
      </c>
      <c r="C1128" s="7" t="s">
        <v>36</v>
      </c>
      <c r="D1128" s="7" t="s">
        <v>3480</v>
      </c>
      <c r="E1128" s="7"/>
      <c r="F1128" s="7" t="s">
        <v>16</v>
      </c>
    </row>
    <row r="1129" ht="22.5" customHeight="1">
      <c r="A1129" s="7" t="s">
        <v>2380</v>
      </c>
      <c r="B1129" s="8" t="s">
        <v>3474</v>
      </c>
      <c r="C1129" s="7" t="s">
        <v>230</v>
      </c>
      <c r="D1129" s="7" t="s">
        <v>3481</v>
      </c>
      <c r="E1129" s="7"/>
      <c r="F1129" s="7" t="s">
        <v>16</v>
      </c>
    </row>
    <row r="1130" ht="22.5" customHeight="1">
      <c r="A1130" s="7" t="s">
        <v>2380</v>
      </c>
      <c r="B1130" s="8" t="s">
        <v>3474</v>
      </c>
      <c r="C1130" s="7" t="s">
        <v>230</v>
      </c>
      <c r="D1130" s="7" t="s">
        <v>3482</v>
      </c>
      <c r="E1130" s="7"/>
      <c r="F1130" s="7" t="s">
        <v>16</v>
      </c>
    </row>
    <row r="1131" ht="22.5" customHeight="1">
      <c r="A1131" s="7" t="s">
        <v>2380</v>
      </c>
      <c r="B1131" s="8" t="s">
        <v>3474</v>
      </c>
      <c r="C1131" s="7" t="s">
        <v>38</v>
      </c>
      <c r="D1131" s="7" t="s">
        <v>3483</v>
      </c>
      <c r="E1131" s="7"/>
      <c r="F1131" s="7" t="s">
        <v>16</v>
      </c>
    </row>
    <row r="1132" ht="22.5" customHeight="1">
      <c r="A1132" s="7" t="s">
        <v>2380</v>
      </c>
      <c r="B1132" s="8" t="s">
        <v>3474</v>
      </c>
      <c r="C1132" s="7" t="s">
        <v>38</v>
      </c>
      <c r="D1132" s="7" t="s">
        <v>3484</v>
      </c>
      <c r="E1132" s="7"/>
      <c r="F1132" s="7" t="s">
        <v>16</v>
      </c>
    </row>
    <row r="1133" ht="22.5" customHeight="1">
      <c r="A1133" s="7" t="s">
        <v>2380</v>
      </c>
      <c r="B1133" s="8" t="s">
        <v>3474</v>
      </c>
      <c r="C1133" s="7" t="s">
        <v>233</v>
      </c>
      <c r="D1133" s="7" t="s">
        <v>3485</v>
      </c>
      <c r="E1133" s="7"/>
      <c r="F1133" s="7" t="s">
        <v>16</v>
      </c>
    </row>
    <row r="1134" ht="22.5" customHeight="1">
      <c r="A1134" s="7" t="s">
        <v>2380</v>
      </c>
      <c r="B1134" s="8" t="s">
        <v>3474</v>
      </c>
      <c r="C1134" s="7" t="s">
        <v>233</v>
      </c>
      <c r="D1134" s="7" t="s">
        <v>3486</v>
      </c>
      <c r="E1134" s="7"/>
      <c r="F1134" s="7" t="s">
        <v>16</v>
      </c>
    </row>
    <row r="1135" ht="22.5" customHeight="1">
      <c r="A1135" s="7" t="s">
        <v>2380</v>
      </c>
      <c r="B1135" s="8" t="s">
        <v>3474</v>
      </c>
      <c r="C1135" s="7" t="s">
        <v>40</v>
      </c>
      <c r="D1135" s="7" t="s">
        <v>3487</v>
      </c>
      <c r="E1135" s="7"/>
      <c r="F1135" s="7" t="s">
        <v>16</v>
      </c>
    </row>
    <row r="1136" ht="22.5" customHeight="1">
      <c r="A1136" s="7" t="s">
        <v>2380</v>
      </c>
      <c r="B1136" s="8" t="s">
        <v>3474</v>
      </c>
      <c r="C1136" s="7" t="s">
        <v>40</v>
      </c>
      <c r="D1136" s="7" t="s">
        <v>3488</v>
      </c>
      <c r="E1136" s="7"/>
      <c r="F1136" s="7" t="s">
        <v>16</v>
      </c>
    </row>
    <row r="1137" ht="22.5" customHeight="1">
      <c r="A1137" s="7" t="s">
        <v>2380</v>
      </c>
      <c r="B1137" s="8" t="s">
        <v>3474</v>
      </c>
      <c r="C1137" s="7" t="s">
        <v>236</v>
      </c>
      <c r="D1137" s="7" t="s">
        <v>3489</v>
      </c>
      <c r="E1137" s="7"/>
      <c r="F1137" s="7" t="s">
        <v>16</v>
      </c>
    </row>
    <row r="1138" ht="22.5" customHeight="1">
      <c r="A1138" s="7" t="s">
        <v>2380</v>
      </c>
      <c r="B1138" s="8" t="s">
        <v>3474</v>
      </c>
      <c r="C1138" s="7" t="s">
        <v>236</v>
      </c>
      <c r="D1138" s="7" t="s">
        <v>3490</v>
      </c>
      <c r="E1138" s="7"/>
      <c r="F1138" s="7" t="s">
        <v>16</v>
      </c>
    </row>
    <row r="1139" ht="22.5" customHeight="1">
      <c r="A1139" s="7" t="s">
        <v>2380</v>
      </c>
      <c r="B1139" s="8" t="s">
        <v>3474</v>
      </c>
      <c r="C1139" s="7" t="s">
        <v>43</v>
      </c>
      <c r="D1139" s="7" t="s">
        <v>3491</v>
      </c>
      <c r="E1139" s="7"/>
      <c r="F1139" s="7" t="s">
        <v>16</v>
      </c>
    </row>
    <row r="1140" ht="22.5" customHeight="1">
      <c r="A1140" s="7" t="s">
        <v>2380</v>
      </c>
      <c r="B1140" s="8" t="s">
        <v>3474</v>
      </c>
      <c r="C1140" s="7" t="s">
        <v>43</v>
      </c>
      <c r="D1140" s="7" t="s">
        <v>3492</v>
      </c>
      <c r="E1140" s="7"/>
      <c r="F1140" s="7" t="s">
        <v>16</v>
      </c>
    </row>
    <row r="1141" ht="22.5" customHeight="1">
      <c r="A1141" s="7" t="s">
        <v>2380</v>
      </c>
      <c r="B1141" s="8" t="s">
        <v>3474</v>
      </c>
      <c r="C1141" s="7" t="s">
        <v>239</v>
      </c>
      <c r="D1141" s="7" t="s">
        <v>3493</v>
      </c>
      <c r="E1141" s="7"/>
      <c r="F1141" s="7" t="s">
        <v>16</v>
      </c>
    </row>
    <row r="1142" ht="22.5" customHeight="1">
      <c r="A1142" s="7" t="s">
        <v>2380</v>
      </c>
      <c r="B1142" s="8" t="s">
        <v>3474</v>
      </c>
      <c r="C1142" s="7" t="s">
        <v>239</v>
      </c>
      <c r="D1142" s="7" t="s">
        <v>3494</v>
      </c>
      <c r="E1142" s="7"/>
      <c r="F1142" s="7" t="s">
        <v>16</v>
      </c>
    </row>
    <row r="1143" ht="22.5" customHeight="1">
      <c r="A1143" s="7" t="s">
        <v>2380</v>
      </c>
      <c r="B1143" s="8" t="s">
        <v>3474</v>
      </c>
      <c r="C1143" s="7" t="s">
        <v>103</v>
      </c>
      <c r="D1143" s="7" t="s">
        <v>3495</v>
      </c>
      <c r="E1143" s="7"/>
      <c r="F1143" s="7" t="s">
        <v>16</v>
      </c>
    </row>
    <row r="1144" ht="22.5" customHeight="1">
      <c r="A1144" s="7" t="s">
        <v>2380</v>
      </c>
      <c r="B1144" s="8" t="s">
        <v>3474</v>
      </c>
      <c r="C1144" s="7" t="s">
        <v>103</v>
      </c>
      <c r="D1144" s="7" t="s">
        <v>3496</v>
      </c>
      <c r="E1144" s="7"/>
      <c r="F1144" s="7" t="s">
        <v>16</v>
      </c>
    </row>
    <row r="1145" ht="22.5" customHeight="1">
      <c r="A1145" s="7" t="s">
        <v>2230</v>
      </c>
      <c r="B1145" s="8" t="s">
        <v>3497</v>
      </c>
      <c r="C1145" s="7" t="s">
        <v>30</v>
      </c>
      <c r="D1145" s="7" t="s">
        <v>3498</v>
      </c>
      <c r="E1145" s="7"/>
      <c r="F1145" s="7" t="s">
        <v>16</v>
      </c>
    </row>
    <row r="1146" ht="22.5" customHeight="1">
      <c r="A1146" s="7" t="s">
        <v>2230</v>
      </c>
      <c r="B1146" s="8" t="s">
        <v>3497</v>
      </c>
      <c r="C1146" s="7" t="s">
        <v>36</v>
      </c>
      <c r="D1146" s="7" t="s">
        <v>3499</v>
      </c>
      <c r="E1146" s="7"/>
      <c r="F1146" s="7" t="s">
        <v>16</v>
      </c>
    </row>
    <row r="1147" ht="22.5" customHeight="1">
      <c r="A1147" s="7" t="s">
        <v>2230</v>
      </c>
      <c r="B1147" s="8" t="s">
        <v>3497</v>
      </c>
      <c r="C1147" s="7" t="s">
        <v>36</v>
      </c>
      <c r="D1147" s="7" t="s">
        <v>3500</v>
      </c>
      <c r="E1147" s="7"/>
      <c r="F1147" s="7" t="s">
        <v>16</v>
      </c>
    </row>
    <row r="1148" ht="22.5" customHeight="1">
      <c r="A1148" s="7" t="s">
        <v>2230</v>
      </c>
      <c r="B1148" s="8" t="s">
        <v>3497</v>
      </c>
      <c r="C1148" s="7" t="s">
        <v>230</v>
      </c>
      <c r="D1148" s="7" t="s">
        <v>3501</v>
      </c>
      <c r="E1148" s="7"/>
      <c r="F1148" s="7" t="s">
        <v>16</v>
      </c>
    </row>
    <row r="1149" ht="22.5" customHeight="1">
      <c r="A1149" s="7" t="s">
        <v>2230</v>
      </c>
      <c r="B1149" s="8" t="s">
        <v>3497</v>
      </c>
      <c r="C1149" s="7" t="s">
        <v>38</v>
      </c>
      <c r="D1149" s="7" t="s">
        <v>3502</v>
      </c>
      <c r="E1149" s="7"/>
      <c r="F1149" s="7" t="s">
        <v>16</v>
      </c>
    </row>
    <row r="1150" ht="22.5" customHeight="1">
      <c r="A1150" s="7" t="s">
        <v>2230</v>
      </c>
      <c r="B1150" s="8" t="s">
        <v>3497</v>
      </c>
      <c r="C1150" s="7" t="s">
        <v>233</v>
      </c>
      <c r="D1150" s="7" t="s">
        <v>3503</v>
      </c>
      <c r="E1150" s="7"/>
      <c r="F1150" s="7" t="s">
        <v>16</v>
      </c>
    </row>
    <row r="1151" ht="22.5" customHeight="1">
      <c r="A1151" s="7" t="s">
        <v>2230</v>
      </c>
      <c r="B1151" s="8" t="s">
        <v>3497</v>
      </c>
      <c r="C1151" s="7" t="s">
        <v>40</v>
      </c>
      <c r="D1151" s="7" t="s">
        <v>3504</v>
      </c>
      <c r="E1151" s="7"/>
      <c r="F1151" s="7" t="s">
        <v>16</v>
      </c>
    </row>
    <row r="1152" ht="22.5" customHeight="1">
      <c r="A1152" s="7" t="s">
        <v>2230</v>
      </c>
      <c r="B1152" s="8" t="s">
        <v>3497</v>
      </c>
      <c r="C1152" s="7" t="s">
        <v>236</v>
      </c>
      <c r="D1152" s="7" t="s">
        <v>3505</v>
      </c>
      <c r="E1152" s="7"/>
      <c r="F1152" s="7" t="s">
        <v>16</v>
      </c>
    </row>
    <row r="1153" ht="22.5" customHeight="1">
      <c r="A1153" s="7" t="s">
        <v>2230</v>
      </c>
      <c r="B1153" s="8" t="s">
        <v>3497</v>
      </c>
      <c r="C1153" s="7" t="s">
        <v>43</v>
      </c>
      <c r="D1153" s="7" t="s">
        <v>3506</v>
      </c>
      <c r="E1153" s="7"/>
      <c r="F1153" s="7" t="s">
        <v>16</v>
      </c>
    </row>
    <row r="1154" ht="22.5" customHeight="1">
      <c r="A1154" s="7" t="s">
        <v>2230</v>
      </c>
      <c r="B1154" s="8" t="s">
        <v>3497</v>
      </c>
      <c r="C1154" s="7" t="s">
        <v>239</v>
      </c>
      <c r="D1154" s="7" t="s">
        <v>3507</v>
      </c>
      <c r="E1154" s="7"/>
      <c r="F1154" s="7" t="s">
        <v>16</v>
      </c>
    </row>
    <row r="1155" ht="22.5" customHeight="1">
      <c r="A1155" s="7" t="s">
        <v>2230</v>
      </c>
      <c r="B1155" s="8" t="s">
        <v>3497</v>
      </c>
      <c r="C1155" s="7" t="s">
        <v>103</v>
      </c>
      <c r="D1155" s="7" t="s">
        <v>3508</v>
      </c>
      <c r="E1155" s="7"/>
      <c r="F1155" s="7" t="s">
        <v>16</v>
      </c>
    </row>
    <row r="1156" ht="22.5" customHeight="1">
      <c r="A1156" s="7" t="s">
        <v>2452</v>
      </c>
      <c r="B1156" s="8" t="s">
        <v>3509</v>
      </c>
      <c r="C1156" s="7" t="s">
        <v>30</v>
      </c>
      <c r="D1156" s="7" t="s">
        <v>3510</v>
      </c>
      <c r="E1156" s="7"/>
      <c r="F1156" s="7" t="s">
        <v>16</v>
      </c>
    </row>
    <row r="1157" ht="22.5" customHeight="1">
      <c r="A1157" s="7" t="s">
        <v>2452</v>
      </c>
      <c r="B1157" s="8" t="s">
        <v>3509</v>
      </c>
      <c r="C1157" s="7" t="s">
        <v>30</v>
      </c>
      <c r="D1157" s="7" t="s">
        <v>3511</v>
      </c>
      <c r="E1157" s="7"/>
      <c r="F1157" s="7" t="s">
        <v>16</v>
      </c>
    </row>
    <row r="1158" ht="22.5" customHeight="1">
      <c r="A1158" s="7" t="s">
        <v>2452</v>
      </c>
      <c r="B1158" s="8" t="s">
        <v>3509</v>
      </c>
      <c r="C1158" s="7" t="s">
        <v>598</v>
      </c>
      <c r="D1158" s="7" t="s">
        <v>3512</v>
      </c>
      <c r="E1158" s="7"/>
      <c r="F1158" s="7" t="s">
        <v>16</v>
      </c>
    </row>
    <row r="1159" ht="22.5" customHeight="1">
      <c r="A1159" s="7" t="s">
        <v>2452</v>
      </c>
      <c r="B1159" s="8" t="s">
        <v>3509</v>
      </c>
      <c r="C1159" s="7" t="s">
        <v>598</v>
      </c>
      <c r="D1159" s="7" t="s">
        <v>3513</v>
      </c>
      <c r="E1159" s="7"/>
      <c r="F1159" s="7" t="s">
        <v>16</v>
      </c>
    </row>
    <row r="1160" ht="22.5" customHeight="1">
      <c r="A1160" s="7" t="s">
        <v>2452</v>
      </c>
      <c r="B1160" s="8" t="s">
        <v>3509</v>
      </c>
      <c r="C1160" s="7" t="s">
        <v>36</v>
      </c>
      <c r="D1160" s="7" t="s">
        <v>3514</v>
      </c>
      <c r="E1160" s="7"/>
      <c r="F1160" s="7" t="s">
        <v>16</v>
      </c>
    </row>
    <row r="1161" ht="22.5" customHeight="1">
      <c r="A1161" s="7" t="s">
        <v>2452</v>
      </c>
      <c r="B1161" s="8" t="s">
        <v>3509</v>
      </c>
      <c r="C1161" s="7" t="s">
        <v>36</v>
      </c>
      <c r="D1161" s="7" t="s">
        <v>3515</v>
      </c>
      <c r="E1161" s="7"/>
      <c r="F1161" s="7" t="s">
        <v>16</v>
      </c>
    </row>
    <row r="1162" ht="22.5" customHeight="1">
      <c r="A1162" s="7" t="s">
        <v>2452</v>
      </c>
      <c r="B1162" s="8" t="s">
        <v>3509</v>
      </c>
      <c r="C1162" s="7" t="s">
        <v>230</v>
      </c>
      <c r="D1162" s="7" t="s">
        <v>3516</v>
      </c>
      <c r="E1162" s="7"/>
      <c r="F1162" s="7" t="s">
        <v>16</v>
      </c>
    </row>
    <row r="1163" ht="22.5" customHeight="1">
      <c r="A1163" s="7" t="s">
        <v>2452</v>
      </c>
      <c r="B1163" s="8" t="s">
        <v>3509</v>
      </c>
      <c r="C1163" s="7" t="s">
        <v>230</v>
      </c>
      <c r="D1163" s="7" t="s">
        <v>3517</v>
      </c>
      <c r="E1163" s="7"/>
      <c r="F1163" s="7" t="s">
        <v>16</v>
      </c>
    </row>
    <row r="1164" ht="22.5" customHeight="1">
      <c r="A1164" s="7" t="s">
        <v>2452</v>
      </c>
      <c r="B1164" s="8" t="s">
        <v>3509</v>
      </c>
      <c r="C1164" s="7" t="s">
        <v>38</v>
      </c>
      <c r="D1164" s="7" t="s">
        <v>3518</v>
      </c>
      <c r="E1164" s="7"/>
      <c r="F1164" s="7" t="s">
        <v>16</v>
      </c>
    </row>
    <row r="1165" ht="22.5" customHeight="1">
      <c r="A1165" s="7" t="s">
        <v>2452</v>
      </c>
      <c r="B1165" s="8" t="s">
        <v>3509</v>
      </c>
      <c r="C1165" s="7" t="s">
        <v>38</v>
      </c>
      <c r="D1165" s="7" t="s">
        <v>3519</v>
      </c>
      <c r="E1165" s="7"/>
      <c r="F1165" s="7" t="s">
        <v>16</v>
      </c>
    </row>
    <row r="1166" ht="22.5" customHeight="1">
      <c r="A1166" s="7" t="s">
        <v>2452</v>
      </c>
      <c r="B1166" s="8" t="s">
        <v>3509</v>
      </c>
      <c r="C1166" s="7" t="s">
        <v>233</v>
      </c>
      <c r="D1166" s="7" t="s">
        <v>3520</v>
      </c>
      <c r="E1166" s="7"/>
      <c r="F1166" s="7" t="s">
        <v>16</v>
      </c>
    </row>
    <row r="1167" ht="22.5" customHeight="1">
      <c r="A1167" s="7" t="s">
        <v>2452</v>
      </c>
      <c r="B1167" s="8" t="s">
        <v>3509</v>
      </c>
      <c r="C1167" s="7" t="s">
        <v>233</v>
      </c>
      <c r="D1167" s="7" t="s">
        <v>3521</v>
      </c>
      <c r="E1167" s="7"/>
      <c r="F1167" s="7" t="s">
        <v>16</v>
      </c>
    </row>
    <row r="1168" ht="22.5" customHeight="1">
      <c r="A1168" s="7" t="s">
        <v>2452</v>
      </c>
      <c r="B1168" s="8" t="s">
        <v>3509</v>
      </c>
      <c r="C1168" s="7" t="s">
        <v>40</v>
      </c>
      <c r="D1168" s="7" t="s">
        <v>3522</v>
      </c>
      <c r="E1168" s="7"/>
      <c r="F1168" s="7" t="s">
        <v>16</v>
      </c>
    </row>
    <row r="1169" ht="22.5" customHeight="1">
      <c r="A1169" s="7" t="s">
        <v>2452</v>
      </c>
      <c r="B1169" s="8" t="s">
        <v>3509</v>
      </c>
      <c r="C1169" s="7" t="s">
        <v>40</v>
      </c>
      <c r="D1169" s="7" t="s">
        <v>3523</v>
      </c>
      <c r="E1169" s="7"/>
      <c r="F1169" s="7" t="s">
        <v>16</v>
      </c>
    </row>
    <row r="1170" ht="22.5" customHeight="1">
      <c r="A1170" s="7" t="s">
        <v>2452</v>
      </c>
      <c r="B1170" s="8" t="s">
        <v>3509</v>
      </c>
      <c r="C1170" s="7" t="s">
        <v>236</v>
      </c>
      <c r="D1170" s="7" t="s">
        <v>3524</v>
      </c>
      <c r="E1170" s="7"/>
      <c r="F1170" s="7" t="s">
        <v>16</v>
      </c>
    </row>
    <row r="1171" ht="22.5" customHeight="1">
      <c r="A1171" s="7" t="s">
        <v>2452</v>
      </c>
      <c r="B1171" s="8" t="s">
        <v>3509</v>
      </c>
      <c r="C1171" s="7" t="s">
        <v>236</v>
      </c>
      <c r="D1171" s="7" t="s">
        <v>3525</v>
      </c>
      <c r="E1171" s="7"/>
      <c r="F1171" s="7" t="s">
        <v>16</v>
      </c>
    </row>
    <row r="1172" ht="22.5" customHeight="1">
      <c r="A1172" s="7" t="s">
        <v>2452</v>
      </c>
      <c r="B1172" s="8" t="s">
        <v>3509</v>
      </c>
      <c r="C1172" s="7" t="s">
        <v>43</v>
      </c>
      <c r="D1172" s="7" t="s">
        <v>3526</v>
      </c>
      <c r="E1172" s="7"/>
      <c r="F1172" s="7" t="s">
        <v>16</v>
      </c>
    </row>
    <row r="1173" ht="22.5" customHeight="1">
      <c r="A1173" s="7" t="s">
        <v>2452</v>
      </c>
      <c r="B1173" s="8" t="s">
        <v>3509</v>
      </c>
      <c r="C1173" s="7" t="s">
        <v>43</v>
      </c>
      <c r="D1173" s="7" t="s">
        <v>3527</v>
      </c>
      <c r="E1173" s="7"/>
      <c r="F1173" s="7" t="s">
        <v>16</v>
      </c>
    </row>
    <row r="1174" ht="22.5" customHeight="1">
      <c r="A1174" s="7" t="s">
        <v>2452</v>
      </c>
      <c r="B1174" s="8" t="s">
        <v>3509</v>
      </c>
      <c r="C1174" s="7" t="s">
        <v>239</v>
      </c>
      <c r="D1174" s="7" t="s">
        <v>3528</v>
      </c>
      <c r="E1174" s="7"/>
      <c r="F1174" s="7" t="s">
        <v>16</v>
      </c>
    </row>
    <row r="1175" ht="22.5" customHeight="1">
      <c r="A1175" s="7" t="s">
        <v>2452</v>
      </c>
      <c r="B1175" s="8" t="s">
        <v>3509</v>
      </c>
      <c r="C1175" s="7" t="s">
        <v>239</v>
      </c>
      <c r="D1175" s="7" t="s">
        <v>3529</v>
      </c>
      <c r="E1175" s="7"/>
      <c r="F1175" s="7" t="s">
        <v>16</v>
      </c>
    </row>
    <row r="1176" ht="22.5" customHeight="1">
      <c r="A1176" s="7" t="s">
        <v>2452</v>
      </c>
      <c r="B1176" s="8" t="s">
        <v>3509</v>
      </c>
      <c r="C1176" s="7" t="s">
        <v>103</v>
      </c>
      <c r="D1176" s="7" t="s">
        <v>3530</v>
      </c>
      <c r="E1176" s="7"/>
      <c r="F1176" s="7" t="s">
        <v>16</v>
      </c>
    </row>
    <row r="1177" ht="22.5" customHeight="1">
      <c r="A1177" s="7" t="s">
        <v>2452</v>
      </c>
      <c r="B1177" s="8" t="s">
        <v>3509</v>
      </c>
      <c r="C1177" s="7" t="s">
        <v>103</v>
      </c>
      <c r="D1177" s="7" t="s">
        <v>3531</v>
      </c>
      <c r="E1177" s="7"/>
      <c r="F1177" s="7" t="s">
        <v>16</v>
      </c>
    </row>
    <row r="1178" ht="22.5" customHeight="1">
      <c r="A1178" s="7" t="s">
        <v>2295</v>
      </c>
      <c r="B1178" s="8" t="s">
        <v>3532</v>
      </c>
      <c r="C1178" s="7" t="s">
        <v>40</v>
      </c>
      <c r="D1178" s="7" t="s">
        <v>3533</v>
      </c>
      <c r="E1178" s="7"/>
      <c r="F1178" s="7" t="s">
        <v>16</v>
      </c>
    </row>
    <row r="1179" ht="22.5" customHeight="1">
      <c r="A1179" s="7" t="s">
        <v>2295</v>
      </c>
      <c r="B1179" s="8" t="s">
        <v>3532</v>
      </c>
      <c r="C1179" s="7" t="s">
        <v>43</v>
      </c>
      <c r="D1179" s="7" t="s">
        <v>3534</v>
      </c>
      <c r="E1179" s="7"/>
      <c r="F1179" s="7" t="s">
        <v>16</v>
      </c>
    </row>
    <row r="1180" ht="22.5" customHeight="1">
      <c r="A1180" s="7" t="s">
        <v>2295</v>
      </c>
      <c r="B1180" s="8" t="s">
        <v>3532</v>
      </c>
      <c r="C1180" s="7" t="s">
        <v>43</v>
      </c>
      <c r="D1180" s="7" t="s">
        <v>3535</v>
      </c>
      <c r="E1180" s="7" t="s">
        <v>48</v>
      </c>
      <c r="F1180" s="7" t="s">
        <v>16</v>
      </c>
    </row>
    <row r="1181" ht="22.5" customHeight="1">
      <c r="A1181" s="7" t="s">
        <v>2295</v>
      </c>
      <c r="B1181" s="8" t="s">
        <v>3536</v>
      </c>
      <c r="C1181" s="7" t="s">
        <v>38</v>
      </c>
      <c r="D1181" s="7" t="s">
        <v>3537</v>
      </c>
      <c r="E1181" s="7"/>
      <c r="F1181" s="7" t="s">
        <v>16</v>
      </c>
    </row>
    <row r="1182" ht="22.5" customHeight="1">
      <c r="A1182" s="7" t="s">
        <v>2295</v>
      </c>
      <c r="B1182" s="8" t="s">
        <v>3536</v>
      </c>
      <c r="C1182" s="7" t="s">
        <v>40</v>
      </c>
      <c r="D1182" s="7" t="s">
        <v>3538</v>
      </c>
      <c r="E1182" s="7"/>
      <c r="F1182" s="7" t="s">
        <v>16</v>
      </c>
    </row>
    <row r="1183" ht="22.5" customHeight="1">
      <c r="A1183" s="7" t="s">
        <v>2295</v>
      </c>
      <c r="B1183" s="8" t="s">
        <v>3536</v>
      </c>
      <c r="C1183" s="7" t="s">
        <v>43</v>
      </c>
      <c r="D1183" s="7" t="s">
        <v>3539</v>
      </c>
      <c r="E1183" s="7"/>
      <c r="F1183" s="7" t="s">
        <v>16</v>
      </c>
    </row>
    <row r="1184" ht="22.5" customHeight="1">
      <c r="A1184" s="7" t="s">
        <v>2295</v>
      </c>
      <c r="B1184" s="8" t="s">
        <v>3536</v>
      </c>
      <c r="C1184" s="7" t="s">
        <v>43</v>
      </c>
      <c r="D1184" s="7" t="s">
        <v>3540</v>
      </c>
      <c r="E1184" s="7" t="s">
        <v>48</v>
      </c>
      <c r="F1184" s="7" t="s">
        <v>16</v>
      </c>
    </row>
    <row r="1185" ht="22.5" customHeight="1">
      <c r="A1185" s="7" t="s">
        <v>2230</v>
      </c>
      <c r="B1185" s="8" t="s">
        <v>3541</v>
      </c>
      <c r="C1185" s="7" t="s">
        <v>30</v>
      </c>
      <c r="D1185" s="7" t="s">
        <v>3542</v>
      </c>
      <c r="E1185" s="7"/>
      <c r="F1185" s="7" t="s">
        <v>16</v>
      </c>
    </row>
    <row r="1186" ht="22.5" customHeight="1">
      <c r="A1186" s="7" t="s">
        <v>2230</v>
      </c>
      <c r="B1186" s="8" t="s">
        <v>3541</v>
      </c>
      <c r="C1186" s="7" t="s">
        <v>598</v>
      </c>
      <c r="D1186" s="7" t="s">
        <v>3543</v>
      </c>
      <c r="E1186" s="7"/>
      <c r="F1186" s="7" t="s">
        <v>16</v>
      </c>
    </row>
    <row r="1187" ht="22.5" customHeight="1">
      <c r="A1187" s="7" t="s">
        <v>2230</v>
      </c>
      <c r="B1187" s="8" t="s">
        <v>3541</v>
      </c>
      <c r="C1187" s="7" t="s">
        <v>36</v>
      </c>
      <c r="D1187" s="7" t="s">
        <v>3544</v>
      </c>
      <c r="E1187" s="7"/>
      <c r="F1187" s="7" t="s">
        <v>16</v>
      </c>
    </row>
    <row r="1188" ht="22.5" customHeight="1">
      <c r="A1188" s="7" t="s">
        <v>2230</v>
      </c>
      <c r="B1188" s="8" t="s">
        <v>3541</v>
      </c>
      <c r="C1188" s="7" t="s">
        <v>230</v>
      </c>
      <c r="D1188" s="7" t="s">
        <v>3545</v>
      </c>
      <c r="E1188" s="7"/>
      <c r="F1188" s="7" t="s">
        <v>16</v>
      </c>
    </row>
    <row r="1189" ht="22.5" customHeight="1">
      <c r="A1189" s="7" t="s">
        <v>2230</v>
      </c>
      <c r="B1189" s="8" t="s">
        <v>3541</v>
      </c>
      <c r="C1189" s="7" t="s">
        <v>38</v>
      </c>
      <c r="D1189" s="7" t="s">
        <v>3546</v>
      </c>
      <c r="E1189" s="7"/>
      <c r="F1189" s="7" t="s">
        <v>16</v>
      </c>
    </row>
    <row r="1190" ht="22.5" customHeight="1">
      <c r="A1190" s="7" t="s">
        <v>2230</v>
      </c>
      <c r="B1190" s="8" t="s">
        <v>3541</v>
      </c>
      <c r="C1190" s="7" t="s">
        <v>233</v>
      </c>
      <c r="D1190" s="7" t="s">
        <v>3547</v>
      </c>
      <c r="E1190" s="7"/>
      <c r="F1190" s="7" t="s">
        <v>16</v>
      </c>
    </row>
    <row r="1191" ht="22.5" customHeight="1">
      <c r="A1191" s="7" t="s">
        <v>2230</v>
      </c>
      <c r="B1191" s="8" t="s">
        <v>3541</v>
      </c>
      <c r="C1191" s="7" t="s">
        <v>40</v>
      </c>
      <c r="D1191" s="7" t="s">
        <v>3548</v>
      </c>
      <c r="E1191" s="7"/>
      <c r="F1191" s="7" t="s">
        <v>16</v>
      </c>
    </row>
    <row r="1192" ht="22.5" customHeight="1">
      <c r="A1192" s="7" t="s">
        <v>2230</v>
      </c>
      <c r="B1192" s="8" t="s">
        <v>3541</v>
      </c>
      <c r="C1192" s="7" t="s">
        <v>236</v>
      </c>
      <c r="D1192" s="7" t="s">
        <v>3549</v>
      </c>
      <c r="E1192" s="7"/>
      <c r="F1192" s="7" t="s">
        <v>16</v>
      </c>
    </row>
    <row r="1193" ht="22.5" customHeight="1">
      <c r="A1193" s="7" t="s">
        <v>2230</v>
      </c>
      <c r="B1193" s="8" t="s">
        <v>3541</v>
      </c>
      <c r="C1193" s="7" t="s">
        <v>43</v>
      </c>
      <c r="D1193" s="7" t="s">
        <v>3550</v>
      </c>
      <c r="E1193" s="7"/>
      <c r="F1193" s="7" t="s">
        <v>16</v>
      </c>
    </row>
    <row r="1194" ht="22.5" customHeight="1">
      <c r="A1194" s="7" t="s">
        <v>2230</v>
      </c>
      <c r="B1194" s="8" t="s">
        <v>3541</v>
      </c>
      <c r="C1194" s="7" t="s">
        <v>239</v>
      </c>
      <c r="D1194" s="7" t="s">
        <v>3551</v>
      </c>
      <c r="E1194" s="7"/>
      <c r="F1194" s="7" t="s">
        <v>16</v>
      </c>
    </row>
    <row r="1195" ht="22.5" customHeight="1">
      <c r="A1195" s="7" t="s">
        <v>2230</v>
      </c>
      <c r="B1195" s="8" t="s">
        <v>3541</v>
      </c>
      <c r="C1195" s="7" t="s">
        <v>103</v>
      </c>
      <c r="D1195" s="7" t="s">
        <v>3552</v>
      </c>
      <c r="E1195" s="7"/>
      <c r="F1195" s="7" t="s">
        <v>16</v>
      </c>
    </row>
    <row r="1196" ht="22.5" customHeight="1">
      <c r="A1196" s="7" t="s">
        <v>2295</v>
      </c>
      <c r="B1196" s="8" t="s">
        <v>3553</v>
      </c>
      <c r="C1196" s="7" t="s">
        <v>40</v>
      </c>
      <c r="D1196" s="7" t="s">
        <v>3554</v>
      </c>
      <c r="E1196" s="7"/>
      <c r="F1196" s="7" t="s">
        <v>16</v>
      </c>
    </row>
    <row r="1197" ht="22.5" customHeight="1">
      <c r="A1197" s="7" t="s">
        <v>2295</v>
      </c>
      <c r="B1197" s="8" t="s">
        <v>3553</v>
      </c>
      <c r="C1197" s="7" t="s">
        <v>43</v>
      </c>
      <c r="D1197" s="7" t="s">
        <v>3555</v>
      </c>
      <c r="E1197" s="7"/>
      <c r="F1197" s="7" t="s">
        <v>16</v>
      </c>
    </row>
    <row r="1198" ht="22.5" customHeight="1">
      <c r="A1198" s="7" t="s">
        <v>2295</v>
      </c>
      <c r="B1198" s="8" t="s">
        <v>3553</v>
      </c>
      <c r="C1198" s="7" t="s">
        <v>43</v>
      </c>
      <c r="D1198" s="7" t="s">
        <v>3556</v>
      </c>
      <c r="E1198" s="7" t="s">
        <v>48</v>
      </c>
      <c r="F1198" s="7" t="s">
        <v>16</v>
      </c>
    </row>
    <row r="1199" ht="22.5" customHeight="1">
      <c r="A1199" s="7" t="s">
        <v>2301</v>
      </c>
      <c r="B1199" s="8" t="s">
        <v>3557</v>
      </c>
      <c r="C1199" s="7" t="s">
        <v>30</v>
      </c>
      <c r="D1199" s="7" t="s">
        <v>3558</v>
      </c>
      <c r="E1199" s="7"/>
      <c r="F1199" s="7" t="s">
        <v>16</v>
      </c>
    </row>
    <row r="1200" ht="22.5" customHeight="1">
      <c r="A1200" s="7" t="s">
        <v>2301</v>
      </c>
      <c r="B1200" s="8" t="s">
        <v>3557</v>
      </c>
      <c r="C1200" s="7" t="s">
        <v>30</v>
      </c>
      <c r="D1200" s="7" t="s">
        <v>3559</v>
      </c>
      <c r="E1200" s="7"/>
      <c r="F1200" s="7" t="s">
        <v>16</v>
      </c>
    </row>
    <row r="1201" ht="22.5" customHeight="1">
      <c r="A1201" s="7" t="s">
        <v>2301</v>
      </c>
      <c r="B1201" s="8" t="s">
        <v>3557</v>
      </c>
      <c r="C1201" s="7" t="s">
        <v>38</v>
      </c>
      <c r="D1201" s="7" t="s">
        <v>3560</v>
      </c>
      <c r="E1201" s="7"/>
      <c r="F1201" s="7" t="s">
        <v>16</v>
      </c>
    </row>
    <row r="1202" ht="22.5" customHeight="1">
      <c r="A1202" s="7" t="s">
        <v>2301</v>
      </c>
      <c r="B1202" s="8" t="s">
        <v>3557</v>
      </c>
      <c r="C1202" s="7" t="s">
        <v>40</v>
      </c>
      <c r="D1202" s="7" t="s">
        <v>3561</v>
      </c>
      <c r="E1202" s="7"/>
      <c r="F1202" s="7" t="s">
        <v>16</v>
      </c>
    </row>
    <row r="1203" ht="22.5" customHeight="1">
      <c r="A1203" s="7" t="s">
        <v>2301</v>
      </c>
      <c r="B1203" s="8" t="s">
        <v>3557</v>
      </c>
      <c r="C1203" s="7" t="s">
        <v>43</v>
      </c>
      <c r="D1203" s="7" t="s">
        <v>3562</v>
      </c>
      <c r="E1203" s="7"/>
      <c r="F1203" s="7" t="s">
        <v>16</v>
      </c>
    </row>
    <row r="1204" ht="22.5" customHeight="1">
      <c r="A1204" s="7" t="s">
        <v>2301</v>
      </c>
      <c r="B1204" s="8" t="s">
        <v>3563</v>
      </c>
      <c r="C1204" s="7" t="s">
        <v>30</v>
      </c>
      <c r="D1204" s="7" t="s">
        <v>3564</v>
      </c>
      <c r="E1204" s="7"/>
      <c r="F1204" s="7" t="s">
        <v>16</v>
      </c>
    </row>
    <row r="1205" ht="22.5" customHeight="1">
      <c r="A1205" s="7" t="s">
        <v>2301</v>
      </c>
      <c r="B1205" s="8" t="s">
        <v>3563</v>
      </c>
      <c r="C1205" s="7" t="s">
        <v>598</v>
      </c>
      <c r="D1205" s="7" t="s">
        <v>3565</v>
      </c>
      <c r="E1205" s="7"/>
      <c r="F1205" s="7" t="s">
        <v>16</v>
      </c>
    </row>
    <row r="1206" ht="22.5" customHeight="1">
      <c r="A1206" s="7" t="s">
        <v>2301</v>
      </c>
      <c r="B1206" s="8" t="s">
        <v>3563</v>
      </c>
      <c r="C1206" s="7" t="s">
        <v>38</v>
      </c>
      <c r="D1206" s="7" t="s">
        <v>3566</v>
      </c>
      <c r="E1206" s="7"/>
      <c r="F1206" s="7" t="s">
        <v>16</v>
      </c>
    </row>
    <row r="1207" ht="22.5" customHeight="1">
      <c r="A1207" s="7" t="s">
        <v>2301</v>
      </c>
      <c r="B1207" s="8" t="s">
        <v>3563</v>
      </c>
      <c r="C1207" s="7" t="s">
        <v>40</v>
      </c>
      <c r="D1207" s="7" t="s">
        <v>3567</v>
      </c>
      <c r="E1207" s="7"/>
      <c r="F1207" s="7" t="s">
        <v>16</v>
      </c>
    </row>
    <row r="1208" ht="22.5" customHeight="1">
      <c r="A1208" s="7" t="s">
        <v>2301</v>
      </c>
      <c r="B1208" s="8" t="s">
        <v>3563</v>
      </c>
      <c r="C1208" s="7" t="s">
        <v>43</v>
      </c>
      <c r="D1208" s="7" t="s">
        <v>3568</v>
      </c>
      <c r="E1208" s="7"/>
      <c r="F1208" s="7" t="s">
        <v>16</v>
      </c>
    </row>
    <row r="1209" ht="22.5" customHeight="1">
      <c r="A1209" s="7" t="s">
        <v>2301</v>
      </c>
      <c r="B1209" s="8" t="s">
        <v>3569</v>
      </c>
      <c r="C1209" s="7" t="s">
        <v>30</v>
      </c>
      <c r="D1209" s="7" t="s">
        <v>3570</v>
      </c>
      <c r="E1209" s="7"/>
      <c r="F1209" s="7" t="s">
        <v>16</v>
      </c>
    </row>
    <row r="1210" ht="22.5" customHeight="1">
      <c r="A1210" s="7" t="s">
        <v>2301</v>
      </c>
      <c r="B1210" s="8" t="s">
        <v>3569</v>
      </c>
      <c r="C1210" s="7" t="s">
        <v>30</v>
      </c>
      <c r="D1210" s="7" t="s">
        <v>3571</v>
      </c>
      <c r="E1210" s="7" t="s">
        <v>105</v>
      </c>
      <c r="F1210" s="7" t="s">
        <v>16</v>
      </c>
    </row>
    <row r="1211" ht="22.5" customHeight="1">
      <c r="A1211" s="7" t="s">
        <v>2301</v>
      </c>
      <c r="B1211" s="8" t="s">
        <v>3569</v>
      </c>
      <c r="C1211" s="7" t="s">
        <v>598</v>
      </c>
      <c r="D1211" s="7" t="s">
        <v>3572</v>
      </c>
      <c r="E1211" s="7" t="s">
        <v>16</v>
      </c>
      <c r="F1211" s="7" t="s">
        <v>16</v>
      </c>
    </row>
    <row r="1212" ht="22.5" customHeight="1">
      <c r="A1212" s="7" t="s">
        <v>2301</v>
      </c>
      <c r="B1212" s="8" t="s">
        <v>3569</v>
      </c>
      <c r="C1212" s="7" t="s">
        <v>36</v>
      </c>
      <c r="D1212" s="7" t="s">
        <v>3573</v>
      </c>
      <c r="E1212" s="7" t="s">
        <v>105</v>
      </c>
      <c r="F1212" s="7" t="s">
        <v>16</v>
      </c>
    </row>
    <row r="1213" ht="22.5" customHeight="1">
      <c r="A1213" s="7" t="s">
        <v>2301</v>
      </c>
      <c r="B1213" s="8" t="s">
        <v>3569</v>
      </c>
      <c r="C1213" s="7" t="s">
        <v>230</v>
      </c>
      <c r="D1213" s="7" t="s">
        <v>3574</v>
      </c>
      <c r="E1213" s="7" t="s">
        <v>105</v>
      </c>
      <c r="F1213" s="7" t="s">
        <v>16</v>
      </c>
    </row>
    <row r="1214" ht="22.5" customHeight="1">
      <c r="A1214" s="7" t="s">
        <v>2301</v>
      </c>
      <c r="B1214" s="8" t="s">
        <v>3569</v>
      </c>
      <c r="C1214" s="7" t="s">
        <v>38</v>
      </c>
      <c r="D1214" s="7" t="s">
        <v>3575</v>
      </c>
      <c r="E1214" s="7" t="s">
        <v>16</v>
      </c>
      <c r="F1214" s="7" t="s">
        <v>16</v>
      </c>
    </row>
    <row r="1215" ht="22.5" customHeight="1">
      <c r="A1215" s="7" t="s">
        <v>2301</v>
      </c>
      <c r="B1215" s="8" t="s">
        <v>3569</v>
      </c>
      <c r="C1215" s="7" t="s">
        <v>233</v>
      </c>
      <c r="D1215" s="7" t="s">
        <v>3576</v>
      </c>
      <c r="E1215" s="7" t="s">
        <v>105</v>
      </c>
      <c r="F1215" s="7" t="s">
        <v>16</v>
      </c>
    </row>
    <row r="1216" ht="22.5" customHeight="1">
      <c r="A1216" s="7" t="s">
        <v>2301</v>
      </c>
      <c r="B1216" s="8" t="s">
        <v>3569</v>
      </c>
      <c r="C1216" s="7" t="s">
        <v>40</v>
      </c>
      <c r="D1216" s="7" t="s">
        <v>3577</v>
      </c>
      <c r="E1216" s="7" t="s">
        <v>16</v>
      </c>
      <c r="F1216" s="7" t="s">
        <v>16</v>
      </c>
    </row>
    <row r="1217" ht="22.5" customHeight="1">
      <c r="A1217" s="7" t="s">
        <v>2301</v>
      </c>
      <c r="B1217" s="8" t="s">
        <v>3569</v>
      </c>
      <c r="C1217" s="7" t="s">
        <v>236</v>
      </c>
      <c r="D1217" s="7" t="s">
        <v>3578</v>
      </c>
      <c r="E1217" s="7" t="s">
        <v>105</v>
      </c>
      <c r="F1217" s="7" t="s">
        <v>16</v>
      </c>
    </row>
    <row r="1218" ht="22.5" customHeight="1">
      <c r="A1218" s="7" t="s">
        <v>2301</v>
      </c>
      <c r="B1218" s="8" t="s">
        <v>3569</v>
      </c>
      <c r="C1218" s="7" t="s">
        <v>43</v>
      </c>
      <c r="D1218" s="7" t="s">
        <v>3579</v>
      </c>
      <c r="E1218" s="7" t="s">
        <v>16</v>
      </c>
      <c r="F1218" s="7" t="s">
        <v>16</v>
      </c>
    </row>
    <row r="1219" ht="22.5" customHeight="1">
      <c r="A1219" s="7" t="s">
        <v>2301</v>
      </c>
      <c r="B1219" s="8" t="s">
        <v>3569</v>
      </c>
      <c r="C1219" s="7" t="s">
        <v>239</v>
      </c>
      <c r="D1219" s="7" t="s">
        <v>3580</v>
      </c>
      <c r="E1219" s="7" t="s">
        <v>105</v>
      </c>
      <c r="F1219" s="7" t="s">
        <v>16</v>
      </c>
    </row>
    <row r="1220" ht="22.5" customHeight="1">
      <c r="A1220" s="7" t="s">
        <v>2301</v>
      </c>
      <c r="B1220" s="8" t="s">
        <v>3569</v>
      </c>
      <c r="C1220" s="7" t="s">
        <v>103</v>
      </c>
      <c r="D1220" s="7" t="s">
        <v>3581</v>
      </c>
      <c r="E1220" s="7" t="s">
        <v>105</v>
      </c>
      <c r="F1220" s="7" t="s">
        <v>16</v>
      </c>
    </row>
    <row r="1221" ht="22.5" customHeight="1">
      <c r="A1221" s="7" t="s">
        <v>2251</v>
      </c>
      <c r="B1221" s="8" t="s">
        <v>3582</v>
      </c>
      <c r="C1221" s="7" t="s">
        <v>30</v>
      </c>
      <c r="D1221" s="7" t="s">
        <v>3583</v>
      </c>
      <c r="E1221" s="7"/>
      <c r="F1221" s="7" t="s">
        <v>16</v>
      </c>
    </row>
    <row r="1222" ht="22.5" customHeight="1">
      <c r="A1222" s="7" t="s">
        <v>2251</v>
      </c>
      <c r="B1222" s="8" t="s">
        <v>3582</v>
      </c>
      <c r="C1222" s="7" t="s">
        <v>598</v>
      </c>
      <c r="D1222" s="7" t="s">
        <v>3584</v>
      </c>
      <c r="E1222" s="7"/>
      <c r="F1222" s="7" t="s">
        <v>16</v>
      </c>
    </row>
    <row r="1223" ht="22.5" customHeight="1">
      <c r="A1223" s="7" t="s">
        <v>2251</v>
      </c>
      <c r="B1223" s="8" t="s">
        <v>3585</v>
      </c>
      <c r="C1223" s="7" t="s">
        <v>36</v>
      </c>
      <c r="D1223" s="7" t="s">
        <v>3586</v>
      </c>
      <c r="E1223" s="7"/>
      <c r="F1223" s="7" t="s">
        <v>16</v>
      </c>
    </row>
    <row r="1224" ht="22.5" customHeight="1">
      <c r="A1224" s="7" t="s">
        <v>2251</v>
      </c>
      <c r="B1224" s="8" t="s">
        <v>3585</v>
      </c>
      <c r="C1224" s="7" t="s">
        <v>230</v>
      </c>
      <c r="D1224" s="7" t="s">
        <v>3587</v>
      </c>
      <c r="E1224" s="7"/>
      <c r="F1224" s="7" t="s">
        <v>16</v>
      </c>
    </row>
    <row r="1225" ht="22.5" customHeight="1">
      <c r="A1225" s="7" t="s">
        <v>2251</v>
      </c>
      <c r="B1225" s="8" t="s">
        <v>3588</v>
      </c>
      <c r="C1225" s="7" t="s">
        <v>38</v>
      </c>
      <c r="D1225" s="7" t="s">
        <v>3589</v>
      </c>
      <c r="E1225" s="7"/>
      <c r="F1225" s="7" t="s">
        <v>16</v>
      </c>
    </row>
    <row r="1226" ht="22.5" customHeight="1">
      <c r="A1226" s="7" t="s">
        <v>2251</v>
      </c>
      <c r="B1226" s="8" t="s">
        <v>3588</v>
      </c>
      <c r="C1226" s="7" t="s">
        <v>38</v>
      </c>
      <c r="D1226" s="7" t="s">
        <v>3590</v>
      </c>
      <c r="E1226" s="7"/>
      <c r="F1226" s="7" t="s">
        <v>16</v>
      </c>
    </row>
    <row r="1227" ht="22.5" customHeight="1">
      <c r="A1227" s="7" t="s">
        <v>2251</v>
      </c>
      <c r="B1227" s="8" t="s">
        <v>3588</v>
      </c>
      <c r="C1227" s="7" t="s">
        <v>38</v>
      </c>
      <c r="D1227" s="7" t="s">
        <v>3591</v>
      </c>
      <c r="E1227" s="7"/>
      <c r="F1227" s="7" t="s">
        <v>16</v>
      </c>
    </row>
    <row r="1228" ht="22.5" customHeight="1">
      <c r="A1228" s="7" t="s">
        <v>2251</v>
      </c>
      <c r="B1228" s="8" t="s">
        <v>3588</v>
      </c>
      <c r="C1228" s="7" t="s">
        <v>233</v>
      </c>
      <c r="D1228" s="7" t="s">
        <v>3592</v>
      </c>
      <c r="E1228" s="7"/>
      <c r="F1228" s="7" t="s">
        <v>16</v>
      </c>
    </row>
    <row r="1229" ht="22.5" customHeight="1">
      <c r="A1229" s="7" t="s">
        <v>2251</v>
      </c>
      <c r="B1229" s="8" t="s">
        <v>3593</v>
      </c>
      <c r="C1229" s="7" t="s">
        <v>40</v>
      </c>
      <c r="D1229" s="7" t="s">
        <v>3594</v>
      </c>
      <c r="E1229" s="7"/>
      <c r="F1229" s="7" t="s">
        <v>16</v>
      </c>
    </row>
    <row r="1230" ht="22.5" customHeight="1">
      <c r="A1230" s="7" t="s">
        <v>2251</v>
      </c>
      <c r="B1230" s="8" t="s">
        <v>3593</v>
      </c>
      <c r="C1230" s="7" t="s">
        <v>236</v>
      </c>
      <c r="D1230" s="7" t="s">
        <v>3595</v>
      </c>
      <c r="E1230" s="7"/>
      <c r="F1230" s="7" t="s">
        <v>16</v>
      </c>
    </row>
    <row r="1231" ht="22.5" customHeight="1">
      <c r="A1231" s="7" t="s">
        <v>2251</v>
      </c>
      <c r="B1231" s="8" t="s">
        <v>3596</v>
      </c>
      <c r="C1231" s="7" t="s">
        <v>43</v>
      </c>
      <c r="D1231" s="7" t="s">
        <v>3597</v>
      </c>
      <c r="E1231" s="7"/>
      <c r="F1231" s="7" t="s">
        <v>16</v>
      </c>
    </row>
    <row r="1232" ht="22.5" customHeight="1">
      <c r="A1232" s="7" t="s">
        <v>2251</v>
      </c>
      <c r="B1232" s="8" t="s">
        <v>3596</v>
      </c>
      <c r="C1232" s="7" t="s">
        <v>239</v>
      </c>
      <c r="D1232" s="7" t="s">
        <v>3598</v>
      </c>
      <c r="E1232" s="7"/>
      <c r="F1232" s="7" t="s">
        <v>16</v>
      </c>
    </row>
    <row r="1233" ht="22.5" customHeight="1">
      <c r="A1233" s="7" t="s">
        <v>2251</v>
      </c>
      <c r="B1233" s="8" t="s">
        <v>3596</v>
      </c>
      <c r="C1233" s="7" t="s">
        <v>103</v>
      </c>
      <c r="D1233" s="7" t="s">
        <v>3599</v>
      </c>
      <c r="E1233" s="7"/>
      <c r="F1233" s="7" t="s">
        <v>16</v>
      </c>
    </row>
    <row r="1234" ht="22.5" customHeight="1">
      <c r="A1234" s="7" t="s">
        <v>2624</v>
      </c>
      <c r="B1234" s="8" t="s">
        <v>3600</v>
      </c>
      <c r="C1234" s="7" t="s">
        <v>36</v>
      </c>
      <c r="D1234" s="7" t="s">
        <v>3601</v>
      </c>
      <c r="E1234" s="7"/>
      <c r="F1234" s="7" t="s">
        <v>16</v>
      </c>
    </row>
    <row r="1235" ht="22.5" customHeight="1">
      <c r="A1235" s="7" t="s">
        <v>2624</v>
      </c>
      <c r="B1235" s="8" t="s">
        <v>3600</v>
      </c>
      <c r="C1235" s="7" t="s">
        <v>230</v>
      </c>
      <c r="D1235" s="7" t="s">
        <v>3602</v>
      </c>
      <c r="E1235" s="7"/>
      <c r="F1235" s="7" t="s">
        <v>16</v>
      </c>
    </row>
    <row r="1236" ht="22.5" customHeight="1">
      <c r="A1236" s="7" t="s">
        <v>2624</v>
      </c>
      <c r="B1236" s="8" t="s">
        <v>3600</v>
      </c>
      <c r="C1236" s="7" t="s">
        <v>38</v>
      </c>
      <c r="D1236" s="7" t="s">
        <v>3603</v>
      </c>
      <c r="E1236" s="7"/>
      <c r="F1236" s="7" t="s">
        <v>16</v>
      </c>
    </row>
    <row r="1237" ht="22.5" customHeight="1">
      <c r="A1237" s="7" t="s">
        <v>2624</v>
      </c>
      <c r="B1237" s="8" t="s">
        <v>3600</v>
      </c>
      <c r="C1237" s="7" t="s">
        <v>233</v>
      </c>
      <c r="D1237" s="7" t="s">
        <v>3604</v>
      </c>
      <c r="E1237" s="7"/>
      <c r="F1237" s="7" t="s">
        <v>16</v>
      </c>
    </row>
    <row r="1238" ht="22.5" customHeight="1">
      <c r="A1238" s="7" t="s">
        <v>2624</v>
      </c>
      <c r="B1238" s="8" t="s">
        <v>3600</v>
      </c>
      <c r="C1238" s="7" t="s">
        <v>40</v>
      </c>
      <c r="D1238" s="7" t="s">
        <v>3605</v>
      </c>
      <c r="E1238" s="7"/>
      <c r="F1238" s="7" t="s">
        <v>16</v>
      </c>
    </row>
    <row r="1239" ht="22.5" customHeight="1">
      <c r="A1239" s="7" t="s">
        <v>2624</v>
      </c>
      <c r="B1239" s="8" t="s">
        <v>3600</v>
      </c>
      <c r="C1239" s="7" t="s">
        <v>236</v>
      </c>
      <c r="D1239" s="7" t="s">
        <v>3606</v>
      </c>
      <c r="E1239" s="7"/>
      <c r="F1239" s="7" t="s">
        <v>16</v>
      </c>
    </row>
    <row r="1240" ht="22.5" customHeight="1">
      <c r="A1240" s="7" t="s">
        <v>2624</v>
      </c>
      <c r="B1240" s="8" t="s">
        <v>3600</v>
      </c>
      <c r="C1240" s="7" t="s">
        <v>43</v>
      </c>
      <c r="D1240" s="7" t="s">
        <v>3607</v>
      </c>
      <c r="E1240" s="7"/>
      <c r="F1240" s="7" t="s">
        <v>16</v>
      </c>
    </row>
    <row r="1241" ht="22.5" customHeight="1">
      <c r="A1241" s="7" t="s">
        <v>2624</v>
      </c>
      <c r="B1241" s="8" t="s">
        <v>3600</v>
      </c>
      <c r="C1241" s="7" t="s">
        <v>239</v>
      </c>
      <c r="D1241" s="7" t="s">
        <v>3608</v>
      </c>
      <c r="E1241" s="7"/>
      <c r="F1241" s="7" t="s">
        <v>16</v>
      </c>
    </row>
    <row r="1242" ht="22.5" customHeight="1">
      <c r="A1242" s="7" t="s">
        <v>2624</v>
      </c>
      <c r="B1242" s="8" t="s">
        <v>3600</v>
      </c>
      <c r="C1242" s="7" t="s">
        <v>103</v>
      </c>
      <c r="D1242" s="7" t="s">
        <v>3609</v>
      </c>
      <c r="E1242" s="7"/>
      <c r="F1242" s="7" t="s">
        <v>16</v>
      </c>
    </row>
    <row r="1243" ht="22.5" customHeight="1">
      <c r="A1243" s="7" t="s">
        <v>2624</v>
      </c>
      <c r="B1243" s="8" t="s">
        <v>3610</v>
      </c>
      <c r="C1243" s="7" t="s">
        <v>36</v>
      </c>
      <c r="D1243" s="7" t="s">
        <v>3611</v>
      </c>
      <c r="E1243" s="7"/>
      <c r="F1243" s="7" t="s">
        <v>16</v>
      </c>
    </row>
    <row r="1244" ht="22.5" customHeight="1">
      <c r="A1244" s="7" t="s">
        <v>2624</v>
      </c>
      <c r="B1244" s="8" t="s">
        <v>3610</v>
      </c>
      <c r="C1244" s="7" t="s">
        <v>230</v>
      </c>
      <c r="D1244" s="7" t="s">
        <v>3612</v>
      </c>
      <c r="E1244" s="7"/>
      <c r="F1244" s="7" t="s">
        <v>16</v>
      </c>
    </row>
    <row r="1245" ht="22.5" customHeight="1">
      <c r="A1245" s="7" t="s">
        <v>2624</v>
      </c>
      <c r="B1245" s="8" t="s">
        <v>3610</v>
      </c>
      <c r="C1245" s="7" t="s">
        <v>38</v>
      </c>
      <c r="D1245" s="7" t="s">
        <v>3613</v>
      </c>
      <c r="E1245" s="7"/>
      <c r="F1245" s="7" t="s">
        <v>16</v>
      </c>
    </row>
    <row r="1246" ht="22.5" customHeight="1">
      <c r="A1246" s="7" t="s">
        <v>2624</v>
      </c>
      <c r="B1246" s="8" t="s">
        <v>3610</v>
      </c>
      <c r="C1246" s="7" t="s">
        <v>233</v>
      </c>
      <c r="D1246" s="7" t="s">
        <v>3614</v>
      </c>
      <c r="E1246" s="7"/>
      <c r="F1246" s="7" t="s">
        <v>16</v>
      </c>
    </row>
    <row r="1247" ht="22.5" customHeight="1">
      <c r="A1247" s="7" t="s">
        <v>2624</v>
      </c>
      <c r="B1247" s="8" t="s">
        <v>3610</v>
      </c>
      <c r="C1247" s="7" t="s">
        <v>40</v>
      </c>
      <c r="D1247" s="7" t="s">
        <v>3615</v>
      </c>
      <c r="E1247" s="7"/>
      <c r="F1247" s="7" t="s">
        <v>16</v>
      </c>
    </row>
    <row r="1248" ht="22.5" customHeight="1">
      <c r="A1248" s="7" t="s">
        <v>2624</v>
      </c>
      <c r="B1248" s="8" t="s">
        <v>3610</v>
      </c>
      <c r="C1248" s="7" t="s">
        <v>236</v>
      </c>
      <c r="D1248" s="7" t="s">
        <v>3616</v>
      </c>
      <c r="E1248" s="7"/>
      <c r="F1248" s="7" t="s">
        <v>16</v>
      </c>
    </row>
    <row r="1249" ht="22.5" customHeight="1">
      <c r="A1249" s="7" t="s">
        <v>2624</v>
      </c>
      <c r="B1249" s="8" t="s">
        <v>3610</v>
      </c>
      <c r="C1249" s="7" t="s">
        <v>43</v>
      </c>
      <c r="D1249" s="7" t="s">
        <v>3617</v>
      </c>
      <c r="E1249" s="7"/>
      <c r="F1249" s="7" t="s">
        <v>16</v>
      </c>
    </row>
    <row r="1250" ht="22.5" customHeight="1">
      <c r="A1250" s="7" t="s">
        <v>2624</v>
      </c>
      <c r="B1250" s="8" t="s">
        <v>3610</v>
      </c>
      <c r="C1250" s="7" t="s">
        <v>239</v>
      </c>
      <c r="D1250" s="7" t="s">
        <v>3618</v>
      </c>
      <c r="E1250" s="7"/>
      <c r="F1250" s="7" t="s">
        <v>16</v>
      </c>
    </row>
    <row r="1251" ht="22.5" customHeight="1">
      <c r="A1251" s="7" t="s">
        <v>2624</v>
      </c>
      <c r="B1251" s="8" t="s">
        <v>3610</v>
      </c>
      <c r="C1251" s="7" t="s">
        <v>103</v>
      </c>
      <c r="D1251" s="7" t="s">
        <v>3619</v>
      </c>
      <c r="E1251" s="7"/>
      <c r="F1251" s="7" t="s">
        <v>16</v>
      </c>
    </row>
    <row r="1252" ht="22.5" customHeight="1">
      <c r="A1252" s="7" t="s">
        <v>2624</v>
      </c>
      <c r="B1252" s="8" t="s">
        <v>3620</v>
      </c>
      <c r="C1252" s="7" t="s">
        <v>36</v>
      </c>
      <c r="D1252" s="7" t="s">
        <v>3621</v>
      </c>
      <c r="E1252" s="7"/>
      <c r="F1252" s="7" t="s">
        <v>16</v>
      </c>
    </row>
    <row r="1253" ht="22.5" customHeight="1">
      <c r="A1253" s="7" t="s">
        <v>2624</v>
      </c>
      <c r="B1253" s="8" t="s">
        <v>3620</v>
      </c>
      <c r="C1253" s="7" t="s">
        <v>230</v>
      </c>
      <c r="D1253" s="7" t="s">
        <v>3622</v>
      </c>
      <c r="E1253" s="7"/>
      <c r="F1253" s="7" t="s">
        <v>16</v>
      </c>
    </row>
    <row r="1254" ht="22.5" customHeight="1">
      <c r="A1254" s="7" t="s">
        <v>2624</v>
      </c>
      <c r="B1254" s="8" t="s">
        <v>3620</v>
      </c>
      <c r="C1254" s="7" t="s">
        <v>38</v>
      </c>
      <c r="D1254" s="7" t="s">
        <v>3623</v>
      </c>
      <c r="E1254" s="7"/>
      <c r="F1254" s="7" t="s">
        <v>16</v>
      </c>
    </row>
    <row r="1255" ht="22.5" customHeight="1">
      <c r="A1255" s="7" t="s">
        <v>2624</v>
      </c>
      <c r="B1255" s="8" t="s">
        <v>3620</v>
      </c>
      <c r="C1255" s="7" t="s">
        <v>233</v>
      </c>
      <c r="D1255" s="7" t="s">
        <v>3624</v>
      </c>
      <c r="E1255" s="7"/>
      <c r="F1255" s="7" t="s">
        <v>16</v>
      </c>
    </row>
    <row r="1256" ht="22.5" customHeight="1">
      <c r="A1256" s="7" t="s">
        <v>2624</v>
      </c>
      <c r="B1256" s="8" t="s">
        <v>3620</v>
      </c>
      <c r="C1256" s="7" t="s">
        <v>40</v>
      </c>
      <c r="D1256" s="7" t="s">
        <v>3625</v>
      </c>
      <c r="E1256" s="7"/>
      <c r="F1256" s="7" t="s">
        <v>16</v>
      </c>
    </row>
    <row r="1257" ht="22.5" customHeight="1">
      <c r="A1257" s="7" t="s">
        <v>2624</v>
      </c>
      <c r="B1257" s="8" t="s">
        <v>3620</v>
      </c>
      <c r="C1257" s="7" t="s">
        <v>236</v>
      </c>
      <c r="D1257" s="7" t="s">
        <v>3626</v>
      </c>
      <c r="E1257" s="7"/>
      <c r="F1257" s="7" t="s">
        <v>16</v>
      </c>
    </row>
    <row r="1258" ht="22.5" customHeight="1">
      <c r="A1258" s="7" t="s">
        <v>2624</v>
      </c>
      <c r="B1258" s="8" t="s">
        <v>3620</v>
      </c>
      <c r="C1258" s="7" t="s">
        <v>43</v>
      </c>
      <c r="D1258" s="7" t="s">
        <v>3627</v>
      </c>
      <c r="E1258" s="7"/>
      <c r="F1258" s="7" t="s">
        <v>16</v>
      </c>
    </row>
    <row r="1259" ht="22.5" customHeight="1">
      <c r="A1259" s="7" t="s">
        <v>2624</v>
      </c>
      <c r="B1259" s="8" t="s">
        <v>3620</v>
      </c>
      <c r="C1259" s="7" t="s">
        <v>239</v>
      </c>
      <c r="D1259" s="7" t="s">
        <v>3628</v>
      </c>
      <c r="E1259" s="7"/>
      <c r="F1259" s="7" t="s">
        <v>16</v>
      </c>
    </row>
    <row r="1260" ht="22.5" customHeight="1">
      <c r="A1260" s="7" t="s">
        <v>2624</v>
      </c>
      <c r="B1260" s="8" t="s">
        <v>3620</v>
      </c>
      <c r="C1260" s="7" t="s">
        <v>103</v>
      </c>
      <c r="D1260" s="7" t="s">
        <v>3629</v>
      </c>
      <c r="E1260" s="7"/>
      <c r="F1260" s="7" t="s">
        <v>16</v>
      </c>
    </row>
    <row r="1261" ht="22.5" customHeight="1">
      <c r="A1261" s="7" t="s">
        <v>2624</v>
      </c>
      <c r="B1261" s="8" t="s">
        <v>3630</v>
      </c>
      <c r="C1261" s="7" t="s">
        <v>36</v>
      </c>
      <c r="D1261" s="7" t="s">
        <v>3631</v>
      </c>
      <c r="E1261" s="7"/>
      <c r="F1261" s="7" t="s">
        <v>16</v>
      </c>
    </row>
    <row r="1262" ht="22.5" customHeight="1">
      <c r="A1262" s="7" t="s">
        <v>2624</v>
      </c>
      <c r="B1262" s="8" t="s">
        <v>3630</v>
      </c>
      <c r="C1262" s="7" t="s">
        <v>230</v>
      </c>
      <c r="D1262" s="7" t="s">
        <v>3632</v>
      </c>
      <c r="E1262" s="7"/>
      <c r="F1262" s="7" t="s">
        <v>16</v>
      </c>
    </row>
    <row r="1263" ht="22.5" customHeight="1">
      <c r="A1263" s="7" t="s">
        <v>2624</v>
      </c>
      <c r="B1263" s="8" t="s">
        <v>3630</v>
      </c>
      <c r="C1263" s="7" t="s">
        <v>38</v>
      </c>
      <c r="D1263" s="7" t="s">
        <v>3633</v>
      </c>
      <c r="E1263" s="7"/>
      <c r="F1263" s="7" t="s">
        <v>16</v>
      </c>
    </row>
    <row r="1264" ht="22.5" customHeight="1">
      <c r="A1264" s="7" t="s">
        <v>2624</v>
      </c>
      <c r="B1264" s="8" t="s">
        <v>3630</v>
      </c>
      <c r="C1264" s="7" t="s">
        <v>233</v>
      </c>
      <c r="D1264" s="7" t="s">
        <v>3634</v>
      </c>
      <c r="E1264" s="7"/>
      <c r="F1264" s="7" t="s">
        <v>16</v>
      </c>
    </row>
    <row r="1265" ht="22.5" customHeight="1">
      <c r="A1265" s="7" t="s">
        <v>2624</v>
      </c>
      <c r="B1265" s="8" t="s">
        <v>3630</v>
      </c>
      <c r="C1265" s="7" t="s">
        <v>40</v>
      </c>
      <c r="D1265" s="7" t="s">
        <v>3635</v>
      </c>
      <c r="E1265" s="7"/>
      <c r="F1265" s="7" t="s">
        <v>16</v>
      </c>
    </row>
    <row r="1266" ht="22.5" customHeight="1">
      <c r="A1266" s="7" t="s">
        <v>2624</v>
      </c>
      <c r="B1266" s="8" t="s">
        <v>3630</v>
      </c>
      <c r="C1266" s="7" t="s">
        <v>236</v>
      </c>
      <c r="D1266" s="7" t="s">
        <v>3636</v>
      </c>
      <c r="E1266" s="7"/>
      <c r="F1266" s="7" t="s">
        <v>16</v>
      </c>
    </row>
    <row r="1267" ht="22.5" customHeight="1">
      <c r="A1267" s="7" t="s">
        <v>2624</v>
      </c>
      <c r="B1267" s="8" t="s">
        <v>3630</v>
      </c>
      <c r="C1267" s="7" t="s">
        <v>43</v>
      </c>
      <c r="D1267" s="7" t="s">
        <v>3637</v>
      </c>
      <c r="E1267" s="7"/>
      <c r="F1267" s="7" t="s">
        <v>16</v>
      </c>
    </row>
    <row r="1268" ht="22.5" customHeight="1">
      <c r="A1268" s="7" t="s">
        <v>2624</v>
      </c>
      <c r="B1268" s="8" t="s">
        <v>3630</v>
      </c>
      <c r="C1268" s="7" t="s">
        <v>239</v>
      </c>
      <c r="D1268" s="7" t="s">
        <v>3638</v>
      </c>
      <c r="E1268" s="7"/>
      <c r="F1268" s="7" t="s">
        <v>16</v>
      </c>
    </row>
    <row r="1269" ht="22.5" customHeight="1">
      <c r="A1269" s="7" t="s">
        <v>2624</v>
      </c>
      <c r="B1269" s="8" t="s">
        <v>3630</v>
      </c>
      <c r="C1269" s="7" t="s">
        <v>103</v>
      </c>
      <c r="D1269" s="7" t="s">
        <v>3639</v>
      </c>
      <c r="E1269" s="7"/>
      <c r="F1269" s="7" t="s">
        <v>16</v>
      </c>
    </row>
    <row r="1270" ht="22.5" customHeight="1">
      <c r="A1270" s="7" t="s">
        <v>2217</v>
      </c>
      <c r="B1270" s="8" t="s">
        <v>3640</v>
      </c>
      <c r="C1270" s="7" t="s">
        <v>30</v>
      </c>
      <c r="D1270" s="7" t="s">
        <v>3641</v>
      </c>
      <c r="E1270" s="7"/>
      <c r="F1270" s="7" t="s">
        <v>16</v>
      </c>
    </row>
    <row r="1271" ht="22.5" customHeight="1">
      <c r="A1271" s="7" t="s">
        <v>2217</v>
      </c>
      <c r="B1271" s="8" t="s">
        <v>3640</v>
      </c>
      <c r="C1271" s="7" t="s">
        <v>598</v>
      </c>
      <c r="D1271" s="7" t="s">
        <v>3642</v>
      </c>
      <c r="E1271" s="7"/>
      <c r="F1271" s="7" t="s">
        <v>16</v>
      </c>
    </row>
    <row r="1272" ht="22.5" customHeight="1">
      <c r="A1272" s="7" t="s">
        <v>2217</v>
      </c>
      <c r="B1272" s="8" t="s">
        <v>3640</v>
      </c>
      <c r="C1272" s="7" t="s">
        <v>36</v>
      </c>
      <c r="D1272" s="7" t="s">
        <v>3643</v>
      </c>
      <c r="E1272" s="7"/>
      <c r="F1272" s="7" t="s">
        <v>16</v>
      </c>
    </row>
    <row r="1273" ht="22.5" customHeight="1">
      <c r="A1273" s="7" t="s">
        <v>2217</v>
      </c>
      <c r="B1273" s="8" t="s">
        <v>3640</v>
      </c>
      <c r="C1273" s="7" t="s">
        <v>230</v>
      </c>
      <c r="D1273" s="7" t="s">
        <v>3644</v>
      </c>
      <c r="E1273" s="7"/>
      <c r="F1273" s="7" t="s">
        <v>16</v>
      </c>
    </row>
    <row r="1274" ht="22.5" customHeight="1">
      <c r="A1274" s="7" t="s">
        <v>2217</v>
      </c>
      <c r="B1274" s="8" t="s">
        <v>3640</v>
      </c>
      <c r="C1274" s="7" t="s">
        <v>38</v>
      </c>
      <c r="D1274" s="7" t="s">
        <v>3645</v>
      </c>
      <c r="E1274" s="7"/>
      <c r="F1274" s="7" t="s">
        <v>16</v>
      </c>
    </row>
    <row r="1275" ht="22.5" customHeight="1">
      <c r="A1275" s="7" t="s">
        <v>2217</v>
      </c>
      <c r="B1275" s="8" t="s">
        <v>3640</v>
      </c>
      <c r="C1275" s="7" t="s">
        <v>233</v>
      </c>
      <c r="D1275" s="7" t="s">
        <v>3646</v>
      </c>
      <c r="E1275" s="7"/>
      <c r="F1275" s="7" t="s">
        <v>16</v>
      </c>
    </row>
    <row r="1276" ht="22.5" customHeight="1">
      <c r="A1276" s="7" t="s">
        <v>2217</v>
      </c>
      <c r="B1276" s="8" t="s">
        <v>3640</v>
      </c>
      <c r="C1276" s="7" t="s">
        <v>40</v>
      </c>
      <c r="D1276" s="7" t="s">
        <v>3647</v>
      </c>
      <c r="E1276" s="7"/>
      <c r="F1276" s="7" t="s">
        <v>16</v>
      </c>
    </row>
    <row r="1277" ht="22.5" customHeight="1">
      <c r="A1277" s="7" t="s">
        <v>2217</v>
      </c>
      <c r="B1277" s="8" t="s">
        <v>3640</v>
      </c>
      <c r="C1277" s="7" t="s">
        <v>236</v>
      </c>
      <c r="D1277" s="7" t="s">
        <v>3648</v>
      </c>
      <c r="E1277" s="7"/>
      <c r="F1277" s="7" t="s">
        <v>16</v>
      </c>
    </row>
    <row r="1278" ht="22.5" customHeight="1">
      <c r="A1278" s="7" t="s">
        <v>2217</v>
      </c>
      <c r="B1278" s="8" t="s">
        <v>3640</v>
      </c>
      <c r="C1278" s="7" t="s">
        <v>43</v>
      </c>
      <c r="D1278" s="7" t="s">
        <v>3649</v>
      </c>
      <c r="E1278" s="7"/>
      <c r="F1278" s="7" t="s">
        <v>16</v>
      </c>
    </row>
    <row r="1279" ht="22.5" customHeight="1">
      <c r="A1279" s="7" t="s">
        <v>2217</v>
      </c>
      <c r="B1279" s="8" t="s">
        <v>3640</v>
      </c>
      <c r="C1279" s="7" t="s">
        <v>239</v>
      </c>
      <c r="D1279" s="7" t="s">
        <v>3650</v>
      </c>
      <c r="E1279" s="7"/>
      <c r="F1279" s="7" t="s">
        <v>16</v>
      </c>
    </row>
    <row r="1280" ht="22.5" customHeight="1">
      <c r="A1280" s="7" t="s">
        <v>2217</v>
      </c>
      <c r="B1280" s="8" t="s">
        <v>3640</v>
      </c>
      <c r="C1280" s="7" t="s">
        <v>103</v>
      </c>
      <c r="D1280" s="7" t="s">
        <v>3651</v>
      </c>
      <c r="E1280" s="7"/>
      <c r="F1280" s="7" t="s">
        <v>16</v>
      </c>
    </row>
    <row r="1281" ht="22.5" customHeight="1">
      <c r="A1281" s="7" t="s">
        <v>2380</v>
      </c>
      <c r="B1281" s="8" t="s">
        <v>3652</v>
      </c>
      <c r="C1281" s="7" t="s">
        <v>30</v>
      </c>
      <c r="D1281" s="7" t="s">
        <v>3653</v>
      </c>
      <c r="E1281" s="7"/>
      <c r="F1281" s="7" t="s">
        <v>16</v>
      </c>
    </row>
    <row r="1282" ht="22.5" customHeight="1">
      <c r="A1282" s="7" t="s">
        <v>2380</v>
      </c>
      <c r="B1282" s="8" t="s">
        <v>3652</v>
      </c>
      <c r="C1282" s="7" t="s">
        <v>30</v>
      </c>
      <c r="D1282" s="7" t="s">
        <v>3654</v>
      </c>
      <c r="E1282" s="7"/>
      <c r="F1282" s="7" t="s">
        <v>16</v>
      </c>
    </row>
    <row r="1283" ht="22.5" customHeight="1">
      <c r="A1283" s="7" t="s">
        <v>2380</v>
      </c>
      <c r="B1283" s="8" t="s">
        <v>3652</v>
      </c>
      <c r="C1283" s="7" t="s">
        <v>598</v>
      </c>
      <c r="D1283" s="7" t="s">
        <v>3655</v>
      </c>
      <c r="E1283" s="7"/>
      <c r="F1283" s="7" t="s">
        <v>16</v>
      </c>
    </row>
    <row r="1284" ht="22.5" customHeight="1">
      <c r="A1284" s="7" t="s">
        <v>2380</v>
      </c>
      <c r="B1284" s="8" t="s">
        <v>3652</v>
      </c>
      <c r="C1284" s="7" t="s">
        <v>598</v>
      </c>
      <c r="D1284" s="7" t="s">
        <v>3656</v>
      </c>
      <c r="E1284" s="7"/>
      <c r="F1284" s="7" t="s">
        <v>16</v>
      </c>
    </row>
    <row r="1285" ht="22.5" customHeight="1">
      <c r="A1285" s="7" t="s">
        <v>2380</v>
      </c>
      <c r="B1285" s="8" t="s">
        <v>3652</v>
      </c>
      <c r="C1285" s="7" t="s">
        <v>36</v>
      </c>
      <c r="D1285" s="7" t="s">
        <v>3657</v>
      </c>
      <c r="E1285" s="7"/>
      <c r="F1285" s="7" t="s">
        <v>16</v>
      </c>
    </row>
    <row r="1286" ht="22.5" customHeight="1">
      <c r="A1286" s="7" t="s">
        <v>2380</v>
      </c>
      <c r="B1286" s="8" t="s">
        <v>3652</v>
      </c>
      <c r="C1286" s="7" t="s">
        <v>36</v>
      </c>
      <c r="D1286" s="7" t="s">
        <v>3658</v>
      </c>
      <c r="E1286" s="7"/>
      <c r="F1286" s="7" t="s">
        <v>16</v>
      </c>
    </row>
    <row r="1287" ht="22.5" customHeight="1">
      <c r="A1287" s="7" t="s">
        <v>2380</v>
      </c>
      <c r="B1287" s="8" t="s">
        <v>3652</v>
      </c>
      <c r="C1287" s="7" t="s">
        <v>230</v>
      </c>
      <c r="D1287" s="7" t="s">
        <v>3659</v>
      </c>
      <c r="E1287" s="7"/>
      <c r="F1287" s="7" t="s">
        <v>16</v>
      </c>
    </row>
    <row r="1288" ht="22.5" customHeight="1">
      <c r="A1288" s="7" t="s">
        <v>2380</v>
      </c>
      <c r="B1288" s="8" t="s">
        <v>3652</v>
      </c>
      <c r="C1288" s="7" t="s">
        <v>230</v>
      </c>
      <c r="D1288" s="7" t="s">
        <v>3660</v>
      </c>
      <c r="E1288" s="7"/>
      <c r="F1288" s="7" t="s">
        <v>16</v>
      </c>
    </row>
    <row r="1289" ht="22.5" customHeight="1">
      <c r="A1289" s="7" t="s">
        <v>2380</v>
      </c>
      <c r="B1289" s="8" t="s">
        <v>3652</v>
      </c>
      <c r="C1289" s="7" t="s">
        <v>38</v>
      </c>
      <c r="D1289" s="7" t="s">
        <v>3661</v>
      </c>
      <c r="E1289" s="7"/>
      <c r="F1289" s="7" t="s">
        <v>16</v>
      </c>
    </row>
    <row r="1290" ht="22.5" customHeight="1">
      <c r="A1290" s="7" t="s">
        <v>2380</v>
      </c>
      <c r="B1290" s="8" t="s">
        <v>3652</v>
      </c>
      <c r="C1290" s="7" t="s">
        <v>38</v>
      </c>
      <c r="D1290" s="7" t="s">
        <v>3662</v>
      </c>
      <c r="E1290" s="7"/>
      <c r="F1290" s="7" t="s">
        <v>16</v>
      </c>
    </row>
    <row r="1291" ht="22.5" customHeight="1">
      <c r="A1291" s="7" t="s">
        <v>2380</v>
      </c>
      <c r="B1291" s="8" t="s">
        <v>3652</v>
      </c>
      <c r="C1291" s="7" t="s">
        <v>233</v>
      </c>
      <c r="D1291" s="7" t="s">
        <v>3663</v>
      </c>
      <c r="E1291" s="7"/>
      <c r="F1291" s="7" t="s">
        <v>16</v>
      </c>
    </row>
    <row r="1292" ht="22.5" customHeight="1">
      <c r="A1292" s="7" t="s">
        <v>2380</v>
      </c>
      <c r="B1292" s="8" t="s">
        <v>3652</v>
      </c>
      <c r="C1292" s="7" t="s">
        <v>233</v>
      </c>
      <c r="D1292" s="7" t="s">
        <v>3664</v>
      </c>
      <c r="E1292" s="7"/>
      <c r="F1292" s="7" t="s">
        <v>16</v>
      </c>
    </row>
    <row r="1293" ht="22.5" customHeight="1">
      <c r="A1293" s="7" t="s">
        <v>2380</v>
      </c>
      <c r="B1293" s="8" t="s">
        <v>3652</v>
      </c>
      <c r="C1293" s="7" t="s">
        <v>40</v>
      </c>
      <c r="D1293" s="7" t="s">
        <v>3665</v>
      </c>
      <c r="E1293" s="7"/>
      <c r="F1293" s="7" t="s">
        <v>16</v>
      </c>
    </row>
    <row r="1294" ht="22.5" customHeight="1">
      <c r="A1294" s="7" t="s">
        <v>2380</v>
      </c>
      <c r="B1294" s="8" t="s">
        <v>3652</v>
      </c>
      <c r="C1294" s="7" t="s">
        <v>40</v>
      </c>
      <c r="D1294" s="7" t="s">
        <v>3666</v>
      </c>
      <c r="E1294" s="7"/>
      <c r="F1294" s="7" t="s">
        <v>16</v>
      </c>
    </row>
    <row r="1295" ht="22.5" customHeight="1">
      <c r="A1295" s="7" t="s">
        <v>2380</v>
      </c>
      <c r="B1295" s="8" t="s">
        <v>3652</v>
      </c>
      <c r="C1295" s="7" t="s">
        <v>236</v>
      </c>
      <c r="D1295" s="7" t="s">
        <v>3667</v>
      </c>
      <c r="E1295" s="7"/>
      <c r="F1295" s="7" t="s">
        <v>16</v>
      </c>
    </row>
    <row r="1296" ht="22.5" customHeight="1">
      <c r="A1296" s="7" t="s">
        <v>2380</v>
      </c>
      <c r="B1296" s="8" t="s">
        <v>3652</v>
      </c>
      <c r="C1296" s="7" t="s">
        <v>236</v>
      </c>
      <c r="D1296" s="7" t="s">
        <v>3668</v>
      </c>
      <c r="E1296" s="7"/>
      <c r="F1296" s="7" t="s">
        <v>16</v>
      </c>
    </row>
    <row r="1297" ht="22.5" customHeight="1">
      <c r="A1297" s="7" t="s">
        <v>2380</v>
      </c>
      <c r="B1297" s="8" t="s">
        <v>3652</v>
      </c>
      <c r="C1297" s="7" t="s">
        <v>43</v>
      </c>
      <c r="D1297" s="7" t="s">
        <v>3669</v>
      </c>
      <c r="E1297" s="7"/>
      <c r="F1297" s="7" t="s">
        <v>16</v>
      </c>
    </row>
    <row r="1298" ht="22.5" customHeight="1">
      <c r="A1298" s="7" t="s">
        <v>2380</v>
      </c>
      <c r="B1298" s="8" t="s">
        <v>3652</v>
      </c>
      <c r="C1298" s="7" t="s">
        <v>43</v>
      </c>
      <c r="D1298" s="7" t="s">
        <v>3670</v>
      </c>
      <c r="E1298" s="7"/>
      <c r="F1298" s="7" t="s">
        <v>16</v>
      </c>
    </row>
    <row r="1299" ht="22.5" customHeight="1">
      <c r="A1299" s="7" t="s">
        <v>2380</v>
      </c>
      <c r="B1299" s="8" t="s">
        <v>3652</v>
      </c>
      <c r="C1299" s="7" t="s">
        <v>239</v>
      </c>
      <c r="D1299" s="7" t="s">
        <v>3671</v>
      </c>
      <c r="E1299" s="7"/>
      <c r="F1299" s="7" t="s">
        <v>16</v>
      </c>
    </row>
    <row r="1300" ht="22.5" customHeight="1">
      <c r="A1300" s="7" t="s">
        <v>2380</v>
      </c>
      <c r="B1300" s="8" t="s">
        <v>3652</v>
      </c>
      <c r="C1300" s="7" t="s">
        <v>239</v>
      </c>
      <c r="D1300" s="7" t="s">
        <v>3672</v>
      </c>
      <c r="E1300" s="7"/>
      <c r="F1300" s="7" t="s">
        <v>16</v>
      </c>
    </row>
    <row r="1301" ht="22.5" customHeight="1">
      <c r="A1301" s="7" t="s">
        <v>2380</v>
      </c>
      <c r="B1301" s="8" t="s">
        <v>3652</v>
      </c>
      <c r="C1301" s="7" t="s">
        <v>103</v>
      </c>
      <c r="D1301" s="7" t="s">
        <v>3673</v>
      </c>
      <c r="E1301" s="7"/>
      <c r="F1301" s="7" t="s">
        <v>16</v>
      </c>
    </row>
    <row r="1302" ht="22.5" customHeight="1">
      <c r="A1302" s="7" t="s">
        <v>2380</v>
      </c>
      <c r="B1302" s="8" t="s">
        <v>3652</v>
      </c>
      <c r="C1302" s="7" t="s">
        <v>103</v>
      </c>
      <c r="D1302" s="7" t="s">
        <v>3674</v>
      </c>
      <c r="E1302" s="7"/>
      <c r="F1302" s="7" t="s">
        <v>16</v>
      </c>
    </row>
    <row r="1303" ht="22.5" customHeight="1">
      <c r="A1303" s="7" t="s">
        <v>2624</v>
      </c>
      <c r="B1303" s="8" t="s">
        <v>3675</v>
      </c>
      <c r="C1303" s="7" t="s">
        <v>36</v>
      </c>
      <c r="D1303" s="7" t="s">
        <v>3676</v>
      </c>
      <c r="E1303" s="7"/>
      <c r="F1303" s="7" t="s">
        <v>16</v>
      </c>
    </row>
    <row r="1304" ht="22.5" customHeight="1">
      <c r="A1304" s="7" t="s">
        <v>2624</v>
      </c>
      <c r="B1304" s="8" t="s">
        <v>3675</v>
      </c>
      <c r="C1304" s="7" t="s">
        <v>230</v>
      </c>
      <c r="D1304" s="7" t="s">
        <v>3677</v>
      </c>
      <c r="E1304" s="7"/>
      <c r="F1304" s="7" t="s">
        <v>16</v>
      </c>
    </row>
    <row r="1305" ht="22.5" customHeight="1">
      <c r="A1305" s="7" t="s">
        <v>2624</v>
      </c>
      <c r="B1305" s="8" t="s">
        <v>3675</v>
      </c>
      <c r="C1305" s="7" t="s">
        <v>38</v>
      </c>
      <c r="D1305" s="7" t="s">
        <v>3678</v>
      </c>
      <c r="E1305" s="7"/>
      <c r="F1305" s="7" t="s">
        <v>16</v>
      </c>
    </row>
    <row r="1306" ht="22.5" customHeight="1">
      <c r="A1306" s="7" t="s">
        <v>2624</v>
      </c>
      <c r="B1306" s="8" t="s">
        <v>3675</v>
      </c>
      <c r="C1306" s="7" t="s">
        <v>233</v>
      </c>
      <c r="D1306" s="7" t="s">
        <v>3679</v>
      </c>
      <c r="E1306" s="7"/>
      <c r="F1306" s="7" t="s">
        <v>16</v>
      </c>
    </row>
    <row r="1307" ht="22.5" customHeight="1">
      <c r="A1307" s="7" t="s">
        <v>2624</v>
      </c>
      <c r="B1307" s="8" t="s">
        <v>3675</v>
      </c>
      <c r="C1307" s="7" t="s">
        <v>40</v>
      </c>
      <c r="D1307" s="7" t="s">
        <v>3680</v>
      </c>
      <c r="E1307" s="7"/>
      <c r="F1307" s="7" t="s">
        <v>16</v>
      </c>
    </row>
    <row r="1308" ht="22.5" customHeight="1">
      <c r="A1308" s="7" t="s">
        <v>2624</v>
      </c>
      <c r="B1308" s="8" t="s">
        <v>3675</v>
      </c>
      <c r="C1308" s="7" t="s">
        <v>236</v>
      </c>
      <c r="D1308" s="7" t="s">
        <v>3681</v>
      </c>
      <c r="E1308" s="7"/>
      <c r="F1308" s="7" t="s">
        <v>16</v>
      </c>
    </row>
    <row r="1309" ht="22.5" customHeight="1">
      <c r="A1309" s="7" t="s">
        <v>2624</v>
      </c>
      <c r="B1309" s="8" t="s">
        <v>3675</v>
      </c>
      <c r="C1309" s="7" t="s">
        <v>43</v>
      </c>
      <c r="D1309" s="7" t="s">
        <v>3682</v>
      </c>
      <c r="E1309" s="7"/>
      <c r="F1309" s="7" t="s">
        <v>16</v>
      </c>
    </row>
    <row r="1310" ht="22.5" customHeight="1">
      <c r="A1310" s="7" t="s">
        <v>2624</v>
      </c>
      <c r="B1310" s="8" t="s">
        <v>3675</v>
      </c>
      <c r="C1310" s="7" t="s">
        <v>239</v>
      </c>
      <c r="D1310" s="7" t="s">
        <v>3683</v>
      </c>
      <c r="E1310" s="7"/>
      <c r="F1310" s="7" t="s">
        <v>16</v>
      </c>
    </row>
    <row r="1311" ht="22.5" customHeight="1">
      <c r="A1311" s="7" t="s">
        <v>2624</v>
      </c>
      <c r="B1311" s="8" t="s">
        <v>3675</v>
      </c>
      <c r="C1311" s="7" t="s">
        <v>103</v>
      </c>
      <c r="D1311" s="7" t="s">
        <v>3684</v>
      </c>
      <c r="E1311" s="7"/>
      <c r="F1311" s="7" t="s">
        <v>16</v>
      </c>
    </row>
    <row r="1312" ht="22.5" customHeight="1">
      <c r="A1312" s="7" t="s">
        <v>2624</v>
      </c>
      <c r="B1312" s="8" t="s">
        <v>3685</v>
      </c>
      <c r="C1312" s="7" t="s">
        <v>36</v>
      </c>
      <c r="D1312" s="7" t="s">
        <v>3686</v>
      </c>
      <c r="E1312" s="7"/>
      <c r="F1312" s="7" t="s">
        <v>16</v>
      </c>
    </row>
    <row r="1313" ht="22.5" customHeight="1">
      <c r="A1313" s="7" t="s">
        <v>2624</v>
      </c>
      <c r="B1313" s="8" t="s">
        <v>3685</v>
      </c>
      <c r="C1313" s="7" t="s">
        <v>230</v>
      </c>
      <c r="D1313" s="7" t="s">
        <v>3687</v>
      </c>
      <c r="E1313" s="7"/>
      <c r="F1313" s="7" t="s">
        <v>16</v>
      </c>
    </row>
    <row r="1314" ht="22.5" customHeight="1">
      <c r="A1314" s="7" t="s">
        <v>2624</v>
      </c>
      <c r="B1314" s="8" t="s">
        <v>3685</v>
      </c>
      <c r="C1314" s="7" t="s">
        <v>38</v>
      </c>
      <c r="D1314" s="7" t="s">
        <v>3688</v>
      </c>
      <c r="E1314" s="7"/>
      <c r="F1314" s="7" t="s">
        <v>16</v>
      </c>
    </row>
    <row r="1315" ht="22.5" customHeight="1">
      <c r="A1315" s="7" t="s">
        <v>2624</v>
      </c>
      <c r="B1315" s="8" t="s">
        <v>3685</v>
      </c>
      <c r="C1315" s="7" t="s">
        <v>233</v>
      </c>
      <c r="D1315" s="7" t="s">
        <v>3689</v>
      </c>
      <c r="E1315" s="7"/>
      <c r="F1315" s="7" t="s">
        <v>16</v>
      </c>
    </row>
    <row r="1316" ht="22.5" customHeight="1">
      <c r="A1316" s="7" t="s">
        <v>2624</v>
      </c>
      <c r="B1316" s="8" t="s">
        <v>3685</v>
      </c>
      <c r="C1316" s="7" t="s">
        <v>40</v>
      </c>
      <c r="D1316" s="7" t="s">
        <v>3690</v>
      </c>
      <c r="E1316" s="7"/>
      <c r="F1316" s="7" t="s">
        <v>16</v>
      </c>
    </row>
    <row r="1317" ht="22.5" customHeight="1">
      <c r="A1317" s="7" t="s">
        <v>2624</v>
      </c>
      <c r="B1317" s="8" t="s">
        <v>3685</v>
      </c>
      <c r="C1317" s="7" t="s">
        <v>236</v>
      </c>
      <c r="D1317" s="7" t="s">
        <v>3691</v>
      </c>
      <c r="E1317" s="7"/>
      <c r="F1317" s="7" t="s">
        <v>16</v>
      </c>
    </row>
    <row r="1318" ht="22.5" customHeight="1">
      <c r="A1318" s="7" t="s">
        <v>2624</v>
      </c>
      <c r="B1318" s="8" t="s">
        <v>3685</v>
      </c>
      <c r="C1318" s="7" t="s">
        <v>43</v>
      </c>
      <c r="D1318" s="7" t="s">
        <v>3692</v>
      </c>
      <c r="E1318" s="7"/>
      <c r="F1318" s="7" t="s">
        <v>16</v>
      </c>
    </row>
    <row r="1319" ht="22.5" customHeight="1">
      <c r="A1319" s="7" t="s">
        <v>2624</v>
      </c>
      <c r="B1319" s="8" t="s">
        <v>3685</v>
      </c>
      <c r="C1319" s="7" t="s">
        <v>239</v>
      </c>
      <c r="D1319" s="7" t="s">
        <v>3693</v>
      </c>
      <c r="E1319" s="7"/>
      <c r="F1319" s="7" t="s">
        <v>16</v>
      </c>
    </row>
    <row r="1320" ht="22.5" customHeight="1">
      <c r="A1320" s="7" t="s">
        <v>2624</v>
      </c>
      <c r="B1320" s="8" t="s">
        <v>3685</v>
      </c>
      <c r="C1320" s="7" t="s">
        <v>103</v>
      </c>
      <c r="D1320" s="7" t="s">
        <v>3694</v>
      </c>
      <c r="E1320" s="7"/>
      <c r="F1320" s="7" t="s">
        <v>16</v>
      </c>
    </row>
    <row r="1321" ht="22.5" customHeight="1">
      <c r="A1321" s="7" t="s">
        <v>2624</v>
      </c>
      <c r="B1321" s="8" t="s">
        <v>3695</v>
      </c>
      <c r="C1321" s="7" t="s">
        <v>36</v>
      </c>
      <c r="D1321" s="7" t="s">
        <v>3696</v>
      </c>
      <c r="E1321" s="7"/>
      <c r="F1321" s="7" t="s">
        <v>16</v>
      </c>
    </row>
    <row r="1322" ht="22.5" customHeight="1">
      <c r="A1322" s="7" t="s">
        <v>2624</v>
      </c>
      <c r="B1322" s="8" t="s">
        <v>3695</v>
      </c>
      <c r="C1322" s="7" t="s">
        <v>230</v>
      </c>
      <c r="D1322" s="7" t="s">
        <v>3697</v>
      </c>
      <c r="E1322" s="7"/>
      <c r="F1322" s="7" t="s">
        <v>16</v>
      </c>
    </row>
    <row r="1323" ht="22.5" customHeight="1">
      <c r="A1323" s="7" t="s">
        <v>2624</v>
      </c>
      <c r="B1323" s="8" t="s">
        <v>3695</v>
      </c>
      <c r="C1323" s="7" t="s">
        <v>38</v>
      </c>
      <c r="D1323" s="7" t="s">
        <v>3698</v>
      </c>
      <c r="E1323" s="7"/>
      <c r="F1323" s="7" t="s">
        <v>16</v>
      </c>
    </row>
    <row r="1324" ht="22.5" customHeight="1">
      <c r="A1324" s="7" t="s">
        <v>2624</v>
      </c>
      <c r="B1324" s="8" t="s">
        <v>3695</v>
      </c>
      <c r="C1324" s="7" t="s">
        <v>233</v>
      </c>
      <c r="D1324" s="7" t="s">
        <v>3699</v>
      </c>
      <c r="E1324" s="7"/>
      <c r="F1324" s="7" t="s">
        <v>16</v>
      </c>
    </row>
    <row r="1325" ht="22.5" customHeight="1">
      <c r="A1325" s="7" t="s">
        <v>2624</v>
      </c>
      <c r="B1325" s="8" t="s">
        <v>3695</v>
      </c>
      <c r="C1325" s="7" t="s">
        <v>40</v>
      </c>
      <c r="D1325" s="7" t="s">
        <v>3700</v>
      </c>
      <c r="E1325" s="7"/>
      <c r="F1325" s="7" t="s">
        <v>16</v>
      </c>
    </row>
    <row r="1326" ht="22.5" customHeight="1">
      <c r="A1326" s="7" t="s">
        <v>2624</v>
      </c>
      <c r="B1326" s="8" t="s">
        <v>3695</v>
      </c>
      <c r="C1326" s="7" t="s">
        <v>236</v>
      </c>
      <c r="D1326" s="7" t="s">
        <v>3701</v>
      </c>
      <c r="E1326" s="7"/>
      <c r="F1326" s="7" t="s">
        <v>16</v>
      </c>
    </row>
    <row r="1327" ht="22.5" customHeight="1">
      <c r="A1327" s="7" t="s">
        <v>2624</v>
      </c>
      <c r="B1327" s="8" t="s">
        <v>3695</v>
      </c>
      <c r="C1327" s="7" t="s">
        <v>43</v>
      </c>
      <c r="D1327" s="7" t="s">
        <v>3702</v>
      </c>
      <c r="E1327" s="7"/>
      <c r="F1327" s="7" t="s">
        <v>16</v>
      </c>
    </row>
    <row r="1328" ht="22.5" customHeight="1">
      <c r="A1328" s="7" t="s">
        <v>2624</v>
      </c>
      <c r="B1328" s="8" t="s">
        <v>3695</v>
      </c>
      <c r="C1328" s="7" t="s">
        <v>239</v>
      </c>
      <c r="D1328" s="7" t="s">
        <v>3703</v>
      </c>
      <c r="E1328" s="7"/>
      <c r="F1328" s="7" t="s">
        <v>16</v>
      </c>
    </row>
    <row r="1329" ht="22.5" customHeight="1">
      <c r="A1329" s="7" t="s">
        <v>2624</v>
      </c>
      <c r="B1329" s="8" t="s">
        <v>3695</v>
      </c>
      <c r="C1329" s="7" t="s">
        <v>103</v>
      </c>
      <c r="D1329" s="7" t="s">
        <v>3704</v>
      </c>
      <c r="E1329" s="7"/>
      <c r="F1329" s="7" t="s">
        <v>16</v>
      </c>
    </row>
    <row r="1330" ht="22.5" customHeight="1">
      <c r="A1330" s="7" t="s">
        <v>2624</v>
      </c>
      <c r="B1330" s="8" t="s">
        <v>3695</v>
      </c>
      <c r="C1330" s="7" t="s">
        <v>103</v>
      </c>
      <c r="D1330" s="7" t="s">
        <v>3705</v>
      </c>
      <c r="E1330" s="7"/>
      <c r="F1330" s="7" t="s">
        <v>16</v>
      </c>
    </row>
    <row r="1331" ht="22.5" customHeight="1">
      <c r="A1331" s="7" t="s">
        <v>2624</v>
      </c>
      <c r="B1331" s="8" t="s">
        <v>3706</v>
      </c>
      <c r="C1331" s="7" t="s">
        <v>36</v>
      </c>
      <c r="D1331" s="7" t="s">
        <v>3707</v>
      </c>
      <c r="E1331" s="7"/>
      <c r="F1331" s="7" t="s">
        <v>16</v>
      </c>
    </row>
    <row r="1332" ht="22.5" customHeight="1">
      <c r="A1332" s="7" t="s">
        <v>2624</v>
      </c>
      <c r="B1332" s="8" t="s">
        <v>3706</v>
      </c>
      <c r="C1332" s="7" t="s">
        <v>230</v>
      </c>
      <c r="D1332" s="7" t="s">
        <v>3708</v>
      </c>
      <c r="E1332" s="7"/>
      <c r="F1332" s="7" t="s">
        <v>16</v>
      </c>
    </row>
    <row r="1333" ht="22.5" customHeight="1">
      <c r="A1333" s="7" t="s">
        <v>2624</v>
      </c>
      <c r="B1333" s="8" t="s">
        <v>3706</v>
      </c>
      <c r="C1333" s="7" t="s">
        <v>38</v>
      </c>
      <c r="D1333" s="7" t="s">
        <v>3709</v>
      </c>
      <c r="E1333" s="7"/>
      <c r="F1333" s="7" t="s">
        <v>16</v>
      </c>
    </row>
    <row r="1334" ht="22.5" customHeight="1">
      <c r="A1334" s="7" t="s">
        <v>2624</v>
      </c>
      <c r="B1334" s="8" t="s">
        <v>3706</v>
      </c>
      <c r="C1334" s="7" t="s">
        <v>233</v>
      </c>
      <c r="D1334" s="7" t="s">
        <v>3710</v>
      </c>
      <c r="E1334" s="7"/>
      <c r="F1334" s="7" t="s">
        <v>16</v>
      </c>
    </row>
    <row r="1335" ht="22.5" customHeight="1">
      <c r="A1335" s="7" t="s">
        <v>2624</v>
      </c>
      <c r="B1335" s="8" t="s">
        <v>3706</v>
      </c>
      <c r="C1335" s="7" t="s">
        <v>40</v>
      </c>
      <c r="D1335" s="7" t="s">
        <v>3711</v>
      </c>
      <c r="E1335" s="7"/>
      <c r="F1335" s="7" t="s">
        <v>16</v>
      </c>
    </row>
    <row r="1336" ht="22.5" customHeight="1">
      <c r="A1336" s="7" t="s">
        <v>2624</v>
      </c>
      <c r="B1336" s="8" t="s">
        <v>3706</v>
      </c>
      <c r="C1336" s="7" t="s">
        <v>236</v>
      </c>
      <c r="D1336" s="7" t="s">
        <v>3712</v>
      </c>
      <c r="E1336" s="7"/>
      <c r="F1336" s="7" t="s">
        <v>16</v>
      </c>
    </row>
    <row r="1337" ht="22.5" customHeight="1">
      <c r="A1337" s="7" t="s">
        <v>2624</v>
      </c>
      <c r="B1337" s="8" t="s">
        <v>3706</v>
      </c>
      <c r="C1337" s="7" t="s">
        <v>43</v>
      </c>
      <c r="D1337" s="7" t="s">
        <v>3713</v>
      </c>
      <c r="E1337" s="7"/>
      <c r="F1337" s="7" t="s">
        <v>16</v>
      </c>
    </row>
    <row r="1338" ht="22.5" customHeight="1">
      <c r="A1338" s="7" t="s">
        <v>2624</v>
      </c>
      <c r="B1338" s="8" t="s">
        <v>3706</v>
      </c>
      <c r="C1338" s="7" t="s">
        <v>239</v>
      </c>
      <c r="D1338" s="7" t="s">
        <v>3714</v>
      </c>
      <c r="E1338" s="7"/>
      <c r="F1338" s="7" t="s">
        <v>16</v>
      </c>
    </row>
    <row r="1339" ht="22.5" customHeight="1">
      <c r="A1339" s="7" t="s">
        <v>2624</v>
      </c>
      <c r="B1339" s="8" t="s">
        <v>3706</v>
      </c>
      <c r="C1339" s="7" t="s">
        <v>103</v>
      </c>
      <c r="D1339" s="7" t="s">
        <v>3715</v>
      </c>
      <c r="E1339" s="7"/>
      <c r="F1339" s="7" t="s">
        <v>16</v>
      </c>
    </row>
    <row r="1340" ht="22.5" customHeight="1">
      <c r="A1340" s="7" t="s">
        <v>2230</v>
      </c>
      <c r="B1340" s="8" t="s">
        <v>3716</v>
      </c>
      <c r="C1340" s="7" t="s">
        <v>30</v>
      </c>
      <c r="D1340" s="7" t="s">
        <v>3717</v>
      </c>
      <c r="E1340" s="7"/>
      <c r="F1340" s="7" t="s">
        <v>16</v>
      </c>
    </row>
    <row r="1341" ht="22.5" customHeight="1">
      <c r="A1341" s="7" t="s">
        <v>2230</v>
      </c>
      <c r="B1341" s="8" t="s">
        <v>3716</v>
      </c>
      <c r="C1341" s="7" t="s">
        <v>598</v>
      </c>
      <c r="D1341" s="7" t="s">
        <v>3718</v>
      </c>
      <c r="E1341" s="7"/>
      <c r="F1341" s="7" t="s">
        <v>16</v>
      </c>
    </row>
    <row r="1342" ht="22.5" customHeight="1">
      <c r="A1342" s="7" t="s">
        <v>2230</v>
      </c>
      <c r="B1342" s="8" t="s">
        <v>3716</v>
      </c>
      <c r="C1342" s="7" t="s">
        <v>36</v>
      </c>
      <c r="D1342" s="7" t="s">
        <v>3719</v>
      </c>
      <c r="E1342" s="7"/>
      <c r="F1342" s="7" t="s">
        <v>16</v>
      </c>
    </row>
    <row r="1343" ht="22.5" customHeight="1">
      <c r="A1343" s="7" t="s">
        <v>2230</v>
      </c>
      <c r="B1343" s="8" t="s">
        <v>3716</v>
      </c>
      <c r="C1343" s="7" t="s">
        <v>230</v>
      </c>
      <c r="D1343" s="7" t="s">
        <v>3720</v>
      </c>
      <c r="E1343" s="7"/>
      <c r="F1343" s="7" t="s">
        <v>16</v>
      </c>
    </row>
    <row r="1344" ht="22.5" customHeight="1">
      <c r="A1344" s="7" t="s">
        <v>2230</v>
      </c>
      <c r="B1344" s="8" t="s">
        <v>3716</v>
      </c>
      <c r="C1344" s="7" t="s">
        <v>38</v>
      </c>
      <c r="D1344" s="7" t="s">
        <v>3721</v>
      </c>
      <c r="E1344" s="7"/>
      <c r="F1344" s="7" t="s">
        <v>16</v>
      </c>
    </row>
    <row r="1345" ht="22.5" customHeight="1">
      <c r="A1345" s="7" t="s">
        <v>2230</v>
      </c>
      <c r="B1345" s="8" t="s">
        <v>3716</v>
      </c>
      <c r="C1345" s="7" t="s">
        <v>233</v>
      </c>
      <c r="D1345" s="7" t="s">
        <v>3722</v>
      </c>
      <c r="E1345" s="7"/>
      <c r="F1345" s="7" t="s">
        <v>16</v>
      </c>
    </row>
    <row r="1346" ht="22.5" customHeight="1">
      <c r="A1346" s="7" t="s">
        <v>2230</v>
      </c>
      <c r="B1346" s="8" t="s">
        <v>3716</v>
      </c>
      <c r="C1346" s="7" t="s">
        <v>40</v>
      </c>
      <c r="D1346" s="7" t="s">
        <v>3723</v>
      </c>
      <c r="E1346" s="7"/>
      <c r="F1346" s="7" t="s">
        <v>16</v>
      </c>
    </row>
    <row r="1347" ht="22.5" customHeight="1">
      <c r="A1347" s="7" t="s">
        <v>2230</v>
      </c>
      <c r="B1347" s="8" t="s">
        <v>3716</v>
      </c>
      <c r="C1347" s="7" t="s">
        <v>236</v>
      </c>
      <c r="D1347" s="7" t="s">
        <v>3724</v>
      </c>
      <c r="E1347" s="7"/>
      <c r="F1347" s="7" t="s">
        <v>16</v>
      </c>
    </row>
    <row r="1348" ht="22.5" customHeight="1">
      <c r="A1348" s="7" t="s">
        <v>2230</v>
      </c>
      <c r="B1348" s="8" t="s">
        <v>3716</v>
      </c>
      <c r="C1348" s="7" t="s">
        <v>43</v>
      </c>
      <c r="D1348" s="7" t="s">
        <v>3725</v>
      </c>
      <c r="E1348" s="7"/>
      <c r="F1348" s="7" t="s">
        <v>16</v>
      </c>
    </row>
    <row r="1349" ht="22.5" customHeight="1">
      <c r="A1349" s="7" t="s">
        <v>2230</v>
      </c>
      <c r="B1349" s="8" t="s">
        <v>3716</v>
      </c>
      <c r="C1349" s="7" t="s">
        <v>239</v>
      </c>
      <c r="D1349" s="7" t="s">
        <v>3726</v>
      </c>
      <c r="E1349" s="7"/>
      <c r="F1349" s="7" t="s">
        <v>16</v>
      </c>
    </row>
    <row r="1350" ht="22.5" customHeight="1">
      <c r="A1350" s="7" t="s">
        <v>2230</v>
      </c>
      <c r="B1350" s="8" t="s">
        <v>3716</v>
      </c>
      <c r="C1350" s="7" t="s">
        <v>103</v>
      </c>
      <c r="D1350" s="7" t="s">
        <v>3727</v>
      </c>
      <c r="E1350" s="7"/>
      <c r="F1350" s="7" t="s">
        <v>16</v>
      </c>
    </row>
    <row r="1351" ht="22.5" customHeight="1">
      <c r="A1351" s="7" t="s">
        <v>2380</v>
      </c>
      <c r="B1351" s="8" t="s">
        <v>3728</v>
      </c>
      <c r="C1351" s="7" t="s">
        <v>30</v>
      </c>
      <c r="D1351" s="7" t="s">
        <v>3729</v>
      </c>
      <c r="E1351" s="7"/>
      <c r="F1351" s="7" t="s">
        <v>16</v>
      </c>
    </row>
    <row r="1352" ht="22.5" customHeight="1">
      <c r="A1352" s="7" t="s">
        <v>2380</v>
      </c>
      <c r="B1352" s="8" t="s">
        <v>3728</v>
      </c>
      <c r="C1352" s="7" t="s">
        <v>30</v>
      </c>
      <c r="D1352" s="7" t="s">
        <v>3730</v>
      </c>
      <c r="E1352" s="7"/>
      <c r="F1352" s="7" t="s">
        <v>16</v>
      </c>
    </row>
    <row r="1353" ht="22.5" customHeight="1">
      <c r="A1353" s="7" t="s">
        <v>2380</v>
      </c>
      <c r="B1353" s="8" t="s">
        <v>3728</v>
      </c>
      <c r="C1353" s="7" t="s">
        <v>36</v>
      </c>
      <c r="D1353" s="7" t="s">
        <v>3731</v>
      </c>
      <c r="E1353" s="7"/>
      <c r="F1353" s="7" t="s">
        <v>16</v>
      </c>
    </row>
    <row r="1354" ht="22.5" customHeight="1">
      <c r="A1354" s="7" t="s">
        <v>2380</v>
      </c>
      <c r="B1354" s="8" t="s">
        <v>3728</v>
      </c>
      <c r="C1354" s="7" t="s">
        <v>36</v>
      </c>
      <c r="D1354" s="7" t="s">
        <v>3732</v>
      </c>
      <c r="E1354" s="7"/>
      <c r="F1354" s="7" t="s">
        <v>16</v>
      </c>
    </row>
    <row r="1355" ht="22.5" customHeight="1">
      <c r="A1355" s="7" t="s">
        <v>2380</v>
      </c>
      <c r="B1355" s="8" t="s">
        <v>3728</v>
      </c>
      <c r="C1355" s="7" t="s">
        <v>38</v>
      </c>
      <c r="D1355" s="7" t="s">
        <v>3733</v>
      </c>
      <c r="E1355" s="7"/>
      <c r="F1355" s="7" t="s">
        <v>16</v>
      </c>
    </row>
    <row r="1356" ht="22.5" customHeight="1">
      <c r="A1356" s="7" t="s">
        <v>2380</v>
      </c>
      <c r="B1356" s="8" t="s">
        <v>3728</v>
      </c>
      <c r="C1356" s="7" t="s">
        <v>38</v>
      </c>
      <c r="D1356" s="7" t="s">
        <v>3734</v>
      </c>
      <c r="E1356" s="7"/>
      <c r="F1356" s="7" t="s">
        <v>16</v>
      </c>
    </row>
    <row r="1357" ht="22.5" customHeight="1">
      <c r="A1357" s="7" t="s">
        <v>2380</v>
      </c>
      <c r="B1357" s="8" t="s">
        <v>3728</v>
      </c>
      <c r="C1357" s="7" t="s">
        <v>233</v>
      </c>
      <c r="D1357" s="7" t="s">
        <v>3735</v>
      </c>
      <c r="E1357" s="7"/>
      <c r="F1357" s="7" t="s">
        <v>16</v>
      </c>
    </row>
    <row r="1358" ht="22.5" customHeight="1">
      <c r="A1358" s="7" t="s">
        <v>2380</v>
      </c>
      <c r="B1358" s="8" t="s">
        <v>3728</v>
      </c>
      <c r="C1358" s="7" t="s">
        <v>233</v>
      </c>
      <c r="D1358" s="7" t="s">
        <v>3736</v>
      </c>
      <c r="E1358" s="7"/>
      <c r="F1358" s="7" t="s">
        <v>16</v>
      </c>
    </row>
    <row r="1359" ht="22.5" customHeight="1">
      <c r="A1359" s="7" t="s">
        <v>2380</v>
      </c>
      <c r="B1359" s="8" t="s">
        <v>3728</v>
      </c>
      <c r="C1359" s="7" t="s">
        <v>40</v>
      </c>
      <c r="D1359" s="7" t="s">
        <v>3737</v>
      </c>
      <c r="E1359" s="7"/>
      <c r="F1359" s="7" t="s">
        <v>16</v>
      </c>
    </row>
    <row r="1360" ht="22.5" customHeight="1">
      <c r="A1360" s="7" t="s">
        <v>2380</v>
      </c>
      <c r="B1360" s="8" t="s">
        <v>3728</v>
      </c>
      <c r="C1360" s="7" t="s">
        <v>40</v>
      </c>
      <c r="D1360" s="7" t="s">
        <v>3738</v>
      </c>
      <c r="E1360" s="7"/>
      <c r="F1360" s="7" t="s">
        <v>16</v>
      </c>
    </row>
    <row r="1361" ht="22.5" customHeight="1">
      <c r="A1361" s="7" t="s">
        <v>2380</v>
      </c>
      <c r="B1361" s="8" t="s">
        <v>3728</v>
      </c>
      <c r="C1361" s="7" t="s">
        <v>236</v>
      </c>
      <c r="D1361" s="7" t="s">
        <v>3739</v>
      </c>
      <c r="E1361" s="7"/>
      <c r="F1361" s="7" t="s">
        <v>16</v>
      </c>
    </row>
    <row r="1362" ht="22.5" customHeight="1">
      <c r="A1362" s="7" t="s">
        <v>2380</v>
      </c>
      <c r="B1362" s="8" t="s">
        <v>3728</v>
      </c>
      <c r="C1362" s="7" t="s">
        <v>236</v>
      </c>
      <c r="D1362" s="7" t="s">
        <v>3740</v>
      </c>
      <c r="E1362" s="7"/>
      <c r="F1362" s="7" t="s">
        <v>16</v>
      </c>
    </row>
    <row r="1363" ht="22.5" customHeight="1">
      <c r="A1363" s="7" t="s">
        <v>2380</v>
      </c>
      <c r="B1363" s="8" t="s">
        <v>3728</v>
      </c>
      <c r="C1363" s="7" t="s">
        <v>43</v>
      </c>
      <c r="D1363" s="7" t="s">
        <v>3741</v>
      </c>
      <c r="E1363" s="7"/>
      <c r="F1363" s="7" t="s">
        <v>16</v>
      </c>
    </row>
    <row r="1364" ht="22.5" customHeight="1">
      <c r="A1364" s="7" t="s">
        <v>2380</v>
      </c>
      <c r="B1364" s="8" t="s">
        <v>3728</v>
      </c>
      <c r="C1364" s="7" t="s">
        <v>43</v>
      </c>
      <c r="D1364" s="7" t="s">
        <v>3742</v>
      </c>
      <c r="E1364" s="7"/>
      <c r="F1364" s="7" t="s">
        <v>16</v>
      </c>
    </row>
    <row r="1365" ht="22.5" customHeight="1">
      <c r="A1365" s="7" t="s">
        <v>2380</v>
      </c>
      <c r="B1365" s="8" t="s">
        <v>3728</v>
      </c>
      <c r="C1365" s="7" t="s">
        <v>239</v>
      </c>
      <c r="D1365" s="7" t="s">
        <v>3743</v>
      </c>
      <c r="E1365" s="7"/>
      <c r="F1365" s="7" t="s">
        <v>16</v>
      </c>
    </row>
    <row r="1366" ht="22.5" customHeight="1">
      <c r="A1366" s="7" t="s">
        <v>2380</v>
      </c>
      <c r="B1366" s="8" t="s">
        <v>3728</v>
      </c>
      <c r="C1366" s="7" t="s">
        <v>239</v>
      </c>
      <c r="D1366" s="7" t="s">
        <v>3744</v>
      </c>
      <c r="E1366" s="7"/>
      <c r="F1366" s="7" t="s">
        <v>16</v>
      </c>
    </row>
    <row r="1367" ht="22.5" customHeight="1">
      <c r="A1367" s="7" t="s">
        <v>2380</v>
      </c>
      <c r="B1367" s="8" t="s">
        <v>3728</v>
      </c>
      <c r="C1367" s="7" t="s">
        <v>103</v>
      </c>
      <c r="D1367" s="7" t="s">
        <v>3745</v>
      </c>
      <c r="E1367" s="7"/>
      <c r="F1367" s="7" t="s">
        <v>16</v>
      </c>
    </row>
    <row r="1368" ht="22.5" customHeight="1">
      <c r="A1368" s="7" t="s">
        <v>2380</v>
      </c>
      <c r="B1368" s="8" t="s">
        <v>3728</v>
      </c>
      <c r="C1368" s="7" t="s">
        <v>103</v>
      </c>
      <c r="D1368" s="7" t="s">
        <v>3746</v>
      </c>
      <c r="E1368" s="7"/>
      <c r="F1368" s="7" t="s">
        <v>16</v>
      </c>
    </row>
    <row r="1369" ht="22.5" customHeight="1">
      <c r="A1369" s="7" t="s">
        <v>2230</v>
      </c>
      <c r="B1369" s="8" t="s">
        <v>3747</v>
      </c>
      <c r="C1369" s="7" t="s">
        <v>30</v>
      </c>
      <c r="D1369" s="7" t="s">
        <v>3748</v>
      </c>
      <c r="E1369" s="7"/>
      <c r="F1369" s="7" t="s">
        <v>16</v>
      </c>
    </row>
    <row r="1370" ht="22.5" customHeight="1">
      <c r="A1370" s="7" t="s">
        <v>2230</v>
      </c>
      <c r="B1370" s="8" t="s">
        <v>3747</v>
      </c>
      <c r="C1370" s="7" t="s">
        <v>598</v>
      </c>
      <c r="D1370" s="7" t="s">
        <v>3749</v>
      </c>
      <c r="E1370" s="7"/>
      <c r="F1370" s="7" t="s">
        <v>16</v>
      </c>
    </row>
    <row r="1371" ht="22.5" customHeight="1">
      <c r="A1371" s="7" t="s">
        <v>2230</v>
      </c>
      <c r="B1371" s="8" t="s">
        <v>3747</v>
      </c>
      <c r="C1371" s="7" t="s">
        <v>36</v>
      </c>
      <c r="D1371" s="7" t="s">
        <v>3750</v>
      </c>
      <c r="E1371" s="7"/>
      <c r="F1371" s="7" t="s">
        <v>16</v>
      </c>
    </row>
    <row r="1372" ht="22.5" customHeight="1">
      <c r="A1372" s="7" t="s">
        <v>2230</v>
      </c>
      <c r="B1372" s="8" t="s">
        <v>3747</v>
      </c>
      <c r="C1372" s="7" t="s">
        <v>230</v>
      </c>
      <c r="D1372" s="7" t="s">
        <v>3751</v>
      </c>
      <c r="E1372" s="7"/>
      <c r="F1372" s="7" t="s">
        <v>16</v>
      </c>
    </row>
    <row r="1373" ht="22.5" customHeight="1">
      <c r="A1373" s="7" t="s">
        <v>2230</v>
      </c>
      <c r="B1373" s="8" t="s">
        <v>3747</v>
      </c>
      <c r="C1373" s="7" t="s">
        <v>38</v>
      </c>
      <c r="D1373" s="7" t="s">
        <v>3752</v>
      </c>
      <c r="E1373" s="7"/>
      <c r="F1373" s="7" t="s">
        <v>16</v>
      </c>
    </row>
    <row r="1374" ht="22.5" customHeight="1">
      <c r="A1374" s="7" t="s">
        <v>2230</v>
      </c>
      <c r="B1374" s="8" t="s">
        <v>3747</v>
      </c>
      <c r="C1374" s="7" t="s">
        <v>233</v>
      </c>
      <c r="D1374" s="7" t="s">
        <v>3753</v>
      </c>
      <c r="E1374" s="7"/>
      <c r="F1374" s="7" t="s">
        <v>16</v>
      </c>
    </row>
    <row r="1375" ht="22.5" customHeight="1">
      <c r="A1375" s="7" t="s">
        <v>2230</v>
      </c>
      <c r="B1375" s="8" t="s">
        <v>3747</v>
      </c>
      <c r="C1375" s="7" t="s">
        <v>40</v>
      </c>
      <c r="D1375" s="7" t="s">
        <v>3754</v>
      </c>
      <c r="E1375" s="7"/>
      <c r="F1375" s="7" t="s">
        <v>16</v>
      </c>
    </row>
    <row r="1376" ht="22.5" customHeight="1">
      <c r="A1376" s="7" t="s">
        <v>2230</v>
      </c>
      <c r="B1376" s="8" t="s">
        <v>3747</v>
      </c>
      <c r="C1376" s="7" t="s">
        <v>236</v>
      </c>
      <c r="D1376" s="7" t="s">
        <v>3755</v>
      </c>
      <c r="E1376" s="7"/>
      <c r="F1376" s="7" t="s">
        <v>16</v>
      </c>
    </row>
    <row r="1377" ht="22.5" customHeight="1">
      <c r="A1377" s="7" t="s">
        <v>2230</v>
      </c>
      <c r="B1377" s="8" t="s">
        <v>3747</v>
      </c>
      <c r="C1377" s="7" t="s">
        <v>43</v>
      </c>
      <c r="D1377" s="7" t="s">
        <v>3756</v>
      </c>
      <c r="E1377" s="7"/>
      <c r="F1377" s="7" t="s">
        <v>16</v>
      </c>
    </row>
    <row r="1378" ht="22.5" customHeight="1">
      <c r="A1378" s="7" t="s">
        <v>2230</v>
      </c>
      <c r="B1378" s="8" t="s">
        <v>3747</v>
      </c>
      <c r="C1378" s="7" t="s">
        <v>239</v>
      </c>
      <c r="D1378" s="7" t="s">
        <v>3757</v>
      </c>
      <c r="E1378" s="7"/>
      <c r="F1378" s="7" t="s">
        <v>16</v>
      </c>
    </row>
    <row r="1379" ht="22.5" customHeight="1">
      <c r="A1379" s="7" t="s">
        <v>2230</v>
      </c>
      <c r="B1379" s="8" t="s">
        <v>3747</v>
      </c>
      <c r="C1379" s="7" t="s">
        <v>103</v>
      </c>
      <c r="D1379" s="7" t="s">
        <v>3758</v>
      </c>
      <c r="E1379" s="7"/>
      <c r="F1379" s="7" t="s">
        <v>16</v>
      </c>
    </row>
    <row r="1380" ht="22.5" customHeight="1">
      <c r="A1380" s="7" t="s">
        <v>2295</v>
      </c>
      <c r="B1380" s="8" t="s">
        <v>3759</v>
      </c>
      <c r="C1380" s="7" t="s">
        <v>36</v>
      </c>
      <c r="D1380" s="7" t="s">
        <v>3760</v>
      </c>
      <c r="E1380" s="7"/>
      <c r="F1380" s="7" t="s">
        <v>16</v>
      </c>
    </row>
    <row r="1381" ht="22.5" customHeight="1">
      <c r="A1381" s="7" t="s">
        <v>2295</v>
      </c>
      <c r="B1381" s="8" t="s">
        <v>3759</v>
      </c>
      <c r="C1381" s="7" t="s">
        <v>38</v>
      </c>
      <c r="D1381" s="7" t="s">
        <v>3761</v>
      </c>
      <c r="E1381" s="7"/>
      <c r="F1381" s="7" t="s">
        <v>16</v>
      </c>
    </row>
    <row r="1382" ht="22.5" customHeight="1">
      <c r="A1382" s="7" t="s">
        <v>2295</v>
      </c>
      <c r="B1382" s="8" t="s">
        <v>3759</v>
      </c>
      <c r="C1382" s="7" t="s">
        <v>40</v>
      </c>
      <c r="D1382" s="7" t="s">
        <v>3762</v>
      </c>
      <c r="E1382" s="7"/>
      <c r="F1382" s="7" t="s">
        <v>16</v>
      </c>
    </row>
    <row r="1383" ht="22.5" customHeight="1">
      <c r="A1383" s="7" t="s">
        <v>2295</v>
      </c>
      <c r="B1383" s="8" t="s">
        <v>3759</v>
      </c>
      <c r="C1383" s="7" t="s">
        <v>43</v>
      </c>
      <c r="D1383" s="7" t="s">
        <v>3763</v>
      </c>
      <c r="E1383" s="7"/>
      <c r="F1383" s="7" t="s">
        <v>16</v>
      </c>
    </row>
    <row r="1384" ht="22.5" customHeight="1">
      <c r="A1384" s="7" t="s">
        <v>2295</v>
      </c>
      <c r="B1384" s="8" t="s">
        <v>3759</v>
      </c>
      <c r="C1384" s="7" t="s">
        <v>43</v>
      </c>
      <c r="D1384" s="7" t="s">
        <v>3764</v>
      </c>
      <c r="E1384" s="7" t="s">
        <v>48</v>
      </c>
      <c r="F1384" s="7" t="s">
        <v>16</v>
      </c>
    </row>
    <row r="1385" ht="22.5" customHeight="1">
      <c r="A1385" s="7" t="s">
        <v>2295</v>
      </c>
      <c r="B1385" s="8" t="s">
        <v>3765</v>
      </c>
      <c r="C1385" s="7" t="s">
        <v>38</v>
      </c>
      <c r="D1385" s="7" t="s">
        <v>3766</v>
      </c>
      <c r="E1385" s="7"/>
      <c r="F1385" s="7" t="s">
        <v>16</v>
      </c>
    </row>
    <row r="1386" ht="22.5" customHeight="1">
      <c r="A1386" s="7" t="s">
        <v>2295</v>
      </c>
      <c r="B1386" s="8" t="s">
        <v>3765</v>
      </c>
      <c r="C1386" s="7" t="s">
        <v>40</v>
      </c>
      <c r="D1386" s="7" t="s">
        <v>3767</v>
      </c>
      <c r="E1386" s="7"/>
      <c r="F1386" s="7" t="s">
        <v>16</v>
      </c>
    </row>
    <row r="1387" ht="22.5" customHeight="1">
      <c r="A1387" s="7" t="s">
        <v>2251</v>
      </c>
      <c r="B1387" s="8" t="s">
        <v>3768</v>
      </c>
      <c r="C1387" s="7" t="s">
        <v>38</v>
      </c>
      <c r="D1387" s="7" t="s">
        <v>3769</v>
      </c>
      <c r="E1387" s="7"/>
      <c r="F1387" s="7" t="s">
        <v>16</v>
      </c>
    </row>
    <row r="1388" ht="22.5" customHeight="1">
      <c r="A1388" s="7" t="s">
        <v>2251</v>
      </c>
      <c r="B1388" s="8" t="s">
        <v>3768</v>
      </c>
      <c r="C1388" s="7" t="s">
        <v>233</v>
      </c>
      <c r="D1388" s="7" t="s">
        <v>3770</v>
      </c>
      <c r="E1388" s="7"/>
      <c r="F1388" s="7" t="s">
        <v>16</v>
      </c>
    </row>
    <row r="1389" ht="22.5" customHeight="1">
      <c r="A1389" s="7" t="s">
        <v>2251</v>
      </c>
      <c r="B1389" s="8" t="s">
        <v>3768</v>
      </c>
      <c r="C1389" s="7" t="s">
        <v>40</v>
      </c>
      <c r="D1389" s="7" t="s">
        <v>3771</v>
      </c>
      <c r="E1389" s="7"/>
      <c r="F1389" s="7" t="s">
        <v>16</v>
      </c>
    </row>
    <row r="1390" ht="22.5" customHeight="1">
      <c r="A1390" s="7" t="s">
        <v>2251</v>
      </c>
      <c r="B1390" s="8" t="s">
        <v>3768</v>
      </c>
      <c r="C1390" s="7" t="s">
        <v>236</v>
      </c>
      <c r="D1390" s="7" t="s">
        <v>3772</v>
      </c>
      <c r="E1390" s="7"/>
      <c r="F1390" s="7" t="s">
        <v>16</v>
      </c>
    </row>
    <row r="1391" ht="22.5" customHeight="1">
      <c r="A1391" s="7" t="s">
        <v>2251</v>
      </c>
      <c r="B1391" s="8" t="s">
        <v>3768</v>
      </c>
      <c r="C1391" s="7" t="s">
        <v>43</v>
      </c>
      <c r="D1391" s="7" t="s">
        <v>3773</v>
      </c>
      <c r="E1391" s="7"/>
      <c r="F1391" s="7" t="s">
        <v>16</v>
      </c>
    </row>
    <row r="1392" ht="22.5" customHeight="1">
      <c r="A1392" s="7" t="s">
        <v>2251</v>
      </c>
      <c r="B1392" s="8" t="s">
        <v>3768</v>
      </c>
      <c r="C1392" s="7" t="s">
        <v>239</v>
      </c>
      <c r="D1392" s="7" t="s">
        <v>3774</v>
      </c>
      <c r="E1392" s="7"/>
      <c r="F1392" s="7" t="s">
        <v>16</v>
      </c>
    </row>
    <row r="1393" ht="22.5" customHeight="1">
      <c r="A1393" s="7" t="s">
        <v>2251</v>
      </c>
      <c r="B1393" s="8" t="s">
        <v>3768</v>
      </c>
      <c r="C1393" s="7" t="s">
        <v>103</v>
      </c>
      <c r="D1393" s="7" t="s">
        <v>3775</v>
      </c>
      <c r="E1393" s="7"/>
      <c r="F1393" s="7" t="s">
        <v>16</v>
      </c>
    </row>
    <row r="1394" ht="22.5" customHeight="1">
      <c r="A1394" s="7" t="s">
        <v>2251</v>
      </c>
      <c r="B1394" s="8" t="s">
        <v>3776</v>
      </c>
      <c r="C1394" s="7" t="s">
        <v>36</v>
      </c>
      <c r="D1394" s="7" t="s">
        <v>3777</v>
      </c>
      <c r="E1394" s="7"/>
      <c r="F1394" s="7" t="s">
        <v>16</v>
      </c>
    </row>
    <row r="1395" ht="22.5" customHeight="1">
      <c r="A1395" s="7" t="s">
        <v>2251</v>
      </c>
      <c r="B1395" s="8" t="s">
        <v>3776</v>
      </c>
      <c r="C1395" s="7" t="s">
        <v>230</v>
      </c>
      <c r="D1395" s="7" t="s">
        <v>3778</v>
      </c>
      <c r="E1395" s="7"/>
      <c r="F1395" s="7" t="s">
        <v>16</v>
      </c>
    </row>
    <row r="1396" ht="22.5" customHeight="1">
      <c r="A1396" s="7" t="s">
        <v>2251</v>
      </c>
      <c r="B1396" s="8" t="s">
        <v>3776</v>
      </c>
      <c r="C1396" s="7" t="s">
        <v>38</v>
      </c>
      <c r="D1396" s="7" t="s">
        <v>3779</v>
      </c>
      <c r="E1396" s="7"/>
      <c r="F1396" s="7" t="s">
        <v>16</v>
      </c>
    </row>
    <row r="1397" ht="22.5" customHeight="1">
      <c r="A1397" s="7" t="s">
        <v>2251</v>
      </c>
      <c r="B1397" s="8" t="s">
        <v>3776</v>
      </c>
      <c r="C1397" s="7" t="s">
        <v>233</v>
      </c>
      <c r="D1397" s="7" t="s">
        <v>3780</v>
      </c>
      <c r="E1397" s="7"/>
      <c r="F1397" s="7" t="s">
        <v>16</v>
      </c>
    </row>
    <row r="1398" ht="22.5" customHeight="1">
      <c r="A1398" s="7" t="s">
        <v>2251</v>
      </c>
      <c r="B1398" s="8" t="s">
        <v>3776</v>
      </c>
      <c r="C1398" s="7" t="s">
        <v>40</v>
      </c>
      <c r="D1398" s="7" t="s">
        <v>3781</v>
      </c>
      <c r="E1398" s="7"/>
      <c r="F1398" s="7" t="s">
        <v>16</v>
      </c>
    </row>
    <row r="1399" ht="22.5" customHeight="1">
      <c r="A1399" s="7" t="s">
        <v>2251</v>
      </c>
      <c r="B1399" s="8" t="s">
        <v>3776</v>
      </c>
      <c r="C1399" s="7" t="s">
        <v>236</v>
      </c>
      <c r="D1399" s="7" t="s">
        <v>3782</v>
      </c>
      <c r="E1399" s="7"/>
      <c r="F1399" s="7" t="s">
        <v>16</v>
      </c>
    </row>
    <row r="1400" ht="22.5" customHeight="1">
      <c r="A1400" s="7" t="s">
        <v>2251</v>
      </c>
      <c r="B1400" s="8" t="s">
        <v>3776</v>
      </c>
      <c r="C1400" s="7" t="s">
        <v>43</v>
      </c>
      <c r="D1400" s="7" t="s">
        <v>3783</v>
      </c>
      <c r="E1400" s="7"/>
      <c r="F1400" s="7" t="s">
        <v>16</v>
      </c>
    </row>
    <row r="1401" ht="22.5" customHeight="1">
      <c r="A1401" s="7" t="s">
        <v>2251</v>
      </c>
      <c r="B1401" s="8" t="s">
        <v>3776</v>
      </c>
      <c r="C1401" s="7" t="s">
        <v>239</v>
      </c>
      <c r="D1401" s="7" t="s">
        <v>3784</v>
      </c>
      <c r="E1401" s="7"/>
      <c r="F1401" s="7" t="s">
        <v>16</v>
      </c>
    </row>
    <row r="1402" ht="22.5" customHeight="1">
      <c r="A1402" s="7" t="s">
        <v>2251</v>
      </c>
      <c r="B1402" s="8" t="s">
        <v>3776</v>
      </c>
      <c r="C1402" s="7" t="s">
        <v>103</v>
      </c>
      <c r="D1402" s="7" t="s">
        <v>3785</v>
      </c>
      <c r="E1402" s="7"/>
      <c r="F1402" s="7" t="s">
        <v>16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19.38"/>
    <col customWidth="1" min="3" max="3" width="6.5"/>
    <col customWidth="1" min="4" max="4" width="60.75"/>
  </cols>
  <sheetData>
    <row r="1" ht="30.0" customHeight="1">
      <c r="A1" s="5" t="s">
        <v>1781</v>
      </c>
      <c r="B1" s="5" t="s">
        <v>7</v>
      </c>
      <c r="C1" s="5" t="s">
        <v>8</v>
      </c>
      <c r="D1" s="5" t="s">
        <v>9</v>
      </c>
      <c r="E1" s="5" t="s">
        <v>10</v>
      </c>
    </row>
    <row r="2" ht="22.5" customHeight="1">
      <c r="A2" s="7" t="s">
        <v>3786</v>
      </c>
      <c r="B2" s="7" t="s">
        <v>2296</v>
      </c>
      <c r="C2" s="7" t="s">
        <v>30</v>
      </c>
      <c r="D2" s="7" t="s">
        <v>2297</v>
      </c>
      <c r="E2" s="7" t="s">
        <v>16</v>
      </c>
    </row>
    <row r="3" ht="22.5" customHeight="1">
      <c r="A3" s="7" t="s">
        <v>3786</v>
      </c>
      <c r="B3" s="7" t="s">
        <v>2296</v>
      </c>
      <c r="C3" s="7" t="s">
        <v>36</v>
      </c>
      <c r="D3" s="7" t="s">
        <v>2298</v>
      </c>
      <c r="E3" s="7" t="s">
        <v>16</v>
      </c>
    </row>
    <row r="4" ht="22.5" customHeight="1">
      <c r="A4" s="7" t="s">
        <v>3786</v>
      </c>
      <c r="B4" s="7" t="s">
        <v>2296</v>
      </c>
      <c r="C4" s="7" t="s">
        <v>43</v>
      </c>
      <c r="D4" s="7" t="s">
        <v>2299</v>
      </c>
      <c r="E4" s="7" t="s">
        <v>16</v>
      </c>
    </row>
    <row r="5" ht="22.5" customHeight="1">
      <c r="A5" s="7" t="s">
        <v>3786</v>
      </c>
      <c r="B5" s="7" t="s">
        <v>2296</v>
      </c>
      <c r="C5" s="7" t="s">
        <v>43</v>
      </c>
      <c r="D5" s="7" t="s">
        <v>2300</v>
      </c>
      <c r="E5" s="7" t="s">
        <v>48</v>
      </c>
    </row>
    <row r="6" ht="22.5" customHeight="1">
      <c r="A6" s="7" t="s">
        <v>3787</v>
      </c>
      <c r="B6" s="7" t="s">
        <v>2522</v>
      </c>
      <c r="C6" s="7" t="s">
        <v>36</v>
      </c>
      <c r="D6" s="7" t="s">
        <v>2523</v>
      </c>
    </row>
    <row r="7" ht="22.5" customHeight="1">
      <c r="A7" s="7" t="s">
        <v>3787</v>
      </c>
      <c r="B7" s="7" t="s">
        <v>2522</v>
      </c>
      <c r="C7" s="7" t="s">
        <v>38</v>
      </c>
      <c r="D7" s="7" t="s">
        <v>2524</v>
      </c>
    </row>
    <row r="8" ht="22.5" customHeight="1">
      <c r="A8" s="7" t="s">
        <v>3787</v>
      </c>
      <c r="B8" s="7" t="s">
        <v>2522</v>
      </c>
      <c r="C8" s="7" t="s">
        <v>40</v>
      </c>
      <c r="D8" s="7" t="s">
        <v>2525</v>
      </c>
    </row>
    <row r="9" ht="22.5" customHeight="1">
      <c r="A9" s="7" t="s">
        <v>3787</v>
      </c>
      <c r="B9" s="7" t="s">
        <v>2522</v>
      </c>
      <c r="C9" s="7" t="s">
        <v>43</v>
      </c>
      <c r="D9" s="7" t="s">
        <v>2526</v>
      </c>
    </row>
    <row r="10" ht="22.5" customHeight="1">
      <c r="A10" s="7" t="s">
        <v>3787</v>
      </c>
      <c r="B10" s="7" t="s">
        <v>2522</v>
      </c>
      <c r="C10" s="7" t="s">
        <v>43</v>
      </c>
      <c r="D10" s="7" t="s">
        <v>2527</v>
      </c>
      <c r="E10" s="7" t="s">
        <v>48</v>
      </c>
    </row>
    <row r="11" ht="22.5" customHeight="1">
      <c r="A11" s="7" t="s">
        <v>3788</v>
      </c>
      <c r="B11" s="7" t="s">
        <v>2548</v>
      </c>
      <c r="C11" s="7" t="s">
        <v>36</v>
      </c>
      <c r="D11" s="7" t="s">
        <v>2549</v>
      </c>
    </row>
    <row r="12" ht="22.5" customHeight="1">
      <c r="A12" s="7" t="s">
        <v>3788</v>
      </c>
      <c r="B12" s="7" t="s">
        <v>2548</v>
      </c>
      <c r="C12" s="7" t="s">
        <v>38</v>
      </c>
      <c r="D12" s="7" t="s">
        <v>2550</v>
      </c>
    </row>
    <row r="13" ht="22.5" customHeight="1">
      <c r="A13" s="7" t="s">
        <v>3788</v>
      </c>
      <c r="B13" s="7" t="s">
        <v>2548</v>
      </c>
      <c r="C13" s="7" t="s">
        <v>40</v>
      </c>
      <c r="D13" s="7" t="s">
        <v>2551</v>
      </c>
    </row>
    <row r="14" ht="22.5" customHeight="1">
      <c r="A14" s="7" t="s">
        <v>3788</v>
      </c>
      <c r="B14" s="7" t="s">
        <v>2548</v>
      </c>
      <c r="C14" s="7" t="s">
        <v>43</v>
      </c>
      <c r="D14" s="7" t="s">
        <v>2552</v>
      </c>
    </row>
    <row r="15" ht="22.5" customHeight="1">
      <c r="A15" s="7" t="s">
        <v>3788</v>
      </c>
      <c r="B15" s="7" t="s">
        <v>2548</v>
      </c>
      <c r="C15" s="7" t="s">
        <v>43</v>
      </c>
      <c r="D15" s="7" t="s">
        <v>2553</v>
      </c>
      <c r="E15" s="7" t="s">
        <v>48</v>
      </c>
    </row>
    <row r="16" ht="22.5" customHeight="1">
      <c r="A16" s="7" t="s">
        <v>3789</v>
      </c>
      <c r="B16" s="7" t="s">
        <v>2554</v>
      </c>
      <c r="C16" s="7" t="s">
        <v>40</v>
      </c>
      <c r="D16" s="7" t="s">
        <v>2555</v>
      </c>
    </row>
    <row r="17" ht="22.5" customHeight="1">
      <c r="A17" s="7" t="s">
        <v>3789</v>
      </c>
      <c r="B17" s="7" t="s">
        <v>2554</v>
      </c>
      <c r="C17" s="7" t="s">
        <v>43</v>
      </c>
      <c r="D17" s="7" t="s">
        <v>2556</v>
      </c>
    </row>
    <row r="18" ht="22.5" customHeight="1">
      <c r="A18" s="7" t="s">
        <v>3789</v>
      </c>
      <c r="B18" s="7" t="s">
        <v>2554</v>
      </c>
      <c r="C18" s="7" t="s">
        <v>43</v>
      </c>
      <c r="D18" s="7" t="s">
        <v>2557</v>
      </c>
    </row>
    <row r="19" ht="22.5" customHeight="1">
      <c r="A19" s="7" t="s">
        <v>3788</v>
      </c>
      <c r="B19" s="7" t="s">
        <v>2558</v>
      </c>
      <c r="C19" s="7" t="s">
        <v>36</v>
      </c>
      <c r="D19" s="7" t="s">
        <v>2559</v>
      </c>
    </row>
    <row r="20" ht="22.5" customHeight="1">
      <c r="A20" s="7" t="s">
        <v>3788</v>
      </c>
      <c r="B20" s="7" t="s">
        <v>2558</v>
      </c>
      <c r="C20" s="7" t="s">
        <v>38</v>
      </c>
      <c r="D20" s="7" t="s">
        <v>2560</v>
      </c>
    </row>
    <row r="21" ht="22.5" customHeight="1">
      <c r="A21" s="7" t="s">
        <v>3788</v>
      </c>
      <c r="B21" s="7" t="s">
        <v>2558</v>
      </c>
      <c r="C21" s="7" t="s">
        <v>40</v>
      </c>
      <c r="D21" s="7" t="s">
        <v>2561</v>
      </c>
    </row>
    <row r="22" ht="22.5" customHeight="1">
      <c r="A22" s="7" t="s">
        <v>3788</v>
      </c>
      <c r="B22" s="7" t="s">
        <v>2558</v>
      </c>
      <c r="C22" s="7" t="s">
        <v>43</v>
      </c>
      <c r="D22" s="7" t="s">
        <v>2562</v>
      </c>
    </row>
    <row r="23" ht="22.5" customHeight="1">
      <c r="A23" s="7" t="s">
        <v>3788</v>
      </c>
      <c r="B23" s="7" t="s">
        <v>2558</v>
      </c>
      <c r="C23" s="7" t="s">
        <v>43</v>
      </c>
      <c r="D23" s="7" t="s">
        <v>2563</v>
      </c>
      <c r="E23" s="7" t="s">
        <v>48</v>
      </c>
    </row>
    <row r="24" ht="22.5" customHeight="1">
      <c r="A24" s="7" t="s">
        <v>3789</v>
      </c>
      <c r="B24" s="7" t="s">
        <v>2610</v>
      </c>
      <c r="C24" s="7" t="s">
        <v>40</v>
      </c>
      <c r="D24" s="7" t="s">
        <v>2611</v>
      </c>
    </row>
    <row r="25" ht="22.5" customHeight="1">
      <c r="A25" s="7" t="s">
        <v>3789</v>
      </c>
      <c r="B25" s="7" t="s">
        <v>2610</v>
      </c>
      <c r="C25" s="7" t="s">
        <v>43</v>
      </c>
      <c r="D25" s="7" t="s">
        <v>2612</v>
      </c>
    </row>
    <row r="26" ht="22.5" customHeight="1">
      <c r="A26" s="7" t="s">
        <v>3789</v>
      </c>
      <c r="B26" s="7" t="s">
        <v>2610</v>
      </c>
      <c r="C26" s="7" t="s">
        <v>43</v>
      </c>
      <c r="D26" s="7" t="s">
        <v>2613</v>
      </c>
      <c r="E26" s="7" t="s">
        <v>48</v>
      </c>
    </row>
    <row r="27" ht="22.5" customHeight="1">
      <c r="A27" s="7" t="s">
        <v>3786</v>
      </c>
      <c r="B27" s="7" t="s">
        <v>2999</v>
      </c>
      <c r="C27" s="7" t="s">
        <v>38</v>
      </c>
      <c r="D27" s="7" t="s">
        <v>3000</v>
      </c>
    </row>
    <row r="28" ht="22.5" customHeight="1">
      <c r="A28" s="7" t="s">
        <v>3786</v>
      </c>
      <c r="B28" s="7" t="s">
        <v>2999</v>
      </c>
      <c r="C28" s="7" t="s">
        <v>40</v>
      </c>
      <c r="D28" s="7" t="s">
        <v>3001</v>
      </c>
    </row>
    <row r="29" ht="22.5" customHeight="1">
      <c r="A29" s="7" t="s">
        <v>3786</v>
      </c>
      <c r="B29" s="7" t="s">
        <v>2999</v>
      </c>
      <c r="C29" s="7" t="s">
        <v>43</v>
      </c>
      <c r="D29" s="7" t="s">
        <v>3002</v>
      </c>
    </row>
    <row r="30" ht="22.5" customHeight="1">
      <c r="A30" s="7" t="s">
        <v>3786</v>
      </c>
      <c r="B30" s="7" t="s">
        <v>2999</v>
      </c>
      <c r="C30" s="7" t="s">
        <v>43</v>
      </c>
      <c r="D30" s="7" t="s">
        <v>3003</v>
      </c>
      <c r="E30" s="7" t="s">
        <v>48</v>
      </c>
    </row>
    <row r="31" ht="22.5" customHeight="1">
      <c r="A31" s="7" t="s">
        <v>3787</v>
      </c>
      <c r="B31" s="7" t="s">
        <v>3140</v>
      </c>
      <c r="C31" s="7" t="s">
        <v>30</v>
      </c>
      <c r="D31" s="7" t="s">
        <v>3141</v>
      </c>
    </row>
    <row r="32" ht="22.5" customHeight="1">
      <c r="A32" s="7" t="s">
        <v>3787</v>
      </c>
      <c r="B32" s="7" t="s">
        <v>3140</v>
      </c>
      <c r="C32" s="7" t="s">
        <v>36</v>
      </c>
      <c r="D32" s="7" t="s">
        <v>3142</v>
      </c>
    </row>
    <row r="33" ht="22.5" customHeight="1">
      <c r="A33" s="7" t="s">
        <v>3787</v>
      </c>
      <c r="B33" s="7" t="s">
        <v>3140</v>
      </c>
      <c r="C33" s="7" t="s">
        <v>38</v>
      </c>
      <c r="D33" s="7" t="s">
        <v>3143</v>
      </c>
    </row>
    <row r="34" ht="22.5" customHeight="1">
      <c r="A34" s="7" t="s">
        <v>3787</v>
      </c>
      <c r="B34" s="7" t="s">
        <v>3140</v>
      </c>
      <c r="C34" s="7" t="s">
        <v>40</v>
      </c>
      <c r="D34" s="7" t="s">
        <v>3144</v>
      </c>
    </row>
    <row r="35" ht="22.5" customHeight="1">
      <c r="A35" s="7" t="s">
        <v>3787</v>
      </c>
      <c r="B35" s="7" t="s">
        <v>3140</v>
      </c>
      <c r="C35" s="7" t="s">
        <v>43</v>
      </c>
      <c r="D35" s="7" t="s">
        <v>3145</v>
      </c>
    </row>
    <row r="36" ht="22.5" customHeight="1">
      <c r="A36" s="7" t="s">
        <v>3787</v>
      </c>
      <c r="B36" s="7" t="s">
        <v>3140</v>
      </c>
      <c r="C36" s="7" t="s">
        <v>43</v>
      </c>
      <c r="D36" s="7" t="s">
        <v>3146</v>
      </c>
      <c r="E36" s="7" t="s">
        <v>48</v>
      </c>
    </row>
    <row r="37" ht="22.5" customHeight="1">
      <c r="A37" s="7" t="s">
        <v>3786</v>
      </c>
      <c r="B37" s="7" t="s">
        <v>3187</v>
      </c>
      <c r="C37" s="7" t="s">
        <v>30</v>
      </c>
      <c r="D37" s="7" t="s">
        <v>3188</v>
      </c>
      <c r="E37" s="7" t="s">
        <v>16</v>
      </c>
    </row>
    <row r="38" ht="22.5" customHeight="1">
      <c r="A38" s="7" t="s">
        <v>3786</v>
      </c>
      <c r="B38" s="7" t="s">
        <v>3187</v>
      </c>
      <c r="C38" s="7" t="s">
        <v>38</v>
      </c>
      <c r="D38" s="7" t="s">
        <v>3189</v>
      </c>
      <c r="E38" s="7" t="s">
        <v>16</v>
      </c>
    </row>
    <row r="39" ht="22.5" customHeight="1">
      <c r="A39" s="7" t="s">
        <v>3786</v>
      </c>
      <c r="B39" s="7" t="s">
        <v>3187</v>
      </c>
      <c r="C39" s="7" t="s">
        <v>40</v>
      </c>
      <c r="D39" s="7" t="s">
        <v>3190</v>
      </c>
      <c r="E39" s="7" t="s">
        <v>16</v>
      </c>
    </row>
    <row r="40" ht="22.5" customHeight="1">
      <c r="A40" s="7" t="s">
        <v>3786</v>
      </c>
      <c r="B40" s="7" t="s">
        <v>3187</v>
      </c>
      <c r="C40" s="7" t="s">
        <v>43</v>
      </c>
      <c r="D40" s="7" t="s">
        <v>3191</v>
      </c>
      <c r="E40" s="7" t="s">
        <v>16</v>
      </c>
    </row>
    <row r="41" ht="22.5" customHeight="1">
      <c r="A41" s="7" t="s">
        <v>3786</v>
      </c>
      <c r="B41" s="7" t="s">
        <v>3187</v>
      </c>
      <c r="C41" s="7" t="s">
        <v>43</v>
      </c>
      <c r="D41" s="7" t="s">
        <v>3192</v>
      </c>
      <c r="E41" s="7" t="s">
        <v>48</v>
      </c>
    </row>
    <row r="42" ht="22.5" customHeight="1">
      <c r="A42" s="7" t="s">
        <v>3788</v>
      </c>
      <c r="B42" s="7" t="s">
        <v>3312</v>
      </c>
      <c r="C42" s="7" t="s">
        <v>30</v>
      </c>
      <c r="D42" s="7" t="s">
        <v>3313</v>
      </c>
    </row>
    <row r="43" ht="22.5" customHeight="1">
      <c r="A43" s="7" t="s">
        <v>3788</v>
      </c>
      <c r="B43" s="7" t="s">
        <v>3312</v>
      </c>
      <c r="C43" s="7" t="s">
        <v>36</v>
      </c>
      <c r="D43" s="7" t="s">
        <v>3314</v>
      </c>
    </row>
    <row r="44" ht="22.5" customHeight="1">
      <c r="A44" s="7" t="s">
        <v>3788</v>
      </c>
      <c r="B44" s="7" t="s">
        <v>3312</v>
      </c>
      <c r="C44" s="7" t="s">
        <v>38</v>
      </c>
      <c r="D44" s="7" t="s">
        <v>3315</v>
      </c>
    </row>
    <row r="45" ht="22.5" customHeight="1">
      <c r="A45" s="7" t="s">
        <v>3788</v>
      </c>
      <c r="B45" s="7" t="s">
        <v>3312</v>
      </c>
      <c r="C45" s="7" t="s">
        <v>40</v>
      </c>
      <c r="D45" s="7" t="s">
        <v>3316</v>
      </c>
    </row>
    <row r="46" ht="22.5" customHeight="1">
      <c r="A46" s="7" t="s">
        <v>3788</v>
      </c>
      <c r="B46" s="7" t="s">
        <v>3312</v>
      </c>
      <c r="C46" s="7" t="s">
        <v>43</v>
      </c>
      <c r="D46" s="7" t="s">
        <v>3317</v>
      </c>
    </row>
    <row r="47" ht="22.5" customHeight="1">
      <c r="A47" s="7" t="s">
        <v>3788</v>
      </c>
      <c r="B47" s="7" t="s">
        <v>3312</v>
      </c>
      <c r="C47" s="7" t="s">
        <v>43</v>
      </c>
      <c r="D47" s="7" t="s">
        <v>3318</v>
      </c>
      <c r="E47" s="7" t="s">
        <v>48</v>
      </c>
    </row>
    <row r="48" ht="22.5" customHeight="1">
      <c r="A48" s="7" t="s">
        <v>3786</v>
      </c>
      <c r="B48" s="7" t="s">
        <v>3341</v>
      </c>
      <c r="C48" s="7" t="s">
        <v>36</v>
      </c>
      <c r="D48" s="7" t="s">
        <v>3342</v>
      </c>
    </row>
    <row r="49" ht="22.5" customHeight="1">
      <c r="A49" s="7" t="s">
        <v>3786</v>
      </c>
      <c r="B49" s="7" t="s">
        <v>3341</v>
      </c>
      <c r="C49" s="7" t="s">
        <v>38</v>
      </c>
      <c r="D49" s="7" t="s">
        <v>3343</v>
      </c>
    </row>
    <row r="50" ht="22.5" customHeight="1">
      <c r="A50" s="7" t="s">
        <v>3786</v>
      </c>
      <c r="B50" s="7" t="s">
        <v>3341</v>
      </c>
      <c r="C50" s="7" t="s">
        <v>40</v>
      </c>
      <c r="D50" s="7" t="s">
        <v>3344</v>
      </c>
    </row>
    <row r="51" ht="22.5" customHeight="1">
      <c r="A51" s="7" t="s">
        <v>3786</v>
      </c>
      <c r="B51" s="7" t="s">
        <v>3341</v>
      </c>
      <c r="C51" s="7" t="s">
        <v>43</v>
      </c>
      <c r="D51" s="7" t="s">
        <v>3345</v>
      </c>
    </row>
    <row r="52" ht="22.5" customHeight="1">
      <c r="A52" s="7" t="s">
        <v>3786</v>
      </c>
      <c r="B52" s="7" t="s">
        <v>3341</v>
      </c>
      <c r="C52" s="7" t="s">
        <v>43</v>
      </c>
      <c r="D52" s="7" t="s">
        <v>3346</v>
      </c>
      <c r="E52" s="7" t="s">
        <v>48</v>
      </c>
    </row>
    <row r="53" ht="22.5" customHeight="1">
      <c r="A53" s="7" t="s">
        <v>3787</v>
      </c>
      <c r="B53" s="7" t="s">
        <v>3438</v>
      </c>
      <c r="C53" s="7" t="s">
        <v>30</v>
      </c>
      <c r="D53" s="7" t="s">
        <v>3439</v>
      </c>
    </row>
    <row r="54" ht="22.5" customHeight="1">
      <c r="A54" s="7" t="s">
        <v>3787</v>
      </c>
      <c r="B54" s="7" t="s">
        <v>3438</v>
      </c>
      <c r="C54" s="7" t="s">
        <v>36</v>
      </c>
      <c r="D54" s="7" t="s">
        <v>3440</v>
      </c>
    </row>
    <row r="55" ht="22.5" customHeight="1">
      <c r="A55" s="7" t="s">
        <v>3787</v>
      </c>
      <c r="B55" s="7" t="s">
        <v>3438</v>
      </c>
      <c r="C55" s="7" t="s">
        <v>38</v>
      </c>
      <c r="D55" s="7" t="s">
        <v>3441</v>
      </c>
    </row>
    <row r="56" ht="22.5" customHeight="1">
      <c r="A56" s="7" t="s">
        <v>3787</v>
      </c>
      <c r="B56" s="7" t="s">
        <v>3438</v>
      </c>
      <c r="C56" s="7" t="s">
        <v>40</v>
      </c>
      <c r="D56" s="7" t="s">
        <v>3442</v>
      </c>
    </row>
    <row r="57" ht="22.5" customHeight="1">
      <c r="A57" s="7" t="s">
        <v>3787</v>
      </c>
      <c r="B57" s="7" t="s">
        <v>3438</v>
      </c>
      <c r="C57" s="7" t="s">
        <v>43</v>
      </c>
      <c r="D57" s="7" t="s">
        <v>3443</v>
      </c>
    </row>
    <row r="58" ht="22.5" customHeight="1">
      <c r="A58" s="7" t="s">
        <v>3787</v>
      </c>
      <c r="B58" s="7" t="s">
        <v>3438</v>
      </c>
      <c r="C58" s="7" t="s">
        <v>43</v>
      </c>
      <c r="D58" s="7" t="s">
        <v>3444</v>
      </c>
      <c r="E58" s="7" t="s">
        <v>48</v>
      </c>
    </row>
    <row r="59" ht="22.5" customHeight="1">
      <c r="A59" s="7" t="s">
        <v>3786</v>
      </c>
      <c r="B59" s="7" t="s">
        <v>3468</v>
      </c>
      <c r="C59" s="7" t="s">
        <v>36</v>
      </c>
      <c r="D59" s="7" t="s">
        <v>3469</v>
      </c>
    </row>
    <row r="60" ht="22.5" customHeight="1">
      <c r="A60" s="7" t="s">
        <v>3786</v>
      </c>
      <c r="B60" s="7" t="s">
        <v>3468</v>
      </c>
      <c r="C60" s="7" t="s">
        <v>38</v>
      </c>
      <c r="D60" s="7" t="s">
        <v>3470</v>
      </c>
    </row>
    <row r="61" ht="22.5" customHeight="1">
      <c r="A61" s="7" t="s">
        <v>3786</v>
      </c>
      <c r="B61" s="7" t="s">
        <v>3468</v>
      </c>
      <c r="C61" s="7" t="s">
        <v>40</v>
      </c>
      <c r="D61" s="7" t="s">
        <v>3471</v>
      </c>
    </row>
    <row r="62" ht="22.5" customHeight="1">
      <c r="A62" s="7" t="s">
        <v>3786</v>
      </c>
      <c r="B62" s="7" t="s">
        <v>3468</v>
      </c>
      <c r="C62" s="7" t="s">
        <v>43</v>
      </c>
      <c r="D62" s="7" t="s">
        <v>3472</v>
      </c>
    </row>
    <row r="63" ht="22.5" customHeight="1">
      <c r="A63" s="7" t="s">
        <v>3786</v>
      </c>
      <c r="B63" s="7" t="s">
        <v>3468</v>
      </c>
      <c r="C63" s="7" t="s">
        <v>43</v>
      </c>
      <c r="D63" s="7" t="s">
        <v>3473</v>
      </c>
      <c r="E63" s="7" t="s">
        <v>48</v>
      </c>
    </row>
    <row r="64" ht="22.5" customHeight="1">
      <c r="A64" s="7" t="s">
        <v>3789</v>
      </c>
      <c r="B64" s="7" t="s">
        <v>3532</v>
      </c>
      <c r="C64" s="7" t="s">
        <v>40</v>
      </c>
      <c r="D64" s="7" t="s">
        <v>3533</v>
      </c>
    </row>
    <row r="65" ht="22.5" customHeight="1">
      <c r="A65" s="7" t="s">
        <v>3789</v>
      </c>
      <c r="B65" s="7" t="s">
        <v>3532</v>
      </c>
      <c r="C65" s="7" t="s">
        <v>43</v>
      </c>
      <c r="D65" s="7" t="s">
        <v>3534</v>
      </c>
    </row>
    <row r="66" ht="22.5" customHeight="1">
      <c r="A66" s="7" t="s">
        <v>3789</v>
      </c>
      <c r="B66" s="7" t="s">
        <v>3532</v>
      </c>
      <c r="C66" s="7" t="s">
        <v>43</v>
      </c>
      <c r="D66" s="7" t="s">
        <v>3535</v>
      </c>
      <c r="E66" s="7" t="s">
        <v>48</v>
      </c>
    </row>
    <row r="67" ht="22.5" customHeight="1">
      <c r="A67" s="7" t="s">
        <v>3787</v>
      </c>
      <c r="B67" s="7" t="s">
        <v>3536</v>
      </c>
      <c r="C67" s="7" t="s">
        <v>38</v>
      </c>
      <c r="D67" s="7" t="s">
        <v>3537</v>
      </c>
    </row>
    <row r="68" ht="22.5" customHeight="1">
      <c r="A68" s="7" t="s">
        <v>3787</v>
      </c>
      <c r="B68" s="7" t="s">
        <v>3536</v>
      </c>
      <c r="C68" s="7" t="s">
        <v>40</v>
      </c>
      <c r="D68" s="7" t="s">
        <v>3538</v>
      </c>
    </row>
    <row r="69" ht="22.5" customHeight="1">
      <c r="A69" s="7" t="s">
        <v>3787</v>
      </c>
      <c r="B69" s="7" t="s">
        <v>3536</v>
      </c>
      <c r="C69" s="7" t="s">
        <v>43</v>
      </c>
      <c r="D69" s="7" t="s">
        <v>3539</v>
      </c>
    </row>
    <row r="70" ht="22.5" customHeight="1">
      <c r="A70" s="7" t="s">
        <v>3787</v>
      </c>
      <c r="B70" s="7" t="s">
        <v>3536</v>
      </c>
      <c r="C70" s="7" t="s">
        <v>43</v>
      </c>
      <c r="D70" s="7" t="s">
        <v>3540</v>
      </c>
      <c r="E70" s="7" t="s">
        <v>48</v>
      </c>
    </row>
    <row r="71" ht="22.5" customHeight="1">
      <c r="A71" s="7" t="s">
        <v>3789</v>
      </c>
      <c r="B71" s="7" t="s">
        <v>3553</v>
      </c>
      <c r="C71" s="7" t="s">
        <v>40</v>
      </c>
      <c r="D71" s="7" t="s">
        <v>3554</v>
      </c>
    </row>
    <row r="72" ht="22.5" customHeight="1">
      <c r="A72" s="7" t="s">
        <v>3789</v>
      </c>
      <c r="B72" s="7" t="s">
        <v>3553</v>
      </c>
      <c r="C72" s="7" t="s">
        <v>43</v>
      </c>
      <c r="D72" s="7" t="s">
        <v>3555</v>
      </c>
    </row>
    <row r="73" ht="22.5" customHeight="1">
      <c r="A73" s="7" t="s">
        <v>3789</v>
      </c>
      <c r="B73" s="7" t="s">
        <v>3553</v>
      </c>
      <c r="C73" s="7" t="s">
        <v>43</v>
      </c>
      <c r="D73" s="7" t="s">
        <v>3556</v>
      </c>
      <c r="E73" s="7" t="s">
        <v>48</v>
      </c>
    </row>
    <row r="74" ht="22.5" customHeight="1">
      <c r="A74" s="7" t="s">
        <v>3788</v>
      </c>
      <c r="B74" s="7" t="s">
        <v>3759</v>
      </c>
      <c r="C74" s="7" t="s">
        <v>36</v>
      </c>
      <c r="D74" s="7" t="s">
        <v>3760</v>
      </c>
    </row>
    <row r="75" ht="22.5" customHeight="1">
      <c r="A75" s="7" t="s">
        <v>3788</v>
      </c>
      <c r="B75" s="7" t="s">
        <v>3759</v>
      </c>
      <c r="C75" s="7" t="s">
        <v>38</v>
      </c>
      <c r="D75" s="7" t="s">
        <v>3761</v>
      </c>
    </row>
    <row r="76" ht="22.5" customHeight="1">
      <c r="A76" s="7" t="s">
        <v>3788</v>
      </c>
      <c r="B76" s="7" t="s">
        <v>3759</v>
      </c>
      <c r="C76" s="7" t="s">
        <v>40</v>
      </c>
      <c r="D76" s="7" t="s">
        <v>3762</v>
      </c>
    </row>
    <row r="77" ht="22.5" customHeight="1">
      <c r="A77" s="7" t="s">
        <v>3788</v>
      </c>
      <c r="B77" s="7" t="s">
        <v>3759</v>
      </c>
      <c r="C77" s="7" t="s">
        <v>43</v>
      </c>
      <c r="D77" s="7" t="s">
        <v>3763</v>
      </c>
    </row>
    <row r="78" ht="22.5" customHeight="1">
      <c r="A78" s="7" t="s">
        <v>3788</v>
      </c>
      <c r="B78" s="7" t="s">
        <v>3759</v>
      </c>
      <c r="C78" s="7" t="s">
        <v>43</v>
      </c>
      <c r="D78" s="7" t="s">
        <v>3764</v>
      </c>
      <c r="E78" s="7" t="s">
        <v>48</v>
      </c>
    </row>
    <row r="79" ht="22.5" customHeight="1">
      <c r="A79" s="20" t="s">
        <v>3786</v>
      </c>
      <c r="B79" s="20" t="s">
        <v>3765</v>
      </c>
      <c r="C79" s="20" t="s">
        <v>38</v>
      </c>
      <c r="D79" s="20" t="s">
        <v>3766</v>
      </c>
      <c r="E79" s="20" t="s">
        <v>3790</v>
      </c>
    </row>
    <row r="80" ht="22.5" customHeight="1">
      <c r="A80" s="20" t="s">
        <v>3786</v>
      </c>
      <c r="B80" s="20" t="s">
        <v>3765</v>
      </c>
      <c r="C80" s="20" t="s">
        <v>40</v>
      </c>
      <c r="D80" s="20" t="s">
        <v>3767</v>
      </c>
      <c r="E80" s="20" t="s">
        <v>3790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53.25"/>
    <col customWidth="1" min="3" max="3" width="68.13"/>
    <col customWidth="1" min="4" max="4" width="11.63"/>
    <col customWidth="1" min="5" max="5" width="13.5"/>
    <col customWidth="1" min="6" max="6" width="16.25"/>
  </cols>
  <sheetData>
    <row r="1" ht="30.0" customHeight="1">
      <c r="A1" s="5" t="s">
        <v>1781</v>
      </c>
      <c r="B1" s="6" t="s">
        <v>7</v>
      </c>
      <c r="C1" s="5" t="s">
        <v>2212</v>
      </c>
      <c r="D1" s="5" t="s">
        <v>10</v>
      </c>
      <c r="E1" s="5" t="s">
        <v>3791</v>
      </c>
      <c r="F1" s="5" t="s">
        <v>3792</v>
      </c>
    </row>
    <row r="2" ht="22.5" customHeight="1">
      <c r="A2" s="7" t="s">
        <v>2327</v>
      </c>
      <c r="B2" s="8" t="s">
        <v>3793</v>
      </c>
      <c r="C2" s="7" t="s">
        <v>3794</v>
      </c>
      <c r="D2" s="7" t="s">
        <v>26</v>
      </c>
      <c r="E2" s="7" t="s">
        <v>16</v>
      </c>
      <c r="F2" s="7" t="s">
        <v>16</v>
      </c>
    </row>
    <row r="3" ht="22.5" customHeight="1">
      <c r="A3" s="7" t="s">
        <v>2725</v>
      </c>
      <c r="B3" s="8" t="s">
        <v>3795</v>
      </c>
      <c r="C3" s="7" t="s">
        <v>3796</v>
      </c>
      <c r="D3" s="7" t="s">
        <v>26</v>
      </c>
      <c r="E3" s="7" t="s">
        <v>16</v>
      </c>
      <c r="F3" s="7" t="s">
        <v>16</v>
      </c>
    </row>
    <row r="4" ht="22.5" customHeight="1">
      <c r="A4" s="7" t="s">
        <v>2327</v>
      </c>
      <c r="B4" s="8" t="s">
        <v>3797</v>
      </c>
      <c r="C4" s="7" t="s">
        <v>3798</v>
      </c>
      <c r="D4" s="7" t="s">
        <v>16</v>
      </c>
      <c r="E4" s="7" t="s">
        <v>3799</v>
      </c>
      <c r="F4" s="7" t="s">
        <v>16</v>
      </c>
    </row>
    <row r="5" ht="22.5" customHeight="1">
      <c r="A5" s="7" t="s">
        <v>3800</v>
      </c>
      <c r="B5" s="8" t="s">
        <v>3801</v>
      </c>
      <c r="C5" s="7" t="s">
        <v>3802</v>
      </c>
      <c r="D5" s="7" t="s">
        <v>151</v>
      </c>
      <c r="E5" s="7" t="s">
        <v>3803</v>
      </c>
      <c r="F5" s="7" t="s">
        <v>16</v>
      </c>
    </row>
    <row r="6" ht="22.5" customHeight="1">
      <c r="A6" s="7" t="s">
        <v>2725</v>
      </c>
      <c r="B6" s="8" t="s">
        <v>3804</v>
      </c>
      <c r="C6" s="7" t="s">
        <v>3805</v>
      </c>
      <c r="D6" s="7" t="s">
        <v>16</v>
      </c>
      <c r="E6" s="7" t="s">
        <v>3806</v>
      </c>
      <c r="F6" s="7" t="s">
        <v>16</v>
      </c>
    </row>
    <row r="7" ht="22.5" customHeight="1">
      <c r="A7" s="7" t="s">
        <v>3807</v>
      </c>
      <c r="B7" s="8" t="s">
        <v>3808</v>
      </c>
      <c r="C7" s="7" t="s">
        <v>3809</v>
      </c>
      <c r="D7" s="7" t="s">
        <v>16</v>
      </c>
      <c r="E7" s="7" t="s">
        <v>3803</v>
      </c>
      <c r="F7" s="7" t="s">
        <v>16</v>
      </c>
    </row>
    <row r="8" ht="22.5" customHeight="1">
      <c r="A8" s="7" t="s">
        <v>3800</v>
      </c>
      <c r="B8" s="8" t="s">
        <v>3810</v>
      </c>
      <c r="C8" s="7" t="s">
        <v>3811</v>
      </c>
      <c r="D8" s="7" t="s">
        <v>16</v>
      </c>
      <c r="E8" s="7" t="s">
        <v>3812</v>
      </c>
      <c r="F8" s="7" t="s">
        <v>16</v>
      </c>
    </row>
    <row r="9" ht="22.5" customHeight="1">
      <c r="A9" s="7" t="s">
        <v>3800</v>
      </c>
      <c r="B9" s="8" t="s">
        <v>3810</v>
      </c>
      <c r="C9" s="7" t="s">
        <v>3813</v>
      </c>
      <c r="D9" s="7" t="s">
        <v>26</v>
      </c>
      <c r="E9" s="7" t="s">
        <v>16</v>
      </c>
      <c r="F9" s="7" t="s">
        <v>16</v>
      </c>
    </row>
    <row r="10" ht="22.5" customHeight="1">
      <c r="A10" s="7" t="s">
        <v>3800</v>
      </c>
      <c r="B10" s="8" t="s">
        <v>3814</v>
      </c>
      <c r="C10" s="7" t="s">
        <v>3815</v>
      </c>
      <c r="D10" s="7" t="s">
        <v>16</v>
      </c>
      <c r="E10" s="7" t="s">
        <v>3806</v>
      </c>
      <c r="F10" s="7" t="s">
        <v>3816</v>
      </c>
    </row>
    <row r="11" ht="22.5" customHeight="1">
      <c r="A11" s="7" t="s">
        <v>2725</v>
      </c>
      <c r="B11" s="8" t="s">
        <v>3817</v>
      </c>
      <c r="C11" s="7" t="s">
        <v>3818</v>
      </c>
      <c r="D11" s="7" t="s">
        <v>16</v>
      </c>
      <c r="E11" s="7" t="s">
        <v>3803</v>
      </c>
      <c r="F11" s="7" t="s">
        <v>3816</v>
      </c>
    </row>
    <row r="12" ht="22.5" customHeight="1">
      <c r="A12" s="7" t="s">
        <v>3800</v>
      </c>
      <c r="B12" s="8" t="s">
        <v>3819</v>
      </c>
      <c r="C12" s="7" t="s">
        <v>3820</v>
      </c>
      <c r="D12" s="7" t="s">
        <v>16</v>
      </c>
      <c r="E12" s="7" t="s">
        <v>3806</v>
      </c>
      <c r="F12" s="7" t="s">
        <v>3816</v>
      </c>
    </row>
    <row r="13" ht="22.5" customHeight="1">
      <c r="A13" s="7" t="s">
        <v>3800</v>
      </c>
      <c r="B13" s="8" t="s">
        <v>3821</v>
      </c>
      <c r="C13" s="7" t="s">
        <v>3822</v>
      </c>
      <c r="D13" s="7" t="s">
        <v>16</v>
      </c>
      <c r="E13" s="7" t="s">
        <v>3803</v>
      </c>
      <c r="F13" s="7" t="s">
        <v>3816</v>
      </c>
    </row>
    <row r="14" ht="22.5" customHeight="1">
      <c r="A14" s="7" t="s">
        <v>2725</v>
      </c>
      <c r="B14" s="8" t="s">
        <v>3823</v>
      </c>
      <c r="C14" s="7" t="s">
        <v>3824</v>
      </c>
      <c r="D14" s="7" t="s">
        <v>16</v>
      </c>
      <c r="E14" s="7" t="s">
        <v>3803</v>
      </c>
      <c r="F14" s="7" t="s">
        <v>3816</v>
      </c>
    </row>
    <row r="15" ht="22.5" customHeight="1">
      <c r="A15" s="7" t="s">
        <v>3800</v>
      </c>
      <c r="B15" s="8" t="s">
        <v>3825</v>
      </c>
      <c r="C15" s="7" t="s">
        <v>3826</v>
      </c>
      <c r="D15" s="7" t="s">
        <v>16</v>
      </c>
      <c r="E15" s="7" t="s">
        <v>3806</v>
      </c>
      <c r="F15" s="7" t="s">
        <v>3816</v>
      </c>
    </row>
    <row r="16" ht="22.5" customHeight="1">
      <c r="A16" s="7" t="s">
        <v>3827</v>
      </c>
      <c r="B16" s="8" t="s">
        <v>3828</v>
      </c>
      <c r="C16" s="7" t="s">
        <v>3829</v>
      </c>
      <c r="D16" s="7" t="s">
        <v>16</v>
      </c>
      <c r="E16" s="7" t="s">
        <v>3803</v>
      </c>
      <c r="F16" s="7" t="s">
        <v>3816</v>
      </c>
    </row>
    <row r="17" ht="22.5" customHeight="1">
      <c r="A17" s="7" t="s">
        <v>3800</v>
      </c>
      <c r="B17" s="8" t="s">
        <v>3830</v>
      </c>
      <c r="C17" s="7" t="s">
        <v>3831</v>
      </c>
      <c r="D17" s="7" t="s">
        <v>16</v>
      </c>
      <c r="E17" s="7" t="s">
        <v>3803</v>
      </c>
      <c r="F17" s="7" t="s">
        <v>3816</v>
      </c>
    </row>
    <row r="18" ht="22.5" customHeight="1">
      <c r="A18" s="7" t="s">
        <v>3800</v>
      </c>
      <c r="B18" s="8" t="s">
        <v>3832</v>
      </c>
      <c r="C18" s="7" t="s">
        <v>3833</v>
      </c>
      <c r="D18" s="7" t="s">
        <v>16</v>
      </c>
      <c r="E18" s="7" t="s">
        <v>3803</v>
      </c>
      <c r="F18" s="7" t="s">
        <v>3816</v>
      </c>
    </row>
    <row r="19" ht="22.5" customHeight="1">
      <c r="A19" s="7" t="s">
        <v>3827</v>
      </c>
      <c r="B19" s="8" t="s">
        <v>3834</v>
      </c>
      <c r="C19" s="7" t="s">
        <v>3835</v>
      </c>
      <c r="D19" s="7" t="s">
        <v>16</v>
      </c>
      <c r="E19" s="7" t="s">
        <v>3803</v>
      </c>
      <c r="F19" s="7" t="s">
        <v>3836</v>
      </c>
    </row>
    <row r="20" ht="22.5" customHeight="1">
      <c r="A20" s="7" t="s">
        <v>3837</v>
      </c>
      <c r="B20" s="8" t="s">
        <v>3838</v>
      </c>
      <c r="C20" s="7" t="s">
        <v>3839</v>
      </c>
      <c r="D20" s="7" t="s">
        <v>26</v>
      </c>
      <c r="E20" s="7" t="s">
        <v>16</v>
      </c>
      <c r="F20" s="7" t="s">
        <v>16</v>
      </c>
    </row>
    <row r="21" ht="22.5" customHeight="1">
      <c r="A21" s="7" t="s">
        <v>3807</v>
      </c>
      <c r="B21" s="8" t="s">
        <v>3840</v>
      </c>
      <c r="C21" s="7" t="s">
        <v>3841</v>
      </c>
      <c r="D21" s="7" t="s">
        <v>16</v>
      </c>
      <c r="E21" s="7" t="s">
        <v>3799</v>
      </c>
      <c r="F21" s="7" t="s">
        <v>16</v>
      </c>
    </row>
    <row r="22" ht="22.5" customHeight="1">
      <c r="A22" s="7" t="s">
        <v>2327</v>
      </c>
      <c r="B22" s="8" t="s">
        <v>3842</v>
      </c>
      <c r="C22" s="7" t="s">
        <v>3843</v>
      </c>
      <c r="D22" s="7" t="s">
        <v>26</v>
      </c>
      <c r="E22" s="7" t="s">
        <v>16</v>
      </c>
      <c r="F22" s="7" t="s">
        <v>16</v>
      </c>
    </row>
    <row r="23" ht="22.5" customHeight="1">
      <c r="A23" s="7" t="s">
        <v>3807</v>
      </c>
      <c r="B23" s="8" t="s">
        <v>3844</v>
      </c>
      <c r="C23" s="7" t="s">
        <v>3845</v>
      </c>
      <c r="D23" s="7" t="s">
        <v>26</v>
      </c>
      <c r="E23" s="7" t="s">
        <v>16</v>
      </c>
      <c r="F23" s="7" t="s">
        <v>16</v>
      </c>
    </row>
    <row r="24" ht="22.5" customHeight="1">
      <c r="A24" s="7" t="s">
        <v>3827</v>
      </c>
      <c r="B24" s="8" t="s">
        <v>3846</v>
      </c>
      <c r="C24" s="7" t="s">
        <v>3847</v>
      </c>
      <c r="D24" s="7" t="s">
        <v>26</v>
      </c>
      <c r="E24" s="7" t="s">
        <v>16</v>
      </c>
      <c r="F24" s="7" t="s">
        <v>16</v>
      </c>
    </row>
    <row r="25" ht="22.5" customHeight="1">
      <c r="A25" s="7" t="s">
        <v>3807</v>
      </c>
      <c r="B25" s="8" t="s">
        <v>3848</v>
      </c>
      <c r="C25" s="7" t="s">
        <v>3849</v>
      </c>
      <c r="D25" s="7" t="s">
        <v>16</v>
      </c>
      <c r="E25" s="7" t="s">
        <v>3803</v>
      </c>
      <c r="F25" s="7" t="s">
        <v>3850</v>
      </c>
    </row>
    <row r="26" ht="22.5" customHeight="1">
      <c r="A26" s="7" t="s">
        <v>3800</v>
      </c>
      <c r="B26" s="8" t="s">
        <v>3851</v>
      </c>
      <c r="C26" s="7" t="s">
        <v>3852</v>
      </c>
      <c r="D26" s="7" t="s">
        <v>16</v>
      </c>
      <c r="E26" s="7" t="s">
        <v>3803</v>
      </c>
      <c r="F26" s="7" t="s">
        <v>3850</v>
      </c>
    </row>
    <row r="27" ht="22.5" customHeight="1">
      <c r="A27" s="7" t="s">
        <v>3800</v>
      </c>
      <c r="B27" s="8" t="s">
        <v>3853</v>
      </c>
      <c r="C27" s="7" t="s">
        <v>3854</v>
      </c>
      <c r="D27" s="7" t="s">
        <v>26</v>
      </c>
      <c r="E27" s="7" t="s">
        <v>16</v>
      </c>
      <c r="F27" s="7" t="s">
        <v>16</v>
      </c>
    </row>
    <row r="28" ht="22.5" customHeight="1">
      <c r="A28" s="7" t="s">
        <v>3827</v>
      </c>
      <c r="B28" s="8" t="s">
        <v>3855</v>
      </c>
      <c r="C28" s="7" t="s">
        <v>3856</v>
      </c>
      <c r="D28" s="7" t="s">
        <v>26</v>
      </c>
      <c r="E28" s="7" t="s">
        <v>16</v>
      </c>
      <c r="F28" s="7" t="s">
        <v>16</v>
      </c>
    </row>
    <row r="29" ht="22.5" customHeight="1">
      <c r="A29" s="7" t="s">
        <v>2725</v>
      </c>
      <c r="B29" s="8" t="s">
        <v>3857</v>
      </c>
      <c r="C29" s="7" t="s">
        <v>3858</v>
      </c>
      <c r="D29" s="7" t="s">
        <v>26</v>
      </c>
      <c r="E29" s="7" t="s">
        <v>16</v>
      </c>
      <c r="F29" s="7" t="s">
        <v>16</v>
      </c>
    </row>
    <row r="30" ht="22.5" customHeight="1">
      <c r="A30" s="7" t="s">
        <v>2327</v>
      </c>
      <c r="B30" s="8" t="s">
        <v>3859</v>
      </c>
      <c r="C30" s="7" t="s">
        <v>3860</v>
      </c>
      <c r="D30" s="7" t="s">
        <v>26</v>
      </c>
      <c r="E30" s="7" t="s">
        <v>16</v>
      </c>
      <c r="F30" s="7" t="s">
        <v>16</v>
      </c>
    </row>
    <row r="31" ht="22.5" customHeight="1">
      <c r="A31" s="7" t="s">
        <v>3800</v>
      </c>
      <c r="B31" s="8" t="s">
        <v>3861</v>
      </c>
      <c r="C31" s="7" t="s">
        <v>3862</v>
      </c>
      <c r="D31" s="7" t="s">
        <v>26</v>
      </c>
      <c r="E31" s="7" t="s">
        <v>16</v>
      </c>
      <c r="F31" s="7" t="s">
        <v>16</v>
      </c>
    </row>
    <row r="32" ht="22.5" customHeight="1">
      <c r="A32" s="7" t="s">
        <v>3827</v>
      </c>
      <c r="B32" s="8" t="s">
        <v>3863</v>
      </c>
      <c r="C32" s="7" t="s">
        <v>3864</v>
      </c>
      <c r="D32" s="7" t="s">
        <v>26</v>
      </c>
      <c r="E32" s="7" t="s">
        <v>16</v>
      </c>
      <c r="F32" s="7" t="s">
        <v>16</v>
      </c>
    </row>
    <row r="33" ht="22.5" customHeight="1">
      <c r="A33" s="7" t="s">
        <v>3800</v>
      </c>
      <c r="B33" s="8" t="s">
        <v>3865</v>
      </c>
      <c r="C33" s="7" t="s">
        <v>3866</v>
      </c>
      <c r="D33" s="7" t="s">
        <v>16</v>
      </c>
      <c r="E33" s="7" t="s">
        <v>3799</v>
      </c>
      <c r="F33" s="7" t="s">
        <v>16</v>
      </c>
    </row>
    <row r="34" ht="22.5" customHeight="1">
      <c r="A34" s="7" t="s">
        <v>3827</v>
      </c>
      <c r="B34" s="8" t="s">
        <v>3867</v>
      </c>
      <c r="C34" s="7" t="s">
        <v>3868</v>
      </c>
      <c r="D34" s="7" t="s">
        <v>26</v>
      </c>
      <c r="E34" s="7" t="s">
        <v>16</v>
      </c>
      <c r="F34" s="7" t="s">
        <v>16</v>
      </c>
    </row>
    <row r="35" ht="22.5" customHeight="1">
      <c r="A35" s="7" t="s">
        <v>2725</v>
      </c>
      <c r="B35" s="8" t="s">
        <v>3869</v>
      </c>
      <c r="C35" s="7" t="s">
        <v>3870</v>
      </c>
      <c r="D35" s="7" t="s">
        <v>26</v>
      </c>
      <c r="E35" s="7" t="s">
        <v>16</v>
      </c>
      <c r="F35" s="7" t="s">
        <v>16</v>
      </c>
    </row>
    <row r="36" ht="22.5" customHeight="1">
      <c r="A36" s="7" t="s">
        <v>3871</v>
      </c>
      <c r="B36" s="8" t="s">
        <v>3872</v>
      </c>
      <c r="C36" s="7" t="s">
        <v>3873</v>
      </c>
      <c r="D36" s="7" t="s">
        <v>3871</v>
      </c>
      <c r="E36" s="7" t="s">
        <v>3803</v>
      </c>
      <c r="F36" s="7" t="s">
        <v>16</v>
      </c>
    </row>
    <row r="37" ht="22.5" customHeight="1">
      <c r="A37" s="7" t="s">
        <v>3871</v>
      </c>
      <c r="B37" s="8" t="s">
        <v>3874</v>
      </c>
      <c r="C37" s="7" t="s">
        <v>3875</v>
      </c>
      <c r="D37" s="7" t="s">
        <v>26</v>
      </c>
      <c r="E37" s="7" t="s">
        <v>16</v>
      </c>
      <c r="F37" s="7" t="s">
        <v>16</v>
      </c>
    </row>
    <row r="38" ht="22.5" customHeight="1">
      <c r="A38" s="7" t="s">
        <v>3871</v>
      </c>
      <c r="B38" s="8" t="s">
        <v>3874</v>
      </c>
      <c r="C38" s="7" t="s">
        <v>3876</v>
      </c>
      <c r="D38" s="7" t="s">
        <v>26</v>
      </c>
      <c r="E38" s="7" t="s">
        <v>16</v>
      </c>
      <c r="F38" s="7" t="s">
        <v>16</v>
      </c>
    </row>
    <row r="39" ht="22.5" customHeight="1">
      <c r="A39" s="7" t="s">
        <v>2327</v>
      </c>
      <c r="B39" s="8" t="s">
        <v>3877</v>
      </c>
      <c r="C39" s="7" t="s">
        <v>3878</v>
      </c>
      <c r="D39" s="7" t="s">
        <v>16</v>
      </c>
      <c r="E39" s="7" t="s">
        <v>3799</v>
      </c>
      <c r="F39" s="7" t="s">
        <v>3879</v>
      </c>
    </row>
    <row r="40" ht="22.5" customHeight="1">
      <c r="A40" s="7" t="s">
        <v>3800</v>
      </c>
      <c r="B40" s="8" t="s">
        <v>3880</v>
      </c>
      <c r="C40" s="7" t="s">
        <v>3881</v>
      </c>
      <c r="D40" s="7" t="s">
        <v>16</v>
      </c>
      <c r="E40" s="7" t="s">
        <v>3812</v>
      </c>
      <c r="F40" s="7" t="s">
        <v>16</v>
      </c>
    </row>
    <row r="41" ht="22.5" customHeight="1">
      <c r="A41" s="7" t="s">
        <v>3800</v>
      </c>
      <c r="B41" s="8" t="s">
        <v>3882</v>
      </c>
      <c r="C41" s="7" t="s">
        <v>3883</v>
      </c>
      <c r="D41" s="7" t="s">
        <v>16</v>
      </c>
      <c r="E41" s="7" t="s">
        <v>3806</v>
      </c>
      <c r="F41" s="7" t="s">
        <v>3884</v>
      </c>
    </row>
    <row r="42" ht="22.5" customHeight="1">
      <c r="A42" s="7" t="s">
        <v>3800</v>
      </c>
      <c r="B42" s="8" t="s">
        <v>3885</v>
      </c>
      <c r="C42" s="7" t="s">
        <v>3886</v>
      </c>
      <c r="D42" s="7" t="s">
        <v>3884</v>
      </c>
      <c r="E42" s="7" t="s">
        <v>3806</v>
      </c>
      <c r="F42" s="7" t="s">
        <v>3884</v>
      </c>
    </row>
    <row r="43" ht="22.5" customHeight="1">
      <c r="A43" s="7" t="s">
        <v>2327</v>
      </c>
      <c r="B43" s="8" t="s">
        <v>3887</v>
      </c>
      <c r="C43" s="7" t="s">
        <v>3888</v>
      </c>
      <c r="D43" s="7" t="s">
        <v>26</v>
      </c>
      <c r="E43" s="7" t="s">
        <v>16</v>
      </c>
      <c r="F43" s="7" t="s">
        <v>16</v>
      </c>
    </row>
    <row r="44" ht="22.5" customHeight="1">
      <c r="A44" s="7" t="s">
        <v>3800</v>
      </c>
      <c r="B44" s="8" t="s">
        <v>3889</v>
      </c>
      <c r="C44" s="7" t="s">
        <v>3890</v>
      </c>
      <c r="D44" s="7" t="s">
        <v>16</v>
      </c>
      <c r="E44" s="7" t="s">
        <v>3806</v>
      </c>
      <c r="F44" s="7" t="s">
        <v>16</v>
      </c>
    </row>
    <row r="45" ht="22.5" customHeight="1">
      <c r="A45" s="7" t="s">
        <v>3800</v>
      </c>
      <c r="B45" s="8" t="s">
        <v>3891</v>
      </c>
      <c r="C45" s="7" t="s">
        <v>3892</v>
      </c>
      <c r="D45" s="7" t="s">
        <v>16</v>
      </c>
      <c r="E45" s="7" t="s">
        <v>3806</v>
      </c>
      <c r="F45" s="7" t="s">
        <v>16</v>
      </c>
    </row>
    <row r="46" ht="22.5" customHeight="1">
      <c r="A46" s="7" t="s">
        <v>3800</v>
      </c>
      <c r="B46" s="8" t="s">
        <v>3891</v>
      </c>
      <c r="C46" s="7" t="s">
        <v>3893</v>
      </c>
      <c r="D46" s="7" t="s">
        <v>26</v>
      </c>
      <c r="E46" s="7" t="s">
        <v>16</v>
      </c>
      <c r="F46" s="7" t="s">
        <v>16</v>
      </c>
    </row>
    <row r="47" ht="22.5" customHeight="1">
      <c r="A47" s="7" t="s">
        <v>2725</v>
      </c>
      <c r="B47" s="8" t="s">
        <v>3894</v>
      </c>
      <c r="C47" s="7" t="s">
        <v>3895</v>
      </c>
      <c r="D47" s="7" t="s">
        <v>16</v>
      </c>
      <c r="E47" s="7" t="s">
        <v>3806</v>
      </c>
      <c r="F47" s="7" t="s">
        <v>16</v>
      </c>
    </row>
    <row r="48" ht="22.5" customHeight="1">
      <c r="A48" s="7" t="s">
        <v>3807</v>
      </c>
      <c r="B48" s="8" t="s">
        <v>3896</v>
      </c>
      <c r="C48" s="7" t="s">
        <v>3897</v>
      </c>
      <c r="D48" s="7" t="s">
        <v>16</v>
      </c>
      <c r="E48" s="7" t="s">
        <v>3799</v>
      </c>
      <c r="F48" s="7" t="s">
        <v>16</v>
      </c>
    </row>
    <row r="49" ht="22.5" customHeight="1">
      <c r="A49" s="7" t="s">
        <v>3827</v>
      </c>
      <c r="B49" s="8" t="s">
        <v>3898</v>
      </c>
      <c r="C49" s="7" t="s">
        <v>3899</v>
      </c>
      <c r="D49" s="7" t="s">
        <v>26</v>
      </c>
      <c r="E49" s="7" t="s">
        <v>16</v>
      </c>
      <c r="F49" s="7" t="s">
        <v>16</v>
      </c>
    </row>
    <row r="50" ht="22.5" customHeight="1">
      <c r="A50" s="7" t="s">
        <v>3800</v>
      </c>
      <c r="B50" s="8" t="s">
        <v>3900</v>
      </c>
      <c r="C50" s="7" t="s">
        <v>3901</v>
      </c>
      <c r="D50" s="7" t="s">
        <v>16</v>
      </c>
      <c r="E50" s="7" t="s">
        <v>3806</v>
      </c>
      <c r="F50" s="7" t="s">
        <v>16</v>
      </c>
    </row>
    <row r="51" ht="22.5" customHeight="1">
      <c r="A51" s="7" t="s">
        <v>3800</v>
      </c>
      <c r="B51" s="8" t="s">
        <v>3902</v>
      </c>
      <c r="C51" s="7" t="s">
        <v>3903</v>
      </c>
      <c r="D51" s="7" t="s">
        <v>16</v>
      </c>
      <c r="E51" s="7" t="s">
        <v>3799</v>
      </c>
      <c r="F51" s="7" t="s">
        <v>3904</v>
      </c>
    </row>
    <row r="52" ht="22.5" customHeight="1">
      <c r="A52" s="7" t="s">
        <v>3800</v>
      </c>
      <c r="B52" s="8" t="s">
        <v>3905</v>
      </c>
      <c r="C52" s="7" t="s">
        <v>3906</v>
      </c>
      <c r="D52" s="7" t="s">
        <v>16</v>
      </c>
      <c r="E52" s="7" t="s">
        <v>3806</v>
      </c>
      <c r="F52" s="7" t="s">
        <v>3904</v>
      </c>
    </row>
    <row r="53" ht="22.5" customHeight="1">
      <c r="A53" s="7" t="s">
        <v>3800</v>
      </c>
      <c r="B53" s="8" t="s">
        <v>3907</v>
      </c>
      <c r="C53" s="7" t="s">
        <v>3908</v>
      </c>
      <c r="D53" s="7" t="s">
        <v>16</v>
      </c>
      <c r="E53" s="7" t="s">
        <v>3799</v>
      </c>
      <c r="F53" s="7" t="s">
        <v>3904</v>
      </c>
    </row>
    <row r="54" ht="22.5" customHeight="1">
      <c r="A54" s="7" t="s">
        <v>3807</v>
      </c>
      <c r="B54" s="8" t="s">
        <v>3909</v>
      </c>
      <c r="C54" s="7" t="s">
        <v>3910</v>
      </c>
      <c r="D54" s="7" t="s">
        <v>16</v>
      </c>
      <c r="E54" s="7" t="s">
        <v>3799</v>
      </c>
      <c r="F54" s="7" t="s">
        <v>16</v>
      </c>
    </row>
    <row r="55" ht="22.5" customHeight="1">
      <c r="A55" s="7" t="s">
        <v>3837</v>
      </c>
      <c r="B55" s="8" t="s">
        <v>3911</v>
      </c>
      <c r="C55" s="7" t="s">
        <v>3912</v>
      </c>
      <c r="D55" s="7" t="s">
        <v>16</v>
      </c>
      <c r="E55" s="7" t="s">
        <v>3806</v>
      </c>
      <c r="F55" s="7" t="s">
        <v>16</v>
      </c>
    </row>
    <row r="56" ht="22.5" customHeight="1">
      <c r="A56" s="7" t="s">
        <v>3827</v>
      </c>
      <c r="B56" s="8" t="s">
        <v>3913</v>
      </c>
      <c r="C56" s="7" t="s">
        <v>3914</v>
      </c>
      <c r="D56" s="7" t="s">
        <v>26</v>
      </c>
      <c r="E56" s="7" t="s">
        <v>16</v>
      </c>
      <c r="F56" s="7" t="s">
        <v>16</v>
      </c>
    </row>
    <row r="57" ht="22.5" customHeight="1">
      <c r="A57" s="7" t="s">
        <v>2327</v>
      </c>
      <c r="B57" s="8" t="s">
        <v>3915</v>
      </c>
      <c r="C57" s="7" t="s">
        <v>3916</v>
      </c>
      <c r="D57" s="7" t="s">
        <v>26</v>
      </c>
      <c r="E57" s="7" t="s">
        <v>16</v>
      </c>
      <c r="F57" s="7" t="s">
        <v>16</v>
      </c>
    </row>
    <row r="58" ht="22.5" customHeight="1">
      <c r="A58" s="7" t="s">
        <v>3800</v>
      </c>
      <c r="B58" s="8" t="s">
        <v>3917</v>
      </c>
      <c r="C58" s="7" t="s">
        <v>3918</v>
      </c>
      <c r="D58" s="7" t="s">
        <v>26</v>
      </c>
      <c r="E58" s="7" t="s">
        <v>16</v>
      </c>
      <c r="F58" s="7" t="s">
        <v>16</v>
      </c>
    </row>
    <row r="59" ht="22.5" customHeight="1">
      <c r="A59" s="7" t="s">
        <v>3827</v>
      </c>
      <c r="B59" s="8" t="s">
        <v>3919</v>
      </c>
      <c r="C59" s="7" t="s">
        <v>3920</v>
      </c>
      <c r="D59" s="7" t="s">
        <v>26</v>
      </c>
      <c r="E59" s="7" t="s">
        <v>16</v>
      </c>
      <c r="F59" s="7" t="s">
        <v>16</v>
      </c>
    </row>
    <row r="60" ht="22.5" customHeight="1">
      <c r="A60" s="7" t="s">
        <v>3827</v>
      </c>
      <c r="B60" s="8" t="s">
        <v>3921</v>
      </c>
      <c r="C60" s="7" t="s">
        <v>3922</v>
      </c>
      <c r="D60" s="7" t="s">
        <v>26</v>
      </c>
      <c r="E60" s="7" t="s">
        <v>16</v>
      </c>
      <c r="F60" s="7" t="s">
        <v>16</v>
      </c>
    </row>
    <row r="61" ht="22.5" customHeight="1">
      <c r="A61" s="7" t="s">
        <v>3827</v>
      </c>
      <c r="B61" s="8" t="s">
        <v>3921</v>
      </c>
      <c r="C61" s="7" t="s">
        <v>3923</v>
      </c>
      <c r="D61" s="7" t="s">
        <v>26</v>
      </c>
      <c r="E61" s="7" t="s">
        <v>16</v>
      </c>
      <c r="F61" s="7" t="s">
        <v>16</v>
      </c>
    </row>
    <row r="62" ht="22.5" customHeight="1">
      <c r="A62" s="7" t="s">
        <v>3827</v>
      </c>
      <c r="B62" s="8" t="s">
        <v>3924</v>
      </c>
      <c r="C62" s="7" t="s">
        <v>3925</v>
      </c>
      <c r="D62" s="7" t="s">
        <v>26</v>
      </c>
      <c r="E62" s="7" t="s">
        <v>16</v>
      </c>
      <c r="F62" s="7" t="s">
        <v>16</v>
      </c>
    </row>
    <row r="63" ht="22.5" customHeight="1">
      <c r="A63" s="7" t="s">
        <v>3827</v>
      </c>
      <c r="B63" s="8" t="s">
        <v>3926</v>
      </c>
      <c r="C63" s="7" t="s">
        <v>3927</v>
      </c>
      <c r="D63" s="7" t="s">
        <v>26</v>
      </c>
      <c r="E63" s="7" t="s">
        <v>16</v>
      </c>
      <c r="F63" s="7" t="s">
        <v>16</v>
      </c>
    </row>
    <row r="64" ht="22.5" customHeight="1">
      <c r="A64" s="7" t="s">
        <v>3800</v>
      </c>
      <c r="B64" s="8" t="s">
        <v>3928</v>
      </c>
      <c r="C64" s="7" t="s">
        <v>3929</v>
      </c>
      <c r="D64" s="7" t="s">
        <v>26</v>
      </c>
      <c r="E64" s="7" t="s">
        <v>16</v>
      </c>
      <c r="F64" s="7" t="s">
        <v>16</v>
      </c>
    </row>
    <row r="65" ht="22.5" customHeight="1">
      <c r="A65" s="7" t="s">
        <v>3800</v>
      </c>
      <c r="B65" s="8" t="s">
        <v>3930</v>
      </c>
      <c r="C65" s="7" t="s">
        <v>3931</v>
      </c>
      <c r="D65" s="7" t="s">
        <v>26</v>
      </c>
      <c r="E65" s="7" t="s">
        <v>16</v>
      </c>
      <c r="F65" s="7" t="s">
        <v>16</v>
      </c>
    </row>
    <row r="66" ht="22.5" customHeight="1">
      <c r="A66" s="7" t="s">
        <v>2725</v>
      </c>
      <c r="B66" s="8" t="s">
        <v>3932</v>
      </c>
      <c r="C66" s="7" t="s">
        <v>3933</v>
      </c>
      <c r="D66" s="7" t="s">
        <v>3934</v>
      </c>
      <c r="E66" s="7" t="s">
        <v>3803</v>
      </c>
      <c r="F66" s="7" t="s">
        <v>3934</v>
      </c>
    </row>
    <row r="67" ht="22.5" customHeight="1">
      <c r="A67" s="7" t="s">
        <v>3800</v>
      </c>
      <c r="B67" s="8" t="s">
        <v>3935</v>
      </c>
      <c r="C67" s="7" t="s">
        <v>3936</v>
      </c>
      <c r="D67" s="7" t="s">
        <v>26</v>
      </c>
      <c r="E67" s="7" t="s">
        <v>16</v>
      </c>
      <c r="F67" s="7" t="s">
        <v>16</v>
      </c>
    </row>
    <row r="68" ht="22.5" customHeight="1">
      <c r="A68" s="7" t="s">
        <v>3800</v>
      </c>
      <c r="B68" s="8" t="s">
        <v>3937</v>
      </c>
      <c r="C68" s="7" t="s">
        <v>3938</v>
      </c>
      <c r="D68" s="7" t="s">
        <v>26</v>
      </c>
      <c r="E68" s="7" t="s">
        <v>16</v>
      </c>
      <c r="F68" s="7" t="s">
        <v>16</v>
      </c>
    </row>
    <row r="69" ht="22.5" customHeight="1">
      <c r="A69" s="7" t="s">
        <v>2725</v>
      </c>
      <c r="B69" s="8" t="s">
        <v>3939</v>
      </c>
      <c r="C69" s="7" t="s">
        <v>3940</v>
      </c>
      <c r="D69" s="7" t="s">
        <v>26</v>
      </c>
      <c r="E69" s="7" t="s">
        <v>16</v>
      </c>
      <c r="F69" s="7" t="s">
        <v>16</v>
      </c>
    </row>
    <row r="70" ht="22.5" customHeight="1">
      <c r="A70" s="7" t="s">
        <v>3800</v>
      </c>
      <c r="B70" s="8" t="s">
        <v>3941</v>
      </c>
      <c r="C70" s="7" t="s">
        <v>3942</v>
      </c>
      <c r="D70" s="7" t="s">
        <v>26</v>
      </c>
      <c r="E70" s="7" t="s">
        <v>16</v>
      </c>
      <c r="F70" s="7" t="s">
        <v>16</v>
      </c>
    </row>
    <row r="71" ht="22.5" customHeight="1">
      <c r="A71" s="7" t="s">
        <v>2725</v>
      </c>
      <c r="B71" s="8" t="s">
        <v>3943</v>
      </c>
      <c r="C71" s="7" t="s">
        <v>3944</v>
      </c>
      <c r="D71" s="7" t="s">
        <v>16</v>
      </c>
      <c r="E71" s="7" t="s">
        <v>3812</v>
      </c>
      <c r="F71" s="7" t="s">
        <v>3945</v>
      </c>
    </row>
    <row r="72" ht="22.5" customHeight="1">
      <c r="A72" s="7" t="s">
        <v>3837</v>
      </c>
      <c r="B72" s="8" t="s">
        <v>3946</v>
      </c>
      <c r="C72" s="7" t="s">
        <v>3947</v>
      </c>
      <c r="D72" s="7" t="s">
        <v>26</v>
      </c>
      <c r="E72" s="7" t="s">
        <v>16</v>
      </c>
      <c r="F72" s="7" t="s">
        <v>16</v>
      </c>
    </row>
    <row r="73" ht="22.5" customHeight="1">
      <c r="A73" s="7" t="s">
        <v>3837</v>
      </c>
      <c r="B73" s="8" t="s">
        <v>3946</v>
      </c>
      <c r="C73" s="7" t="s">
        <v>3948</v>
      </c>
      <c r="D73" s="7" t="s">
        <v>26</v>
      </c>
      <c r="E73" s="7" t="s">
        <v>16</v>
      </c>
      <c r="F73" s="7" t="s">
        <v>16</v>
      </c>
    </row>
    <row r="74" ht="22.5" customHeight="1">
      <c r="A74" s="7" t="s">
        <v>2725</v>
      </c>
      <c r="B74" s="8" t="s">
        <v>3949</v>
      </c>
      <c r="C74" s="7" t="s">
        <v>3950</v>
      </c>
      <c r="D74" s="7" t="s">
        <v>3951</v>
      </c>
      <c r="E74" s="7" t="s">
        <v>3803</v>
      </c>
      <c r="F74" s="7" t="s">
        <v>3952</v>
      </c>
    </row>
    <row r="75" ht="22.5" customHeight="1">
      <c r="A75" s="7" t="s">
        <v>3800</v>
      </c>
      <c r="B75" s="8" t="s">
        <v>3953</v>
      </c>
      <c r="C75" s="7" t="s">
        <v>3954</v>
      </c>
      <c r="D75" s="7" t="s">
        <v>16</v>
      </c>
      <c r="E75" s="7" t="s">
        <v>3806</v>
      </c>
      <c r="F75" s="7" t="s">
        <v>3884</v>
      </c>
    </row>
    <row r="76" ht="22.5" customHeight="1">
      <c r="A76" s="7" t="s">
        <v>3800</v>
      </c>
      <c r="B76" s="8" t="s">
        <v>3955</v>
      </c>
      <c r="C76" s="7" t="s">
        <v>3956</v>
      </c>
      <c r="D76" s="7" t="s">
        <v>26</v>
      </c>
      <c r="E76" s="7" t="s">
        <v>16</v>
      </c>
      <c r="F76" s="7" t="s">
        <v>16</v>
      </c>
    </row>
    <row r="77" ht="22.5" customHeight="1">
      <c r="A77" s="7" t="s">
        <v>3827</v>
      </c>
      <c r="B77" s="8" t="s">
        <v>3957</v>
      </c>
      <c r="C77" s="7" t="s">
        <v>3958</v>
      </c>
      <c r="D77" s="7" t="s">
        <v>16</v>
      </c>
      <c r="E77" s="7" t="s">
        <v>3806</v>
      </c>
      <c r="F77" s="7" t="s">
        <v>16</v>
      </c>
    </row>
    <row r="78" ht="22.5" customHeight="1">
      <c r="A78" s="7" t="s">
        <v>3807</v>
      </c>
      <c r="B78" s="8" t="s">
        <v>3959</v>
      </c>
      <c r="C78" s="7" t="s">
        <v>3960</v>
      </c>
      <c r="D78" s="7" t="s">
        <v>26</v>
      </c>
      <c r="E78" s="7" t="s">
        <v>16</v>
      </c>
      <c r="F78" s="7" t="s">
        <v>16</v>
      </c>
    </row>
    <row r="79" ht="22.5" customHeight="1">
      <c r="A79" s="7" t="s">
        <v>2327</v>
      </c>
      <c r="B79" s="8" t="s">
        <v>3961</v>
      </c>
      <c r="C79" s="7" t="s">
        <v>3962</v>
      </c>
      <c r="D79" s="7" t="s">
        <v>3963</v>
      </c>
      <c r="E79" s="7" t="s">
        <v>3803</v>
      </c>
      <c r="F79" s="7" t="s">
        <v>3964</v>
      </c>
    </row>
    <row r="80" ht="22.5" customHeight="1">
      <c r="A80" s="7" t="s">
        <v>2327</v>
      </c>
      <c r="B80" s="8" t="s">
        <v>3965</v>
      </c>
      <c r="C80" s="7" t="s">
        <v>3966</v>
      </c>
      <c r="D80" s="7" t="s">
        <v>16</v>
      </c>
      <c r="E80" s="7" t="s">
        <v>3799</v>
      </c>
      <c r="F80" s="7" t="s">
        <v>16</v>
      </c>
    </row>
    <row r="81" ht="22.5" customHeight="1">
      <c r="A81" s="7" t="s">
        <v>2327</v>
      </c>
      <c r="B81" s="8" t="s">
        <v>3965</v>
      </c>
      <c r="C81" s="7" t="s">
        <v>3967</v>
      </c>
      <c r="D81" s="7" t="s">
        <v>26</v>
      </c>
      <c r="E81" s="7" t="s">
        <v>16</v>
      </c>
      <c r="F81" s="7" t="s">
        <v>16</v>
      </c>
    </row>
    <row r="82" ht="22.5" customHeight="1">
      <c r="A82" s="7" t="s">
        <v>3800</v>
      </c>
      <c r="B82" s="8" t="s">
        <v>3968</v>
      </c>
      <c r="C82" s="7" t="s">
        <v>3969</v>
      </c>
      <c r="D82" s="7" t="s">
        <v>16</v>
      </c>
      <c r="E82" s="7" t="s">
        <v>3799</v>
      </c>
      <c r="F82" s="7" t="s">
        <v>16</v>
      </c>
    </row>
    <row r="83" ht="22.5" customHeight="1">
      <c r="A83" s="7" t="s">
        <v>3800</v>
      </c>
      <c r="B83" s="8" t="s">
        <v>3968</v>
      </c>
      <c r="C83" s="7" t="s">
        <v>3970</v>
      </c>
      <c r="D83" s="7" t="s">
        <v>16</v>
      </c>
      <c r="E83" s="7" t="s">
        <v>3799</v>
      </c>
      <c r="F83" s="7" t="s">
        <v>16</v>
      </c>
    </row>
    <row r="84" ht="22.5" customHeight="1">
      <c r="A84" s="7" t="s">
        <v>3800</v>
      </c>
      <c r="B84" s="8" t="s">
        <v>3971</v>
      </c>
      <c r="C84" s="7" t="s">
        <v>3972</v>
      </c>
      <c r="D84" s="7" t="s">
        <v>26</v>
      </c>
      <c r="E84" s="7" t="s">
        <v>16</v>
      </c>
      <c r="F84" s="7" t="s">
        <v>16</v>
      </c>
    </row>
    <row r="85" ht="22.5" customHeight="1">
      <c r="A85" s="7" t="s">
        <v>3827</v>
      </c>
      <c r="B85" s="8" t="s">
        <v>3973</v>
      </c>
      <c r="C85" s="7" t="s">
        <v>3974</v>
      </c>
      <c r="D85" s="7" t="s">
        <v>26</v>
      </c>
      <c r="E85" s="7" t="s">
        <v>16</v>
      </c>
      <c r="F85" s="7" t="s">
        <v>16</v>
      </c>
    </row>
    <row r="86" ht="22.5" customHeight="1">
      <c r="A86" s="7" t="s">
        <v>3827</v>
      </c>
      <c r="B86" s="8" t="s">
        <v>3975</v>
      </c>
      <c r="C86" s="7" t="s">
        <v>3976</v>
      </c>
      <c r="D86" s="7" t="s">
        <v>16</v>
      </c>
      <c r="E86" s="7" t="s">
        <v>3803</v>
      </c>
      <c r="F86" s="7" t="s">
        <v>3879</v>
      </c>
    </row>
    <row r="87" ht="22.5" customHeight="1">
      <c r="A87" s="7" t="s">
        <v>2725</v>
      </c>
      <c r="B87" s="8" t="s">
        <v>3975</v>
      </c>
      <c r="C87" s="7" t="s">
        <v>3977</v>
      </c>
      <c r="D87" s="7" t="s">
        <v>105</v>
      </c>
      <c r="E87" s="7" t="s">
        <v>16</v>
      </c>
      <c r="F87" s="7" t="s">
        <v>16</v>
      </c>
    </row>
    <row r="88" ht="22.5" customHeight="1">
      <c r="A88" s="7" t="s">
        <v>3800</v>
      </c>
      <c r="B88" s="8" t="s">
        <v>3978</v>
      </c>
      <c r="C88" s="7" t="s">
        <v>3979</v>
      </c>
      <c r="D88" s="7" t="s">
        <v>151</v>
      </c>
      <c r="E88" s="7" t="s">
        <v>3799</v>
      </c>
      <c r="F88" s="7" t="s">
        <v>16</v>
      </c>
    </row>
    <row r="89" ht="22.5" customHeight="1">
      <c r="A89" s="7" t="s">
        <v>3800</v>
      </c>
      <c r="B89" s="8" t="s">
        <v>3980</v>
      </c>
      <c r="C89" s="7" t="s">
        <v>3981</v>
      </c>
      <c r="D89" s="7" t="s">
        <v>16</v>
      </c>
      <c r="E89" s="7" t="s">
        <v>3806</v>
      </c>
      <c r="F89" s="7" t="s">
        <v>3816</v>
      </c>
    </row>
    <row r="90" ht="22.5" customHeight="1">
      <c r="A90" s="7" t="s">
        <v>3837</v>
      </c>
      <c r="B90" s="8" t="s">
        <v>3982</v>
      </c>
      <c r="C90" s="7" t="s">
        <v>3983</v>
      </c>
      <c r="D90" s="7" t="s">
        <v>16</v>
      </c>
      <c r="E90" s="7" t="s">
        <v>3799</v>
      </c>
      <c r="F90" s="7" t="s">
        <v>16</v>
      </c>
    </row>
    <row r="91" ht="22.5" customHeight="1">
      <c r="A91" s="7" t="s">
        <v>3800</v>
      </c>
      <c r="B91" s="8" t="s">
        <v>3984</v>
      </c>
      <c r="C91" s="7" t="s">
        <v>3985</v>
      </c>
      <c r="D91" s="7" t="s">
        <v>16</v>
      </c>
      <c r="E91" s="7" t="s">
        <v>3806</v>
      </c>
      <c r="F91" s="7" t="s">
        <v>16</v>
      </c>
    </row>
    <row r="92" ht="22.5" customHeight="1">
      <c r="A92" s="7" t="s">
        <v>3807</v>
      </c>
      <c r="B92" s="8" t="s">
        <v>3986</v>
      </c>
      <c r="C92" s="7" t="s">
        <v>3987</v>
      </c>
      <c r="D92" s="7" t="s">
        <v>16</v>
      </c>
      <c r="E92" s="7" t="s">
        <v>3803</v>
      </c>
      <c r="F92" s="7" t="s">
        <v>3964</v>
      </c>
    </row>
    <row r="93" ht="22.5" customHeight="1">
      <c r="A93" s="7" t="s">
        <v>3807</v>
      </c>
      <c r="B93" s="8" t="s">
        <v>3986</v>
      </c>
      <c r="C93" s="7" t="s">
        <v>3988</v>
      </c>
      <c r="D93" s="7" t="s">
        <v>26</v>
      </c>
      <c r="E93" s="7" t="s">
        <v>16</v>
      </c>
      <c r="F93" s="7" t="s">
        <v>16</v>
      </c>
    </row>
    <row r="94" ht="22.5" customHeight="1">
      <c r="A94" s="7" t="s">
        <v>3800</v>
      </c>
      <c r="B94" s="8" t="s">
        <v>3989</v>
      </c>
      <c r="C94" s="7" t="s">
        <v>3990</v>
      </c>
      <c r="D94" s="7" t="s">
        <v>16</v>
      </c>
      <c r="E94" s="7" t="s">
        <v>3799</v>
      </c>
      <c r="F94" s="7" t="s">
        <v>16</v>
      </c>
    </row>
    <row r="95" ht="22.5" customHeight="1">
      <c r="A95" s="7" t="s">
        <v>3827</v>
      </c>
      <c r="B95" s="8" t="s">
        <v>3991</v>
      </c>
      <c r="C95" s="7" t="s">
        <v>3992</v>
      </c>
      <c r="D95" s="7" t="s">
        <v>16</v>
      </c>
      <c r="E95" s="7" t="s">
        <v>3803</v>
      </c>
      <c r="F95" s="7" t="s">
        <v>3993</v>
      </c>
    </row>
    <row r="96" ht="22.5" customHeight="1">
      <c r="A96" s="7" t="s">
        <v>3827</v>
      </c>
      <c r="B96" s="8" t="s">
        <v>3991</v>
      </c>
      <c r="C96" s="7" t="s">
        <v>3994</v>
      </c>
      <c r="D96" s="7" t="s">
        <v>26</v>
      </c>
      <c r="E96" s="7" t="s">
        <v>16</v>
      </c>
      <c r="F96" s="7" t="s">
        <v>16</v>
      </c>
    </row>
    <row r="97" ht="22.5" customHeight="1">
      <c r="A97" s="7" t="s">
        <v>3827</v>
      </c>
      <c r="B97" s="8" t="s">
        <v>3995</v>
      </c>
      <c r="C97" s="7" t="s">
        <v>3996</v>
      </c>
      <c r="D97" s="7" t="s">
        <v>16</v>
      </c>
      <c r="E97" s="7" t="s">
        <v>3803</v>
      </c>
      <c r="F97" s="7" t="s">
        <v>3993</v>
      </c>
    </row>
    <row r="98" ht="22.5" customHeight="1">
      <c r="A98" s="7" t="s">
        <v>3800</v>
      </c>
      <c r="B98" s="8" t="s">
        <v>3997</v>
      </c>
      <c r="C98" s="7" t="s">
        <v>3998</v>
      </c>
      <c r="D98" s="7" t="s">
        <v>16</v>
      </c>
      <c r="E98" s="7" t="s">
        <v>3803</v>
      </c>
      <c r="F98" s="7" t="s">
        <v>16</v>
      </c>
    </row>
    <row r="99" ht="22.5" customHeight="1">
      <c r="A99" s="7" t="s">
        <v>3871</v>
      </c>
      <c r="B99" s="8" t="s">
        <v>3999</v>
      </c>
      <c r="C99" s="7" t="s">
        <v>4000</v>
      </c>
      <c r="D99" s="7" t="s">
        <v>3871</v>
      </c>
      <c r="E99" s="7" t="s">
        <v>3803</v>
      </c>
      <c r="F99" s="7" t="s">
        <v>3993</v>
      </c>
    </row>
    <row r="100" ht="22.5" customHeight="1">
      <c r="A100" s="7" t="s">
        <v>3827</v>
      </c>
      <c r="B100" s="8" t="s">
        <v>4001</v>
      </c>
      <c r="C100" s="7" t="s">
        <v>4002</v>
      </c>
      <c r="D100" s="7" t="s">
        <v>16</v>
      </c>
      <c r="E100" s="7" t="s">
        <v>3803</v>
      </c>
      <c r="F100" s="7" t="s">
        <v>3952</v>
      </c>
    </row>
    <row r="101" ht="22.5" customHeight="1">
      <c r="A101" s="7" t="s">
        <v>3800</v>
      </c>
      <c r="B101" s="8" t="s">
        <v>4003</v>
      </c>
      <c r="C101" s="7" t="s">
        <v>4004</v>
      </c>
      <c r="D101" s="7" t="s">
        <v>16</v>
      </c>
      <c r="E101" s="7" t="s">
        <v>3803</v>
      </c>
      <c r="F101" s="7" t="s">
        <v>16</v>
      </c>
    </row>
    <row r="102" ht="22.5" customHeight="1">
      <c r="A102" s="7" t="s">
        <v>3800</v>
      </c>
      <c r="B102" s="8" t="s">
        <v>4005</v>
      </c>
      <c r="C102" s="7" t="s">
        <v>4006</v>
      </c>
      <c r="D102" s="7" t="s">
        <v>16</v>
      </c>
      <c r="E102" s="7" t="s">
        <v>3803</v>
      </c>
      <c r="F102" s="7" t="s">
        <v>3993</v>
      </c>
    </row>
    <row r="103" ht="22.5" customHeight="1">
      <c r="A103" s="7" t="s">
        <v>3800</v>
      </c>
      <c r="B103" s="8" t="s">
        <v>4007</v>
      </c>
      <c r="C103" s="7" t="s">
        <v>4008</v>
      </c>
      <c r="D103" s="7" t="s">
        <v>16</v>
      </c>
      <c r="E103" s="7" t="s">
        <v>3803</v>
      </c>
      <c r="F103" s="7" t="s">
        <v>3993</v>
      </c>
    </row>
    <row r="104" ht="22.5" customHeight="1">
      <c r="A104" s="7" t="s">
        <v>2725</v>
      </c>
      <c r="B104" s="8" t="s">
        <v>4009</v>
      </c>
      <c r="C104" s="7" t="s">
        <v>4010</v>
      </c>
      <c r="D104" s="7" t="s">
        <v>16</v>
      </c>
      <c r="E104" s="7" t="s">
        <v>3803</v>
      </c>
      <c r="F104" s="7" t="s">
        <v>3993</v>
      </c>
    </row>
    <row r="105" ht="22.5" customHeight="1">
      <c r="A105" s="7" t="s">
        <v>2327</v>
      </c>
      <c r="B105" s="8" t="s">
        <v>4011</v>
      </c>
      <c r="C105" s="7" t="s">
        <v>4012</v>
      </c>
      <c r="D105" s="7" t="s">
        <v>16</v>
      </c>
      <c r="E105" s="7" t="s">
        <v>3803</v>
      </c>
      <c r="F105" s="7" t="s">
        <v>3993</v>
      </c>
    </row>
    <row r="106" ht="22.5" customHeight="1">
      <c r="A106" s="7" t="s">
        <v>2327</v>
      </c>
      <c r="B106" s="8" t="s">
        <v>4011</v>
      </c>
      <c r="C106" s="7" t="s">
        <v>4013</v>
      </c>
      <c r="D106" s="7" t="s">
        <v>26</v>
      </c>
      <c r="E106" s="7" t="s">
        <v>16</v>
      </c>
      <c r="F106" s="7" t="s">
        <v>16</v>
      </c>
    </row>
    <row r="107" ht="22.5" customHeight="1">
      <c r="A107" s="7" t="s">
        <v>3800</v>
      </c>
      <c r="B107" s="8" t="s">
        <v>4014</v>
      </c>
      <c r="C107" s="7" t="s">
        <v>4015</v>
      </c>
      <c r="D107" s="7" t="s">
        <v>16</v>
      </c>
      <c r="E107" s="7" t="s">
        <v>3803</v>
      </c>
      <c r="F107" s="7" t="s">
        <v>3993</v>
      </c>
    </row>
    <row r="108" ht="22.5" customHeight="1">
      <c r="A108" s="7" t="s">
        <v>3800</v>
      </c>
      <c r="B108" s="8" t="s">
        <v>4016</v>
      </c>
      <c r="C108" s="7" t="s">
        <v>4017</v>
      </c>
      <c r="D108" s="7" t="s">
        <v>16</v>
      </c>
      <c r="E108" s="7" t="s">
        <v>3803</v>
      </c>
      <c r="F108" s="7" t="s">
        <v>3993</v>
      </c>
    </row>
    <row r="109" ht="22.5" customHeight="1">
      <c r="A109" s="7" t="s">
        <v>3800</v>
      </c>
      <c r="B109" s="8" t="s">
        <v>4016</v>
      </c>
      <c r="C109" s="7" t="s">
        <v>4018</v>
      </c>
      <c r="D109" s="7" t="s">
        <v>26</v>
      </c>
      <c r="E109" s="7" t="s">
        <v>16</v>
      </c>
      <c r="F109" s="7" t="s">
        <v>16</v>
      </c>
    </row>
    <row r="110" ht="22.5" customHeight="1">
      <c r="A110" s="7" t="s">
        <v>3807</v>
      </c>
      <c r="B110" s="8" t="s">
        <v>4019</v>
      </c>
      <c r="C110" s="7" t="s">
        <v>4020</v>
      </c>
      <c r="D110" s="7" t="s">
        <v>16</v>
      </c>
      <c r="E110" s="7" t="s">
        <v>3803</v>
      </c>
      <c r="F110" s="7" t="s">
        <v>3993</v>
      </c>
    </row>
    <row r="111" ht="22.5" customHeight="1">
      <c r="A111" s="7" t="s">
        <v>3807</v>
      </c>
      <c r="B111" s="8" t="s">
        <v>4019</v>
      </c>
      <c r="C111" s="7" t="s">
        <v>4021</v>
      </c>
      <c r="D111" s="7" t="s">
        <v>105</v>
      </c>
      <c r="E111" s="7" t="s">
        <v>16</v>
      </c>
      <c r="F111" s="7" t="s">
        <v>16</v>
      </c>
    </row>
    <row r="112" ht="22.5" customHeight="1">
      <c r="A112" s="7" t="s">
        <v>2327</v>
      </c>
      <c r="B112" s="8" t="s">
        <v>4022</v>
      </c>
      <c r="C112" s="7" t="s">
        <v>4023</v>
      </c>
      <c r="D112" s="7" t="s">
        <v>16</v>
      </c>
      <c r="E112" s="7" t="s">
        <v>3812</v>
      </c>
      <c r="F112" s="7" t="s">
        <v>16</v>
      </c>
    </row>
    <row r="113" ht="22.5" customHeight="1">
      <c r="A113" s="7" t="s">
        <v>3800</v>
      </c>
      <c r="B113" s="8" t="s">
        <v>4024</v>
      </c>
      <c r="C113" s="7" t="s">
        <v>4025</v>
      </c>
      <c r="D113" s="7" t="s">
        <v>16</v>
      </c>
      <c r="E113" s="7" t="s">
        <v>3799</v>
      </c>
      <c r="F113" s="7" t="s">
        <v>16</v>
      </c>
    </row>
    <row r="114" ht="22.5" customHeight="1">
      <c r="A114" s="7" t="s">
        <v>3800</v>
      </c>
      <c r="B114" s="8" t="s">
        <v>4026</v>
      </c>
      <c r="C114" s="7" t="s">
        <v>4027</v>
      </c>
      <c r="D114" s="7" t="s">
        <v>26</v>
      </c>
      <c r="E114" s="7" t="s">
        <v>16</v>
      </c>
      <c r="F114" s="7" t="s">
        <v>16</v>
      </c>
    </row>
    <row r="115" ht="22.5" customHeight="1">
      <c r="A115" s="7" t="s">
        <v>3800</v>
      </c>
      <c r="B115" s="8" t="s">
        <v>4026</v>
      </c>
      <c r="C115" s="7" t="s">
        <v>4028</v>
      </c>
      <c r="D115" s="7" t="s">
        <v>26</v>
      </c>
      <c r="E115" s="7" t="s">
        <v>16</v>
      </c>
      <c r="F115" s="7" t="s">
        <v>16</v>
      </c>
    </row>
    <row r="116" ht="22.5" customHeight="1">
      <c r="A116" s="7" t="s">
        <v>3807</v>
      </c>
      <c r="B116" s="8" t="s">
        <v>4029</v>
      </c>
      <c r="C116" s="7" t="s">
        <v>4030</v>
      </c>
      <c r="D116" s="7" t="s">
        <v>16</v>
      </c>
      <c r="E116" s="7" t="s">
        <v>3806</v>
      </c>
      <c r="F116" s="7" t="s">
        <v>16</v>
      </c>
    </row>
    <row r="117" ht="22.5" customHeight="1">
      <c r="A117" s="7" t="s">
        <v>2725</v>
      </c>
      <c r="B117" s="8" t="s">
        <v>4031</v>
      </c>
      <c r="C117" s="7" t="s">
        <v>4032</v>
      </c>
      <c r="D117" s="7" t="s">
        <v>4033</v>
      </c>
      <c r="E117" s="7" t="s">
        <v>3803</v>
      </c>
      <c r="F117" s="7" t="s">
        <v>16</v>
      </c>
    </row>
    <row r="118" ht="22.5" customHeight="1">
      <c r="A118" s="7" t="s">
        <v>3800</v>
      </c>
      <c r="B118" s="8" t="s">
        <v>4034</v>
      </c>
      <c r="C118" s="7" t="s">
        <v>4035</v>
      </c>
      <c r="D118" s="7" t="s">
        <v>16</v>
      </c>
      <c r="E118" s="7" t="s">
        <v>3803</v>
      </c>
      <c r="F118" s="7" t="s">
        <v>3964</v>
      </c>
    </row>
    <row r="119" ht="22.5" customHeight="1">
      <c r="A119" s="7" t="s">
        <v>3800</v>
      </c>
      <c r="B119" s="8" t="s">
        <v>4036</v>
      </c>
      <c r="C119" s="7" t="s">
        <v>4037</v>
      </c>
      <c r="D119" s="7" t="s">
        <v>16</v>
      </c>
      <c r="E119" s="7" t="s">
        <v>3806</v>
      </c>
      <c r="F119" s="7" t="s">
        <v>16</v>
      </c>
    </row>
    <row r="120" ht="22.5" customHeight="1">
      <c r="A120" s="7" t="s">
        <v>2327</v>
      </c>
      <c r="B120" s="8" t="s">
        <v>4038</v>
      </c>
      <c r="C120" s="7" t="s">
        <v>4039</v>
      </c>
      <c r="D120" s="7" t="s">
        <v>3934</v>
      </c>
      <c r="E120" s="7" t="s">
        <v>3803</v>
      </c>
      <c r="F120" s="7" t="s">
        <v>3934</v>
      </c>
    </row>
    <row r="121" ht="22.5" customHeight="1">
      <c r="A121" s="7" t="s">
        <v>3800</v>
      </c>
      <c r="B121" s="8" t="s">
        <v>4040</v>
      </c>
      <c r="C121" s="7" t="s">
        <v>4041</v>
      </c>
      <c r="D121" s="7" t="s">
        <v>26</v>
      </c>
      <c r="E121" s="7" t="s">
        <v>16</v>
      </c>
      <c r="F121" s="7" t="s">
        <v>16</v>
      </c>
    </row>
    <row r="122" ht="22.5" customHeight="1">
      <c r="A122" s="7" t="s">
        <v>2725</v>
      </c>
      <c r="B122" s="8" t="s">
        <v>4042</v>
      </c>
      <c r="C122" s="7" t="s">
        <v>4043</v>
      </c>
      <c r="D122" s="7" t="s">
        <v>16</v>
      </c>
      <c r="E122" s="7" t="s">
        <v>3803</v>
      </c>
      <c r="F122" s="7" t="s">
        <v>3816</v>
      </c>
    </row>
    <row r="123" ht="22.5" customHeight="1">
      <c r="A123" s="7" t="s">
        <v>3800</v>
      </c>
      <c r="B123" s="8" t="s">
        <v>4044</v>
      </c>
      <c r="C123" s="7" t="s">
        <v>4045</v>
      </c>
      <c r="D123" s="7" t="s">
        <v>16</v>
      </c>
      <c r="E123" s="7" t="s">
        <v>3812</v>
      </c>
      <c r="F123" s="7" t="s">
        <v>16</v>
      </c>
    </row>
    <row r="124" ht="22.5" customHeight="1">
      <c r="A124" s="7" t="s">
        <v>3800</v>
      </c>
      <c r="B124" s="8" t="s">
        <v>4046</v>
      </c>
      <c r="C124" s="7" t="s">
        <v>4047</v>
      </c>
      <c r="D124" s="7" t="s">
        <v>16</v>
      </c>
      <c r="E124" s="7" t="s">
        <v>3806</v>
      </c>
      <c r="F124" s="7" t="s">
        <v>16</v>
      </c>
    </row>
    <row r="125" ht="22.5" customHeight="1">
      <c r="A125" s="7" t="s">
        <v>3800</v>
      </c>
      <c r="B125" s="8" t="s">
        <v>4048</v>
      </c>
      <c r="C125" s="7" t="s">
        <v>4049</v>
      </c>
      <c r="D125" s="7" t="s">
        <v>16</v>
      </c>
      <c r="E125" s="7" t="s">
        <v>3803</v>
      </c>
      <c r="F125" s="7" t="s">
        <v>3850</v>
      </c>
    </row>
    <row r="126" ht="22.5" customHeight="1">
      <c r="A126" s="7" t="s">
        <v>3800</v>
      </c>
      <c r="B126" s="8" t="s">
        <v>4050</v>
      </c>
      <c r="C126" s="7" t="s">
        <v>4051</v>
      </c>
      <c r="D126" s="7" t="s">
        <v>16</v>
      </c>
      <c r="E126" s="7" t="s">
        <v>3812</v>
      </c>
      <c r="F126" s="7" t="s">
        <v>16</v>
      </c>
    </row>
    <row r="127" ht="22.5" customHeight="1">
      <c r="A127" s="7" t="s">
        <v>3800</v>
      </c>
      <c r="B127" s="8" t="s">
        <v>4052</v>
      </c>
      <c r="C127" s="7" t="s">
        <v>4053</v>
      </c>
      <c r="D127" s="7" t="s">
        <v>151</v>
      </c>
      <c r="E127" s="7" t="s">
        <v>3799</v>
      </c>
      <c r="F127" s="7" t="s">
        <v>16</v>
      </c>
    </row>
    <row r="128" ht="22.5" customHeight="1">
      <c r="A128" s="7" t="s">
        <v>3800</v>
      </c>
      <c r="B128" s="8" t="s">
        <v>4054</v>
      </c>
      <c r="C128" s="7" t="s">
        <v>4055</v>
      </c>
      <c r="D128" s="7" t="s">
        <v>16</v>
      </c>
      <c r="E128" s="7" t="s">
        <v>3799</v>
      </c>
      <c r="F128" s="7" t="s">
        <v>16</v>
      </c>
    </row>
    <row r="129" ht="22.5" customHeight="1">
      <c r="A129" s="7" t="s">
        <v>3800</v>
      </c>
      <c r="B129" s="8" t="s">
        <v>4054</v>
      </c>
      <c r="C129" s="7" t="s">
        <v>4056</v>
      </c>
      <c r="D129" s="7" t="s">
        <v>26</v>
      </c>
      <c r="E129" s="7" t="s">
        <v>16</v>
      </c>
      <c r="F129" s="7" t="s">
        <v>16</v>
      </c>
    </row>
    <row r="130" ht="22.5" customHeight="1">
      <c r="A130" s="7" t="s">
        <v>3800</v>
      </c>
      <c r="B130" s="8" t="s">
        <v>4054</v>
      </c>
      <c r="C130" s="7" t="s">
        <v>4057</v>
      </c>
      <c r="D130" s="7" t="s">
        <v>26</v>
      </c>
      <c r="E130" s="7" t="s">
        <v>16</v>
      </c>
      <c r="F130" s="7" t="s">
        <v>16</v>
      </c>
    </row>
    <row r="131" ht="22.5" customHeight="1">
      <c r="A131" s="7" t="s">
        <v>2725</v>
      </c>
      <c r="B131" s="8" t="s">
        <v>4058</v>
      </c>
      <c r="C131" s="7" t="s">
        <v>4059</v>
      </c>
      <c r="D131" s="7" t="s">
        <v>16</v>
      </c>
      <c r="E131" s="7" t="s">
        <v>3799</v>
      </c>
      <c r="F131" s="7" t="s">
        <v>16</v>
      </c>
    </row>
    <row r="132" ht="22.5" customHeight="1">
      <c r="A132" s="7" t="s">
        <v>3800</v>
      </c>
      <c r="B132" s="8" t="s">
        <v>4060</v>
      </c>
      <c r="C132" s="7" t="s">
        <v>4061</v>
      </c>
      <c r="D132" s="7" t="s">
        <v>16</v>
      </c>
      <c r="E132" s="7" t="s">
        <v>3806</v>
      </c>
      <c r="F132" s="7" t="s">
        <v>3884</v>
      </c>
    </row>
    <row r="133" ht="22.5" customHeight="1">
      <c r="A133" s="7" t="s">
        <v>3800</v>
      </c>
      <c r="B133" s="8" t="s">
        <v>4062</v>
      </c>
      <c r="C133" s="7" t="s">
        <v>4063</v>
      </c>
      <c r="D133" s="7" t="s">
        <v>16</v>
      </c>
      <c r="E133" s="7" t="s">
        <v>3806</v>
      </c>
      <c r="F133" s="7" t="s">
        <v>16</v>
      </c>
    </row>
    <row r="134" ht="22.5" customHeight="1">
      <c r="A134" s="7" t="s">
        <v>3837</v>
      </c>
      <c r="B134" s="8" t="s">
        <v>4064</v>
      </c>
      <c r="C134" s="7" t="s">
        <v>4065</v>
      </c>
      <c r="D134" s="7" t="s">
        <v>16</v>
      </c>
      <c r="E134" s="7" t="s">
        <v>3806</v>
      </c>
      <c r="F134" s="7" t="s">
        <v>16</v>
      </c>
    </row>
    <row r="135" ht="22.5" customHeight="1">
      <c r="A135" s="7" t="s">
        <v>2725</v>
      </c>
      <c r="B135" s="8" t="s">
        <v>4066</v>
      </c>
      <c r="C135" s="7" t="s">
        <v>4067</v>
      </c>
      <c r="D135" s="7" t="s">
        <v>16</v>
      </c>
      <c r="E135" s="7" t="s">
        <v>3806</v>
      </c>
      <c r="F135" s="7" t="s">
        <v>4068</v>
      </c>
    </row>
    <row r="136" ht="22.5" customHeight="1">
      <c r="A136" s="7" t="s">
        <v>2725</v>
      </c>
      <c r="B136" s="8" t="s">
        <v>4069</v>
      </c>
      <c r="C136" s="7" t="s">
        <v>4070</v>
      </c>
      <c r="D136" s="7" t="s">
        <v>16</v>
      </c>
      <c r="E136" s="7" t="s">
        <v>3799</v>
      </c>
      <c r="F136" s="7" t="s">
        <v>16</v>
      </c>
    </row>
    <row r="137" ht="22.5" customHeight="1">
      <c r="A137" s="7" t="s">
        <v>2725</v>
      </c>
      <c r="B137" s="8" t="s">
        <v>4071</v>
      </c>
      <c r="C137" s="7" t="s">
        <v>4072</v>
      </c>
      <c r="D137" s="7" t="s">
        <v>16</v>
      </c>
      <c r="E137" s="7" t="s">
        <v>3799</v>
      </c>
      <c r="F137" s="7" t="s">
        <v>16</v>
      </c>
    </row>
    <row r="138" ht="22.5" customHeight="1">
      <c r="A138" s="7" t="s">
        <v>3807</v>
      </c>
      <c r="B138" s="8" t="s">
        <v>4073</v>
      </c>
      <c r="C138" s="7" t="s">
        <v>4074</v>
      </c>
      <c r="D138" s="7" t="s">
        <v>16</v>
      </c>
      <c r="E138" s="7" t="s">
        <v>3799</v>
      </c>
      <c r="F138" s="7" t="s">
        <v>16</v>
      </c>
    </row>
    <row r="139" ht="22.5" customHeight="1">
      <c r="A139" s="7" t="s">
        <v>2725</v>
      </c>
      <c r="B139" s="8" t="s">
        <v>4075</v>
      </c>
      <c r="C139" s="7" t="s">
        <v>4076</v>
      </c>
      <c r="D139" s="7" t="s">
        <v>16</v>
      </c>
      <c r="E139" s="7" t="s">
        <v>3799</v>
      </c>
      <c r="F139" s="7" t="s">
        <v>16</v>
      </c>
    </row>
    <row r="140" ht="22.5" customHeight="1">
      <c r="A140" s="7" t="s">
        <v>2327</v>
      </c>
      <c r="B140" s="8" t="s">
        <v>4077</v>
      </c>
      <c r="C140" s="7" t="s">
        <v>4078</v>
      </c>
      <c r="D140" s="7" t="s">
        <v>26</v>
      </c>
      <c r="E140" s="7" t="s">
        <v>16</v>
      </c>
      <c r="F140" s="7" t="s">
        <v>16</v>
      </c>
    </row>
    <row r="141" ht="22.5" customHeight="1">
      <c r="A141" s="7" t="s">
        <v>3800</v>
      </c>
      <c r="B141" s="8" t="s">
        <v>4079</v>
      </c>
      <c r="C141" s="7" t="s">
        <v>4080</v>
      </c>
      <c r="D141" s="7" t="s">
        <v>26</v>
      </c>
      <c r="E141" s="7" t="s">
        <v>16</v>
      </c>
      <c r="F141" s="7" t="s">
        <v>16</v>
      </c>
    </row>
    <row r="142" ht="22.5" customHeight="1">
      <c r="A142" s="7" t="s">
        <v>3827</v>
      </c>
      <c r="B142" s="8" t="s">
        <v>4081</v>
      </c>
      <c r="C142" s="7" t="s">
        <v>4082</v>
      </c>
      <c r="D142" s="7" t="s">
        <v>16</v>
      </c>
      <c r="E142" s="7" t="s">
        <v>3799</v>
      </c>
      <c r="F142" s="7" t="s">
        <v>16</v>
      </c>
    </row>
    <row r="143" ht="22.5" customHeight="1">
      <c r="A143" s="7" t="s">
        <v>2725</v>
      </c>
      <c r="B143" s="8" t="s">
        <v>4083</v>
      </c>
      <c r="C143" s="7" t="s">
        <v>4084</v>
      </c>
      <c r="D143" s="7" t="s">
        <v>26</v>
      </c>
      <c r="E143" s="7" t="s">
        <v>16</v>
      </c>
      <c r="F143" s="7" t="s">
        <v>16</v>
      </c>
    </row>
    <row r="144" ht="22.5" customHeight="1">
      <c r="A144" s="7" t="s">
        <v>3827</v>
      </c>
      <c r="B144" s="8" t="s">
        <v>4085</v>
      </c>
      <c r="C144" s="7" t="s">
        <v>4086</v>
      </c>
      <c r="D144" s="7" t="s">
        <v>26</v>
      </c>
      <c r="E144" s="7" t="s">
        <v>16</v>
      </c>
      <c r="F144" s="7" t="s">
        <v>16</v>
      </c>
    </row>
    <row r="145" ht="22.5" customHeight="1">
      <c r="A145" s="7" t="s">
        <v>3807</v>
      </c>
      <c r="B145" s="8" t="s">
        <v>4087</v>
      </c>
      <c r="C145" s="7" t="s">
        <v>4088</v>
      </c>
      <c r="D145" s="7" t="s">
        <v>16</v>
      </c>
      <c r="E145" s="7" t="s">
        <v>3806</v>
      </c>
      <c r="F145" s="7" t="s">
        <v>4068</v>
      </c>
    </row>
    <row r="146" ht="22.5" customHeight="1">
      <c r="A146" s="7" t="s">
        <v>2725</v>
      </c>
      <c r="B146" s="8" t="s">
        <v>4089</v>
      </c>
      <c r="C146" s="7" t="s">
        <v>4090</v>
      </c>
      <c r="D146" s="7" t="s">
        <v>16</v>
      </c>
      <c r="E146" s="7" t="s">
        <v>3799</v>
      </c>
      <c r="F146" s="7" t="s">
        <v>16</v>
      </c>
    </row>
    <row r="147" ht="22.5" customHeight="1">
      <c r="A147" s="7" t="s">
        <v>2725</v>
      </c>
      <c r="B147" s="8" t="s">
        <v>4091</v>
      </c>
      <c r="C147" s="7" t="s">
        <v>4092</v>
      </c>
      <c r="D147" s="7" t="s">
        <v>26</v>
      </c>
      <c r="E147" s="7" t="s">
        <v>16</v>
      </c>
      <c r="F147" s="7" t="s">
        <v>16</v>
      </c>
    </row>
    <row r="148" ht="22.5" customHeight="1">
      <c r="A148" s="7" t="s">
        <v>3800</v>
      </c>
      <c r="B148" s="8" t="s">
        <v>4093</v>
      </c>
      <c r="C148" s="7" t="s">
        <v>4094</v>
      </c>
      <c r="D148" s="7" t="s">
        <v>16</v>
      </c>
      <c r="E148" s="7" t="s">
        <v>3799</v>
      </c>
      <c r="F148" s="7" t="s">
        <v>16</v>
      </c>
    </row>
    <row r="149" ht="22.5" customHeight="1">
      <c r="A149" s="7" t="s">
        <v>3827</v>
      </c>
      <c r="B149" s="8" t="s">
        <v>4095</v>
      </c>
      <c r="C149" s="7" t="s">
        <v>4096</v>
      </c>
      <c r="D149" s="7" t="s">
        <v>16</v>
      </c>
      <c r="E149" s="7" t="s">
        <v>3799</v>
      </c>
      <c r="F149" s="7" t="s">
        <v>16</v>
      </c>
    </row>
    <row r="150" ht="22.5" customHeight="1">
      <c r="A150" s="7" t="s">
        <v>3827</v>
      </c>
      <c r="B150" s="8" t="s">
        <v>4097</v>
      </c>
      <c r="C150" s="7" t="s">
        <v>4098</v>
      </c>
      <c r="D150" s="7" t="s">
        <v>26</v>
      </c>
      <c r="E150" s="7" t="s">
        <v>16</v>
      </c>
      <c r="F150" s="7" t="s">
        <v>16</v>
      </c>
    </row>
    <row r="151" ht="22.5" customHeight="1">
      <c r="A151" s="7" t="s">
        <v>3800</v>
      </c>
      <c r="B151" s="8" t="s">
        <v>4099</v>
      </c>
      <c r="C151" s="7" t="s">
        <v>4100</v>
      </c>
      <c r="D151" s="7" t="s">
        <v>26</v>
      </c>
      <c r="E151" s="7" t="s">
        <v>16</v>
      </c>
      <c r="F151" s="7" t="s">
        <v>16</v>
      </c>
    </row>
    <row r="152" ht="22.5" customHeight="1">
      <c r="A152" s="7" t="s">
        <v>3800</v>
      </c>
      <c r="B152" s="8" t="s">
        <v>4101</v>
      </c>
      <c r="C152" s="7" t="s">
        <v>4102</v>
      </c>
      <c r="D152" s="7" t="s">
        <v>26</v>
      </c>
      <c r="E152" s="7" t="s">
        <v>16</v>
      </c>
      <c r="F152" s="7" t="s">
        <v>16</v>
      </c>
    </row>
    <row r="153" ht="22.5" customHeight="1">
      <c r="A153" s="7" t="s">
        <v>3871</v>
      </c>
      <c r="B153" s="8" t="s">
        <v>4103</v>
      </c>
      <c r="C153" s="7" t="s">
        <v>4104</v>
      </c>
      <c r="D153" s="7" t="s">
        <v>3871</v>
      </c>
      <c r="E153" s="7" t="s">
        <v>3806</v>
      </c>
      <c r="F153" s="7" t="s">
        <v>16</v>
      </c>
    </row>
    <row r="154" ht="22.5" customHeight="1">
      <c r="A154" s="7" t="s">
        <v>3807</v>
      </c>
      <c r="B154" s="8" t="s">
        <v>4105</v>
      </c>
      <c r="C154" s="7" t="s">
        <v>4106</v>
      </c>
      <c r="D154" s="7" t="s">
        <v>16</v>
      </c>
      <c r="E154" s="7" t="s">
        <v>3799</v>
      </c>
      <c r="F154" s="7" t="s">
        <v>4107</v>
      </c>
    </row>
    <row r="155" ht="22.5" customHeight="1">
      <c r="A155" s="7" t="s">
        <v>3827</v>
      </c>
      <c r="B155" s="8" t="s">
        <v>4108</v>
      </c>
      <c r="C155" s="7" t="s">
        <v>4109</v>
      </c>
      <c r="D155" s="7" t="s">
        <v>26</v>
      </c>
      <c r="E155" s="7" t="s">
        <v>16</v>
      </c>
      <c r="F155" s="7" t="s">
        <v>16</v>
      </c>
    </row>
    <row r="156" ht="22.5" customHeight="1">
      <c r="A156" s="7" t="s">
        <v>3827</v>
      </c>
      <c r="B156" s="8" t="s">
        <v>4108</v>
      </c>
      <c r="C156" s="7" t="s">
        <v>4110</v>
      </c>
      <c r="D156" s="7" t="s">
        <v>26</v>
      </c>
      <c r="E156" s="7" t="s">
        <v>16</v>
      </c>
      <c r="F156" s="7" t="s">
        <v>16</v>
      </c>
    </row>
    <row r="157" ht="22.5" customHeight="1">
      <c r="A157" s="7" t="s">
        <v>3800</v>
      </c>
      <c r="B157" s="8" t="s">
        <v>4111</v>
      </c>
      <c r="C157" s="7" t="s">
        <v>4112</v>
      </c>
      <c r="D157" s="7" t="s">
        <v>16</v>
      </c>
      <c r="E157" s="7" t="s">
        <v>3806</v>
      </c>
      <c r="F157" s="7" t="s">
        <v>16</v>
      </c>
    </row>
    <row r="158" ht="22.5" customHeight="1">
      <c r="A158" s="7" t="s">
        <v>3800</v>
      </c>
      <c r="B158" s="8" t="s">
        <v>4113</v>
      </c>
      <c r="C158" s="7" t="s">
        <v>4114</v>
      </c>
      <c r="D158" s="7" t="s">
        <v>26</v>
      </c>
      <c r="E158" s="7" t="s">
        <v>16</v>
      </c>
      <c r="F158" s="7" t="s">
        <v>16</v>
      </c>
    </row>
    <row r="159" ht="22.5" customHeight="1">
      <c r="A159" s="7" t="s">
        <v>3800</v>
      </c>
      <c r="B159" s="8" t="s">
        <v>4115</v>
      </c>
      <c r="C159" s="7" t="s">
        <v>4116</v>
      </c>
      <c r="D159" s="7" t="s">
        <v>16</v>
      </c>
      <c r="E159" s="7" t="s">
        <v>3799</v>
      </c>
      <c r="F159" s="7" t="s">
        <v>16</v>
      </c>
    </row>
    <row r="160" ht="22.5" customHeight="1">
      <c r="A160" s="7" t="s">
        <v>3807</v>
      </c>
      <c r="B160" s="8" t="s">
        <v>4117</v>
      </c>
      <c r="C160" s="7" t="s">
        <v>4118</v>
      </c>
      <c r="D160" s="7" t="s">
        <v>16</v>
      </c>
      <c r="E160" s="7" t="s">
        <v>3803</v>
      </c>
      <c r="F160" s="7" t="s">
        <v>16</v>
      </c>
    </row>
    <row r="161" ht="22.5" customHeight="1">
      <c r="A161" s="7" t="s">
        <v>3827</v>
      </c>
      <c r="B161" s="8" t="s">
        <v>4119</v>
      </c>
      <c r="C161" s="7" t="s">
        <v>4120</v>
      </c>
      <c r="D161" s="7" t="s">
        <v>26</v>
      </c>
      <c r="E161" s="7" t="s">
        <v>16</v>
      </c>
      <c r="F161" s="7" t="s">
        <v>16</v>
      </c>
    </row>
    <row r="162" ht="22.5" customHeight="1">
      <c r="A162" s="7" t="s">
        <v>3827</v>
      </c>
      <c r="B162" s="8" t="s">
        <v>4121</v>
      </c>
      <c r="C162" s="7" t="s">
        <v>4122</v>
      </c>
      <c r="D162" s="7" t="s">
        <v>26</v>
      </c>
      <c r="E162" s="7" t="s">
        <v>16</v>
      </c>
      <c r="F162" s="7" t="s">
        <v>16</v>
      </c>
    </row>
    <row r="163" ht="22.5" customHeight="1">
      <c r="A163" s="7" t="s">
        <v>3827</v>
      </c>
      <c r="B163" s="8" t="s">
        <v>4123</v>
      </c>
      <c r="C163" s="7" t="s">
        <v>4124</v>
      </c>
      <c r="D163" s="7" t="s">
        <v>26</v>
      </c>
      <c r="E163" s="7" t="s">
        <v>16</v>
      </c>
      <c r="F163" s="7" t="s">
        <v>16</v>
      </c>
    </row>
    <row r="164" ht="22.5" customHeight="1">
      <c r="A164" s="7" t="s">
        <v>3827</v>
      </c>
      <c r="B164" s="8" t="s">
        <v>4125</v>
      </c>
      <c r="C164" s="7" t="s">
        <v>4126</v>
      </c>
      <c r="D164" s="7" t="s">
        <v>26</v>
      </c>
      <c r="E164" s="7" t="s">
        <v>16</v>
      </c>
      <c r="F164" s="7" t="s">
        <v>16</v>
      </c>
    </row>
    <row r="165" ht="22.5" customHeight="1">
      <c r="A165" s="7" t="s">
        <v>2327</v>
      </c>
      <c r="B165" s="8" t="s">
        <v>4127</v>
      </c>
      <c r="C165" s="7" t="s">
        <v>4128</v>
      </c>
      <c r="D165" s="7" t="s">
        <v>26</v>
      </c>
      <c r="E165" s="7" t="s">
        <v>16</v>
      </c>
      <c r="F165" s="7" t="s">
        <v>16</v>
      </c>
    </row>
    <row r="166" ht="22.5" customHeight="1">
      <c r="A166" s="7" t="s">
        <v>2327</v>
      </c>
      <c r="B166" s="8" t="s">
        <v>4129</v>
      </c>
      <c r="C166" s="7" t="s">
        <v>4130</v>
      </c>
      <c r="D166" s="7" t="s">
        <v>16</v>
      </c>
      <c r="E166" s="7" t="s">
        <v>3806</v>
      </c>
      <c r="F166" s="7" t="s">
        <v>16</v>
      </c>
    </row>
    <row r="167" ht="22.5" customHeight="1">
      <c r="A167" s="7" t="s">
        <v>3827</v>
      </c>
      <c r="B167" s="8" t="s">
        <v>4131</v>
      </c>
      <c r="C167" s="7" t="s">
        <v>4132</v>
      </c>
      <c r="D167" s="7" t="s">
        <v>26</v>
      </c>
      <c r="E167" s="7" t="s">
        <v>16</v>
      </c>
      <c r="F167" s="7" t="s">
        <v>16</v>
      </c>
    </row>
    <row r="168" ht="22.5" customHeight="1">
      <c r="A168" s="7" t="s">
        <v>3800</v>
      </c>
      <c r="B168" s="8" t="s">
        <v>4133</v>
      </c>
      <c r="C168" s="7" t="s">
        <v>4134</v>
      </c>
      <c r="D168" s="7" t="s">
        <v>16</v>
      </c>
      <c r="E168" s="7" t="s">
        <v>3799</v>
      </c>
      <c r="F168" s="7" t="s">
        <v>16</v>
      </c>
    </row>
    <row r="169" ht="22.5" customHeight="1">
      <c r="A169" s="7" t="s">
        <v>3837</v>
      </c>
      <c r="B169" s="8" t="s">
        <v>4135</v>
      </c>
      <c r="C169" s="7" t="s">
        <v>4136</v>
      </c>
      <c r="D169" s="7" t="s">
        <v>16</v>
      </c>
      <c r="E169" s="7" t="s">
        <v>3799</v>
      </c>
      <c r="F169" s="7" t="s">
        <v>16</v>
      </c>
    </row>
    <row r="170" ht="22.5" customHeight="1">
      <c r="A170" s="7" t="s">
        <v>3807</v>
      </c>
      <c r="B170" s="8" t="s">
        <v>4137</v>
      </c>
      <c r="C170" s="7" t="s">
        <v>4138</v>
      </c>
      <c r="D170" s="7" t="s">
        <v>16</v>
      </c>
      <c r="E170" s="7" t="s">
        <v>3799</v>
      </c>
      <c r="F170" s="7" t="s">
        <v>16</v>
      </c>
    </row>
    <row r="171" ht="22.5" customHeight="1">
      <c r="A171" s="7" t="s">
        <v>3807</v>
      </c>
      <c r="B171" s="8" t="s">
        <v>4137</v>
      </c>
      <c r="C171" s="7" t="s">
        <v>4139</v>
      </c>
      <c r="D171" s="7" t="s">
        <v>26</v>
      </c>
      <c r="E171" s="7" t="s">
        <v>16</v>
      </c>
      <c r="F171" s="7" t="s">
        <v>16</v>
      </c>
    </row>
    <row r="172" ht="22.5" customHeight="1">
      <c r="A172" s="7" t="s">
        <v>2725</v>
      </c>
      <c r="B172" s="8" t="s">
        <v>4140</v>
      </c>
      <c r="C172" s="7" t="s">
        <v>4141</v>
      </c>
      <c r="D172" s="7" t="s">
        <v>26</v>
      </c>
      <c r="E172" s="7" t="s">
        <v>16</v>
      </c>
      <c r="F172" s="7" t="s">
        <v>16</v>
      </c>
    </row>
    <row r="173" ht="22.5" customHeight="1">
      <c r="A173" s="7" t="s">
        <v>3800</v>
      </c>
      <c r="B173" s="8" t="s">
        <v>4142</v>
      </c>
      <c r="C173" s="7" t="s">
        <v>4143</v>
      </c>
      <c r="D173" s="7" t="s">
        <v>16</v>
      </c>
      <c r="E173" s="7" t="s">
        <v>3799</v>
      </c>
      <c r="F173" s="7" t="s">
        <v>16</v>
      </c>
    </row>
    <row r="174" ht="22.5" customHeight="1">
      <c r="A174" s="7" t="s">
        <v>3827</v>
      </c>
      <c r="B174" s="8" t="s">
        <v>4144</v>
      </c>
      <c r="C174" s="7" t="s">
        <v>4145</v>
      </c>
      <c r="D174" s="7" t="s">
        <v>26</v>
      </c>
      <c r="E174" s="7" t="s">
        <v>16</v>
      </c>
      <c r="F174" s="7" t="s">
        <v>16</v>
      </c>
    </row>
    <row r="175" ht="22.5" customHeight="1">
      <c r="A175" s="7" t="s">
        <v>3800</v>
      </c>
      <c r="B175" s="8" t="s">
        <v>4146</v>
      </c>
      <c r="C175" s="7" t="s">
        <v>4147</v>
      </c>
      <c r="D175" s="7" t="s">
        <v>26</v>
      </c>
      <c r="E175" s="7" t="s">
        <v>16</v>
      </c>
      <c r="F175" s="7" t="s">
        <v>16</v>
      </c>
    </row>
    <row r="176" ht="22.5" customHeight="1">
      <c r="A176" s="7" t="s">
        <v>3800</v>
      </c>
      <c r="B176" s="8" t="s">
        <v>4148</v>
      </c>
      <c r="C176" s="7" t="s">
        <v>4149</v>
      </c>
      <c r="D176" s="7" t="s">
        <v>16</v>
      </c>
      <c r="E176" s="7" t="s">
        <v>3799</v>
      </c>
      <c r="F176" s="7" t="s">
        <v>16</v>
      </c>
    </row>
    <row r="177" ht="22.5" customHeight="1">
      <c r="A177" s="7" t="s">
        <v>2327</v>
      </c>
      <c r="B177" s="8" t="s">
        <v>4150</v>
      </c>
      <c r="C177" s="7" t="s">
        <v>4151</v>
      </c>
      <c r="D177" s="7" t="s">
        <v>16</v>
      </c>
      <c r="E177" s="7" t="s">
        <v>3812</v>
      </c>
      <c r="F177" s="7" t="s">
        <v>3945</v>
      </c>
    </row>
    <row r="178" ht="22.5" customHeight="1">
      <c r="A178" s="7" t="s">
        <v>3827</v>
      </c>
      <c r="B178" s="8" t="s">
        <v>4152</v>
      </c>
      <c r="C178" s="7" t="s">
        <v>4153</v>
      </c>
      <c r="D178" s="7" t="s">
        <v>16</v>
      </c>
      <c r="E178" s="7" t="s">
        <v>3799</v>
      </c>
      <c r="F178" s="7" t="s">
        <v>3945</v>
      </c>
    </row>
    <row r="179" ht="22.5" customHeight="1">
      <c r="A179" s="7" t="s">
        <v>3800</v>
      </c>
      <c r="B179" s="8" t="s">
        <v>4154</v>
      </c>
      <c r="C179" s="7" t="s">
        <v>4155</v>
      </c>
      <c r="D179" s="7" t="s">
        <v>16</v>
      </c>
      <c r="E179" s="7" t="s">
        <v>3799</v>
      </c>
      <c r="F179" s="7" t="s">
        <v>3945</v>
      </c>
    </row>
    <row r="180" ht="22.5" customHeight="1">
      <c r="A180" s="7" t="s">
        <v>3800</v>
      </c>
      <c r="B180" s="8" t="s">
        <v>4156</v>
      </c>
      <c r="C180" s="7" t="s">
        <v>4157</v>
      </c>
      <c r="D180" s="7" t="s">
        <v>16</v>
      </c>
      <c r="E180" s="7" t="s">
        <v>3799</v>
      </c>
      <c r="F180" s="7" t="s">
        <v>3945</v>
      </c>
    </row>
    <row r="181" ht="22.5" customHeight="1">
      <c r="A181" s="7" t="s">
        <v>3800</v>
      </c>
      <c r="B181" s="8" t="s">
        <v>4158</v>
      </c>
      <c r="C181" s="7" t="s">
        <v>4159</v>
      </c>
      <c r="D181" s="7" t="s">
        <v>16</v>
      </c>
      <c r="E181" s="7" t="s">
        <v>3799</v>
      </c>
      <c r="F181" s="7" t="s">
        <v>3945</v>
      </c>
    </row>
    <row r="182" ht="22.5" customHeight="1">
      <c r="A182" s="7" t="s">
        <v>3837</v>
      </c>
      <c r="B182" s="8" t="s">
        <v>4160</v>
      </c>
      <c r="C182" s="7" t="s">
        <v>4161</v>
      </c>
      <c r="D182" s="7" t="s">
        <v>16</v>
      </c>
      <c r="E182" s="7" t="s">
        <v>3799</v>
      </c>
      <c r="F182" s="7" t="s">
        <v>3945</v>
      </c>
    </row>
    <row r="183" ht="22.5" customHeight="1">
      <c r="A183" s="7" t="s">
        <v>2725</v>
      </c>
      <c r="B183" s="8" t="s">
        <v>4162</v>
      </c>
      <c r="C183" s="7" t="s">
        <v>4163</v>
      </c>
      <c r="D183" s="7" t="s">
        <v>16</v>
      </c>
      <c r="E183" s="7" t="s">
        <v>3799</v>
      </c>
      <c r="F183" s="7" t="s">
        <v>3945</v>
      </c>
    </row>
    <row r="184" ht="22.5" customHeight="1">
      <c r="A184" s="7" t="s">
        <v>3800</v>
      </c>
      <c r="B184" s="8" t="s">
        <v>4164</v>
      </c>
      <c r="C184" s="7" t="s">
        <v>4165</v>
      </c>
      <c r="D184" s="7" t="s">
        <v>26</v>
      </c>
      <c r="E184" s="7" t="s">
        <v>16</v>
      </c>
      <c r="F184" s="7" t="s">
        <v>16</v>
      </c>
    </row>
    <row r="185" ht="22.5" customHeight="1">
      <c r="A185" s="7" t="s">
        <v>3837</v>
      </c>
      <c r="B185" s="8" t="s">
        <v>4166</v>
      </c>
      <c r="C185" s="7" t="s">
        <v>4167</v>
      </c>
      <c r="D185" s="7" t="s">
        <v>16</v>
      </c>
      <c r="E185" s="7" t="s">
        <v>3799</v>
      </c>
      <c r="F185" s="7" t="s">
        <v>16</v>
      </c>
    </row>
    <row r="186" ht="22.5" customHeight="1">
      <c r="A186" s="7" t="s">
        <v>3837</v>
      </c>
      <c r="B186" s="8" t="s">
        <v>4166</v>
      </c>
      <c r="C186" s="7" t="s">
        <v>4168</v>
      </c>
      <c r="D186" s="7" t="s">
        <v>26</v>
      </c>
      <c r="E186" s="7" t="s">
        <v>16</v>
      </c>
      <c r="F186" s="7" t="s">
        <v>16</v>
      </c>
    </row>
    <row r="187" ht="22.5" customHeight="1">
      <c r="A187" s="7" t="s">
        <v>3800</v>
      </c>
      <c r="B187" s="8" t="s">
        <v>4169</v>
      </c>
      <c r="C187" s="7" t="s">
        <v>4170</v>
      </c>
      <c r="D187" s="7" t="s">
        <v>16</v>
      </c>
      <c r="E187" s="7" t="s">
        <v>3799</v>
      </c>
      <c r="F187" s="7" t="s">
        <v>16</v>
      </c>
    </row>
    <row r="188" ht="22.5" customHeight="1">
      <c r="A188" s="7" t="s">
        <v>3800</v>
      </c>
      <c r="B188" s="8" t="s">
        <v>4171</v>
      </c>
      <c r="C188" s="7" t="s">
        <v>4172</v>
      </c>
      <c r="D188" s="7" t="s">
        <v>16</v>
      </c>
      <c r="E188" s="7" t="s">
        <v>3806</v>
      </c>
      <c r="F188" s="7" t="s">
        <v>16</v>
      </c>
    </row>
    <row r="189" ht="22.5" customHeight="1">
      <c r="A189" s="7" t="s">
        <v>3807</v>
      </c>
      <c r="B189" s="8" t="s">
        <v>4173</v>
      </c>
      <c r="C189" s="7" t="s">
        <v>4174</v>
      </c>
      <c r="D189" s="7" t="s">
        <v>16</v>
      </c>
      <c r="E189" s="7" t="s">
        <v>3806</v>
      </c>
      <c r="F189" s="7" t="s">
        <v>16</v>
      </c>
    </row>
    <row r="190" ht="22.5" customHeight="1">
      <c r="A190" s="7" t="s">
        <v>3807</v>
      </c>
      <c r="B190" s="8" t="s">
        <v>4175</v>
      </c>
      <c r="C190" s="7" t="s">
        <v>4176</v>
      </c>
      <c r="D190" s="7" t="s">
        <v>16</v>
      </c>
      <c r="E190" s="7" t="s">
        <v>3806</v>
      </c>
      <c r="F190" s="7" t="s">
        <v>16</v>
      </c>
    </row>
    <row r="191" ht="22.5" customHeight="1">
      <c r="A191" s="7" t="s">
        <v>3827</v>
      </c>
      <c r="B191" s="8" t="s">
        <v>4177</v>
      </c>
      <c r="C191" s="7" t="s">
        <v>4178</v>
      </c>
      <c r="D191" s="7" t="s">
        <v>16</v>
      </c>
      <c r="E191" s="7" t="s">
        <v>3812</v>
      </c>
      <c r="F191" s="7" t="s">
        <v>4107</v>
      </c>
    </row>
    <row r="192" ht="22.5" customHeight="1">
      <c r="A192" s="7" t="s">
        <v>2327</v>
      </c>
      <c r="B192" s="8" t="s">
        <v>4179</v>
      </c>
      <c r="C192" s="7" t="s">
        <v>4180</v>
      </c>
      <c r="D192" s="7" t="s">
        <v>16</v>
      </c>
      <c r="E192" s="7" t="s">
        <v>3799</v>
      </c>
      <c r="F192" s="7" t="s">
        <v>16</v>
      </c>
    </row>
    <row r="193" ht="22.5" customHeight="1">
      <c r="A193" s="7" t="s">
        <v>2725</v>
      </c>
      <c r="B193" s="8" t="s">
        <v>4181</v>
      </c>
      <c r="C193" s="7" t="s">
        <v>4182</v>
      </c>
      <c r="D193" s="7" t="s">
        <v>16</v>
      </c>
      <c r="E193" s="7" t="s">
        <v>3799</v>
      </c>
      <c r="F193" s="7" t="s">
        <v>16</v>
      </c>
    </row>
    <row r="194" ht="22.5" customHeight="1">
      <c r="A194" s="7" t="s">
        <v>2725</v>
      </c>
      <c r="B194" s="8" t="s">
        <v>4181</v>
      </c>
      <c r="C194" s="7" t="s">
        <v>4183</v>
      </c>
      <c r="D194" s="7" t="s">
        <v>26</v>
      </c>
      <c r="E194" s="7" t="s">
        <v>16</v>
      </c>
      <c r="F194" s="7" t="s">
        <v>16</v>
      </c>
    </row>
    <row r="195" ht="22.5" customHeight="1">
      <c r="A195" s="7" t="s">
        <v>3800</v>
      </c>
      <c r="B195" s="8" t="s">
        <v>4184</v>
      </c>
      <c r="C195" s="7" t="s">
        <v>4185</v>
      </c>
      <c r="D195" s="7" t="s">
        <v>16</v>
      </c>
      <c r="E195" s="7" t="s">
        <v>3799</v>
      </c>
      <c r="F195" s="7" t="s">
        <v>16</v>
      </c>
    </row>
    <row r="196" ht="22.5" customHeight="1">
      <c r="A196" s="7" t="s">
        <v>3800</v>
      </c>
      <c r="B196" s="8" t="s">
        <v>4186</v>
      </c>
      <c r="C196" s="7" t="s">
        <v>4187</v>
      </c>
      <c r="D196" s="7" t="s">
        <v>16</v>
      </c>
      <c r="E196" s="7" t="s">
        <v>3799</v>
      </c>
      <c r="F196" s="7" t="s">
        <v>16</v>
      </c>
    </row>
    <row r="197" ht="22.5" customHeight="1">
      <c r="A197" s="7" t="s">
        <v>3800</v>
      </c>
      <c r="B197" s="8" t="s">
        <v>4188</v>
      </c>
      <c r="C197" s="7" t="s">
        <v>4189</v>
      </c>
      <c r="D197" s="7" t="s">
        <v>16</v>
      </c>
      <c r="E197" s="7" t="s">
        <v>3806</v>
      </c>
      <c r="F197" s="7" t="s">
        <v>16</v>
      </c>
    </row>
    <row r="198" ht="22.5" customHeight="1">
      <c r="A198" s="7" t="s">
        <v>3800</v>
      </c>
      <c r="B198" s="8" t="s">
        <v>4190</v>
      </c>
      <c r="C198" s="7" t="s">
        <v>4191</v>
      </c>
      <c r="D198" s="7" t="s">
        <v>151</v>
      </c>
      <c r="E198" s="7" t="s">
        <v>3799</v>
      </c>
      <c r="F198" s="7" t="s">
        <v>16</v>
      </c>
    </row>
    <row r="199" ht="22.5" customHeight="1">
      <c r="A199" s="7" t="s">
        <v>3800</v>
      </c>
      <c r="B199" s="8" t="s">
        <v>4192</v>
      </c>
      <c r="C199" s="7" t="s">
        <v>4193</v>
      </c>
      <c r="D199" s="7" t="s">
        <v>26</v>
      </c>
      <c r="E199" s="7" t="s">
        <v>16</v>
      </c>
      <c r="F199" s="7" t="s">
        <v>16</v>
      </c>
    </row>
    <row r="200" ht="22.5" customHeight="1">
      <c r="A200" s="7" t="s">
        <v>3837</v>
      </c>
      <c r="B200" s="8" t="s">
        <v>4194</v>
      </c>
      <c r="C200" s="7" t="s">
        <v>4195</v>
      </c>
      <c r="D200" s="7" t="s">
        <v>16</v>
      </c>
      <c r="E200" s="7" t="s">
        <v>3803</v>
      </c>
      <c r="F200" s="7" t="s">
        <v>16</v>
      </c>
    </row>
    <row r="201" ht="22.5" customHeight="1">
      <c r="A201" s="7" t="s">
        <v>2725</v>
      </c>
      <c r="B201" s="8" t="s">
        <v>4196</v>
      </c>
      <c r="C201" s="7" t="s">
        <v>4197</v>
      </c>
      <c r="D201" s="7" t="s">
        <v>16</v>
      </c>
      <c r="E201" s="7" t="s">
        <v>3799</v>
      </c>
      <c r="F201" s="7" t="s">
        <v>16</v>
      </c>
    </row>
    <row r="202" ht="22.5" customHeight="1">
      <c r="A202" s="7" t="s">
        <v>2327</v>
      </c>
      <c r="B202" s="8" t="s">
        <v>4198</v>
      </c>
      <c r="C202" s="7" t="s">
        <v>4199</v>
      </c>
      <c r="D202" s="7" t="s">
        <v>16</v>
      </c>
      <c r="E202" s="7" t="s">
        <v>3803</v>
      </c>
      <c r="F202" s="7" t="s">
        <v>3850</v>
      </c>
    </row>
    <row r="203" ht="22.5" customHeight="1">
      <c r="A203" s="7" t="s">
        <v>2327</v>
      </c>
      <c r="B203" s="8" t="s">
        <v>4198</v>
      </c>
      <c r="C203" s="7" t="s">
        <v>4200</v>
      </c>
      <c r="D203" s="7" t="s">
        <v>26</v>
      </c>
      <c r="E203" s="7" t="s">
        <v>16</v>
      </c>
      <c r="F203" s="7" t="s">
        <v>16</v>
      </c>
    </row>
    <row r="204" ht="22.5" customHeight="1">
      <c r="A204" s="7" t="s">
        <v>2327</v>
      </c>
      <c r="B204" s="8" t="s">
        <v>4198</v>
      </c>
      <c r="C204" s="7" t="s">
        <v>4201</v>
      </c>
      <c r="D204" s="7" t="s">
        <v>26</v>
      </c>
      <c r="E204" s="7" t="s">
        <v>16</v>
      </c>
      <c r="F204" s="7" t="s">
        <v>16</v>
      </c>
    </row>
    <row r="205" ht="22.5" customHeight="1">
      <c r="A205" s="7" t="s">
        <v>3800</v>
      </c>
      <c r="B205" s="8" t="s">
        <v>4202</v>
      </c>
      <c r="C205" s="7" t="s">
        <v>4203</v>
      </c>
      <c r="D205" s="7" t="s">
        <v>16</v>
      </c>
      <c r="E205" s="7" t="s">
        <v>3803</v>
      </c>
      <c r="F205" s="7" t="s">
        <v>16</v>
      </c>
    </row>
    <row r="206" ht="22.5" customHeight="1">
      <c r="A206" s="7" t="s">
        <v>3800</v>
      </c>
      <c r="B206" s="8" t="s">
        <v>4204</v>
      </c>
      <c r="C206" s="7" t="s">
        <v>4205</v>
      </c>
      <c r="D206" s="7" t="s">
        <v>16</v>
      </c>
      <c r="E206" s="7" t="s">
        <v>3806</v>
      </c>
      <c r="F206" s="7" t="s">
        <v>16</v>
      </c>
    </row>
    <row r="207" ht="22.5" customHeight="1">
      <c r="A207" s="7" t="s">
        <v>3800</v>
      </c>
      <c r="B207" s="8" t="s">
        <v>4206</v>
      </c>
      <c r="C207" s="7" t="s">
        <v>4207</v>
      </c>
      <c r="D207" s="7" t="s">
        <v>16</v>
      </c>
      <c r="E207" s="7" t="s">
        <v>3803</v>
      </c>
      <c r="F207" s="7" t="s">
        <v>3816</v>
      </c>
    </row>
    <row r="208" ht="22.5" customHeight="1">
      <c r="A208" s="7" t="s">
        <v>3827</v>
      </c>
      <c r="B208" s="8" t="s">
        <v>4208</v>
      </c>
      <c r="C208" s="7" t="s">
        <v>4209</v>
      </c>
      <c r="D208" s="7" t="s">
        <v>16</v>
      </c>
      <c r="E208" s="7" t="s">
        <v>3799</v>
      </c>
      <c r="F208" s="7" t="s">
        <v>16</v>
      </c>
    </row>
    <row r="209" ht="22.5" customHeight="1">
      <c r="A209" s="7" t="s">
        <v>3827</v>
      </c>
      <c r="B209" s="8" t="s">
        <v>4208</v>
      </c>
      <c r="C209" s="7" t="s">
        <v>4210</v>
      </c>
      <c r="D209" s="7" t="s">
        <v>16</v>
      </c>
      <c r="E209" s="7" t="s">
        <v>3799</v>
      </c>
      <c r="F209" s="7" t="s">
        <v>16</v>
      </c>
    </row>
    <row r="210" ht="22.5" customHeight="1">
      <c r="A210" s="7" t="s">
        <v>3807</v>
      </c>
      <c r="B210" s="8" t="s">
        <v>4211</v>
      </c>
      <c r="C210" s="7" t="s">
        <v>4212</v>
      </c>
      <c r="D210" s="7" t="s">
        <v>16</v>
      </c>
      <c r="E210" s="7" t="s">
        <v>3799</v>
      </c>
      <c r="F210" s="7" t="s">
        <v>16</v>
      </c>
    </row>
    <row r="211" ht="22.5" customHeight="1">
      <c r="A211" s="7" t="s">
        <v>2725</v>
      </c>
      <c r="B211" s="8" t="s">
        <v>4213</v>
      </c>
      <c r="C211" s="7" t="s">
        <v>4214</v>
      </c>
      <c r="D211" s="7" t="s">
        <v>16</v>
      </c>
      <c r="E211" s="7" t="s">
        <v>3803</v>
      </c>
      <c r="F211" s="7" t="s">
        <v>16</v>
      </c>
    </row>
    <row r="212" ht="22.5" customHeight="1">
      <c r="A212" s="7" t="s">
        <v>3807</v>
      </c>
      <c r="B212" s="8" t="s">
        <v>4215</v>
      </c>
      <c r="C212" s="7" t="s">
        <v>4216</v>
      </c>
      <c r="D212" s="7" t="s">
        <v>16</v>
      </c>
      <c r="E212" s="7" t="s">
        <v>3806</v>
      </c>
      <c r="F212" s="7" t="s">
        <v>16</v>
      </c>
    </row>
    <row r="213" ht="22.5" customHeight="1">
      <c r="A213" s="7" t="s">
        <v>3807</v>
      </c>
      <c r="B213" s="8" t="s">
        <v>4215</v>
      </c>
      <c r="C213" s="7" t="s">
        <v>4217</v>
      </c>
      <c r="D213" s="7" t="s">
        <v>26</v>
      </c>
      <c r="E213" s="7" t="s">
        <v>16</v>
      </c>
      <c r="F213" s="7" t="s">
        <v>16</v>
      </c>
    </row>
    <row r="214" ht="22.5" customHeight="1">
      <c r="A214" s="7" t="s">
        <v>3807</v>
      </c>
      <c r="B214" s="8" t="s">
        <v>4215</v>
      </c>
      <c r="C214" s="7" t="s">
        <v>4218</v>
      </c>
      <c r="D214" s="7" t="s">
        <v>26</v>
      </c>
      <c r="E214" s="7" t="s">
        <v>16</v>
      </c>
      <c r="F214" s="7" t="s">
        <v>16</v>
      </c>
    </row>
    <row r="215" ht="22.5" customHeight="1">
      <c r="A215" s="7" t="s">
        <v>3807</v>
      </c>
      <c r="B215" s="8" t="s">
        <v>4215</v>
      </c>
      <c r="C215" s="7" t="s">
        <v>4219</v>
      </c>
      <c r="D215" s="7" t="s">
        <v>26</v>
      </c>
      <c r="E215" s="7" t="s">
        <v>16</v>
      </c>
      <c r="F215" s="7" t="s">
        <v>16</v>
      </c>
    </row>
    <row r="216" ht="22.5" customHeight="1">
      <c r="A216" s="7" t="s">
        <v>3807</v>
      </c>
      <c r="B216" s="8" t="s">
        <v>4215</v>
      </c>
      <c r="C216" s="7" t="s">
        <v>4220</v>
      </c>
      <c r="D216" s="7" t="s">
        <v>26</v>
      </c>
      <c r="E216" s="7" t="s">
        <v>16</v>
      </c>
      <c r="F216" s="7" t="s">
        <v>16</v>
      </c>
    </row>
    <row r="217" ht="22.5" customHeight="1">
      <c r="A217" s="7" t="s">
        <v>3807</v>
      </c>
      <c r="B217" s="8" t="s">
        <v>4215</v>
      </c>
      <c r="C217" s="7" t="s">
        <v>4221</v>
      </c>
      <c r="D217" s="7" t="s">
        <v>26</v>
      </c>
      <c r="E217" s="7" t="s">
        <v>16</v>
      </c>
      <c r="F217" s="7" t="s">
        <v>16</v>
      </c>
    </row>
    <row r="218" ht="22.5" customHeight="1">
      <c r="A218" s="7" t="s">
        <v>3807</v>
      </c>
      <c r="B218" s="8" t="s">
        <v>4215</v>
      </c>
      <c r="C218" s="7" t="s">
        <v>4222</v>
      </c>
      <c r="D218" s="7" t="s">
        <v>26</v>
      </c>
      <c r="E218" s="7" t="s">
        <v>16</v>
      </c>
      <c r="F218" s="7" t="s">
        <v>16</v>
      </c>
    </row>
    <row r="219" ht="22.5" customHeight="1">
      <c r="A219" s="7" t="s">
        <v>3807</v>
      </c>
      <c r="B219" s="8" t="s">
        <v>4215</v>
      </c>
      <c r="C219" s="7" t="s">
        <v>4223</v>
      </c>
      <c r="D219" s="7" t="s">
        <v>26</v>
      </c>
      <c r="E219" s="7" t="s">
        <v>16</v>
      </c>
      <c r="F219" s="7" t="s">
        <v>16</v>
      </c>
    </row>
    <row r="220" ht="22.5" customHeight="1">
      <c r="A220" s="7" t="s">
        <v>3827</v>
      </c>
      <c r="B220" s="8" t="s">
        <v>4224</v>
      </c>
      <c r="C220" s="7" t="s">
        <v>4225</v>
      </c>
      <c r="D220" s="7" t="s">
        <v>16</v>
      </c>
      <c r="E220" s="7" t="s">
        <v>3806</v>
      </c>
      <c r="F220" s="7" t="s">
        <v>16</v>
      </c>
    </row>
    <row r="221" ht="22.5" customHeight="1">
      <c r="A221" s="7" t="s">
        <v>3800</v>
      </c>
      <c r="B221" s="8" t="s">
        <v>4226</v>
      </c>
      <c r="C221" s="7" t="s">
        <v>4227</v>
      </c>
      <c r="D221" s="7" t="s">
        <v>16</v>
      </c>
      <c r="E221" s="7" t="s">
        <v>3806</v>
      </c>
      <c r="F221" s="7" t="s">
        <v>16</v>
      </c>
    </row>
    <row r="222" ht="22.5" customHeight="1">
      <c r="A222" s="7" t="s">
        <v>3800</v>
      </c>
      <c r="B222" s="8" t="s">
        <v>4228</v>
      </c>
      <c r="C222" s="7" t="s">
        <v>4229</v>
      </c>
      <c r="D222" s="7" t="s">
        <v>16</v>
      </c>
      <c r="E222" s="7" t="s">
        <v>3812</v>
      </c>
      <c r="F222" s="7" t="s">
        <v>16</v>
      </c>
    </row>
    <row r="223" ht="22.5" customHeight="1">
      <c r="A223" s="7" t="s">
        <v>2725</v>
      </c>
      <c r="B223" s="8" t="s">
        <v>4230</v>
      </c>
      <c r="C223" s="7" t="s">
        <v>4231</v>
      </c>
      <c r="D223" s="7" t="s">
        <v>16</v>
      </c>
      <c r="E223" s="7" t="s">
        <v>3812</v>
      </c>
      <c r="F223" s="7" t="s">
        <v>16</v>
      </c>
    </row>
    <row r="224" ht="22.5" customHeight="1">
      <c r="A224" s="7" t="s">
        <v>3800</v>
      </c>
      <c r="B224" s="8" t="s">
        <v>4232</v>
      </c>
      <c r="C224" s="7" t="s">
        <v>4233</v>
      </c>
      <c r="D224" s="7" t="s">
        <v>26</v>
      </c>
      <c r="E224" s="7" t="s">
        <v>16</v>
      </c>
      <c r="F224" s="7" t="s">
        <v>16</v>
      </c>
    </row>
    <row r="225" ht="22.5" customHeight="1">
      <c r="A225" s="7" t="s">
        <v>3827</v>
      </c>
      <c r="B225" s="8" t="s">
        <v>4234</v>
      </c>
      <c r="C225" s="7" t="s">
        <v>4235</v>
      </c>
      <c r="D225" s="7" t="s">
        <v>26</v>
      </c>
      <c r="E225" s="7" t="s">
        <v>16</v>
      </c>
      <c r="F225" s="7" t="s">
        <v>16</v>
      </c>
    </row>
    <row r="226" ht="22.5" customHeight="1">
      <c r="A226" s="7" t="s">
        <v>3800</v>
      </c>
      <c r="B226" s="8" t="s">
        <v>4236</v>
      </c>
      <c r="C226" s="7" t="s">
        <v>4237</v>
      </c>
      <c r="D226" s="7" t="s">
        <v>26</v>
      </c>
      <c r="E226" s="7" t="s">
        <v>16</v>
      </c>
      <c r="F226" s="7" t="s">
        <v>16</v>
      </c>
    </row>
    <row r="227" ht="22.5" customHeight="1">
      <c r="A227" s="7" t="s">
        <v>3837</v>
      </c>
      <c r="B227" s="8" t="s">
        <v>4238</v>
      </c>
      <c r="C227" s="7" t="s">
        <v>4239</v>
      </c>
      <c r="D227" s="7" t="s">
        <v>16</v>
      </c>
      <c r="E227" s="7" t="s">
        <v>3806</v>
      </c>
      <c r="F227" s="7" t="s">
        <v>16</v>
      </c>
    </row>
    <row r="228" ht="22.5" customHeight="1">
      <c r="A228" s="7" t="s">
        <v>2725</v>
      </c>
      <c r="B228" s="8" t="s">
        <v>4240</v>
      </c>
      <c r="C228" s="7" t="s">
        <v>4241</v>
      </c>
      <c r="D228" s="7" t="s">
        <v>3850</v>
      </c>
      <c r="E228" s="7" t="s">
        <v>3803</v>
      </c>
      <c r="F228" s="7" t="s">
        <v>3850</v>
      </c>
    </row>
    <row r="229" ht="22.5" customHeight="1">
      <c r="A229" s="7" t="s">
        <v>3800</v>
      </c>
      <c r="B229" s="8" t="s">
        <v>4242</v>
      </c>
      <c r="C229" s="7" t="s">
        <v>4243</v>
      </c>
      <c r="D229" s="7" t="s">
        <v>26</v>
      </c>
      <c r="E229" s="7" t="s">
        <v>16</v>
      </c>
      <c r="F229" s="7" t="s">
        <v>16</v>
      </c>
    </row>
    <row r="230" ht="22.5" customHeight="1">
      <c r="A230" s="7" t="s">
        <v>3807</v>
      </c>
      <c r="B230" s="8" t="s">
        <v>4244</v>
      </c>
      <c r="C230" s="7" t="s">
        <v>4245</v>
      </c>
      <c r="D230" s="7" t="s">
        <v>26</v>
      </c>
      <c r="E230" s="7" t="s">
        <v>16</v>
      </c>
      <c r="F230" s="7" t="s">
        <v>16</v>
      </c>
    </row>
    <row r="231" ht="22.5" customHeight="1">
      <c r="A231" s="7" t="s">
        <v>2725</v>
      </c>
      <c r="B231" s="8" t="s">
        <v>4246</v>
      </c>
      <c r="C231" s="7" t="s">
        <v>4247</v>
      </c>
      <c r="D231" s="7" t="s">
        <v>26</v>
      </c>
      <c r="E231" s="7" t="s">
        <v>16</v>
      </c>
      <c r="F231" s="7" t="s">
        <v>16</v>
      </c>
    </row>
    <row r="232" ht="22.5" customHeight="1">
      <c r="A232" s="7" t="s">
        <v>2327</v>
      </c>
      <c r="B232" s="8" t="s">
        <v>4248</v>
      </c>
      <c r="C232" s="7" t="s">
        <v>4249</v>
      </c>
      <c r="D232" s="7" t="s">
        <v>16</v>
      </c>
      <c r="E232" s="7" t="s">
        <v>3806</v>
      </c>
      <c r="F232" s="7" t="s">
        <v>16</v>
      </c>
    </row>
    <row r="233" ht="22.5" customHeight="1">
      <c r="A233" s="7" t="s">
        <v>3800</v>
      </c>
      <c r="B233" s="8" t="s">
        <v>4250</v>
      </c>
      <c r="C233" s="7" t="s">
        <v>4251</v>
      </c>
      <c r="D233" s="7" t="s">
        <v>26</v>
      </c>
      <c r="E233" s="7" t="s">
        <v>16</v>
      </c>
      <c r="F233" s="7" t="s">
        <v>16</v>
      </c>
    </row>
    <row r="234" ht="22.5" customHeight="1">
      <c r="A234" s="7" t="s">
        <v>3827</v>
      </c>
      <c r="B234" s="8" t="s">
        <v>4252</v>
      </c>
      <c r="C234" s="7" t="s">
        <v>4253</v>
      </c>
      <c r="D234" s="7" t="s">
        <v>26</v>
      </c>
      <c r="E234" s="7" t="s">
        <v>16</v>
      </c>
      <c r="F234" s="7" t="s">
        <v>16</v>
      </c>
    </row>
    <row r="235" ht="22.5" customHeight="1">
      <c r="A235" s="7" t="s">
        <v>2327</v>
      </c>
      <c r="B235" s="8" t="s">
        <v>4254</v>
      </c>
      <c r="C235" s="7" t="s">
        <v>4255</v>
      </c>
      <c r="D235" s="7" t="s">
        <v>26</v>
      </c>
      <c r="E235" s="7" t="s">
        <v>16</v>
      </c>
      <c r="F235" s="7" t="s">
        <v>16</v>
      </c>
    </row>
    <row r="236" ht="22.5" customHeight="1">
      <c r="A236" s="7" t="s">
        <v>3837</v>
      </c>
      <c r="B236" s="8" t="s">
        <v>4256</v>
      </c>
      <c r="C236" s="7" t="s">
        <v>4257</v>
      </c>
      <c r="D236" s="7" t="s">
        <v>16</v>
      </c>
      <c r="E236" s="7" t="s">
        <v>3806</v>
      </c>
      <c r="F236" s="7" t="s">
        <v>16</v>
      </c>
    </row>
    <row r="237" ht="22.5" customHeight="1">
      <c r="A237" s="7" t="s">
        <v>2725</v>
      </c>
      <c r="B237" s="8" t="s">
        <v>4258</v>
      </c>
      <c r="C237" s="7" t="s">
        <v>4259</v>
      </c>
      <c r="D237" s="7" t="s">
        <v>16</v>
      </c>
      <c r="E237" s="7" t="s">
        <v>3799</v>
      </c>
      <c r="F237" s="7" t="s">
        <v>16</v>
      </c>
    </row>
    <row r="238" ht="22.5" customHeight="1">
      <c r="A238" s="7" t="s">
        <v>3800</v>
      </c>
      <c r="B238" s="8" t="s">
        <v>4260</v>
      </c>
      <c r="C238" s="7" t="s">
        <v>4261</v>
      </c>
      <c r="D238" s="7" t="s">
        <v>16</v>
      </c>
      <c r="E238" s="7" t="s">
        <v>3806</v>
      </c>
      <c r="F238" s="7" t="s">
        <v>16</v>
      </c>
    </row>
    <row r="239" ht="22.5" customHeight="1">
      <c r="A239" s="7" t="s">
        <v>3800</v>
      </c>
      <c r="B239" s="8" t="s">
        <v>4262</v>
      </c>
      <c r="C239" s="7" t="s">
        <v>4263</v>
      </c>
      <c r="D239" s="7" t="s">
        <v>26</v>
      </c>
      <c r="E239" s="7" t="s">
        <v>16</v>
      </c>
      <c r="F239" s="7" t="s">
        <v>16</v>
      </c>
    </row>
    <row r="240" ht="22.5" customHeight="1">
      <c r="A240" s="7" t="s">
        <v>3837</v>
      </c>
      <c r="B240" s="8" t="s">
        <v>4264</v>
      </c>
      <c r="C240" s="7" t="s">
        <v>4265</v>
      </c>
      <c r="D240" s="7" t="s">
        <v>16</v>
      </c>
      <c r="E240" s="7" t="s">
        <v>3806</v>
      </c>
      <c r="F240" s="7" t="s">
        <v>3816</v>
      </c>
    </row>
    <row r="241" ht="22.5" customHeight="1">
      <c r="A241" s="7" t="s">
        <v>3800</v>
      </c>
      <c r="B241" s="8" t="s">
        <v>4266</v>
      </c>
      <c r="C241" s="7" t="s">
        <v>4267</v>
      </c>
      <c r="D241" s="7" t="s">
        <v>16</v>
      </c>
      <c r="E241" s="7" t="s">
        <v>3806</v>
      </c>
      <c r="F241" s="7" t="s">
        <v>3816</v>
      </c>
    </row>
    <row r="242" ht="22.5" customHeight="1">
      <c r="A242" s="7" t="s">
        <v>3800</v>
      </c>
      <c r="B242" s="8" t="s">
        <v>4268</v>
      </c>
      <c r="C242" s="7" t="s">
        <v>4269</v>
      </c>
      <c r="D242" s="7" t="s">
        <v>26</v>
      </c>
      <c r="E242" s="7" t="s">
        <v>16</v>
      </c>
      <c r="F242" s="7" t="s">
        <v>16</v>
      </c>
    </row>
    <row r="243" ht="22.5" customHeight="1">
      <c r="A243" s="7" t="s">
        <v>3807</v>
      </c>
      <c r="B243" s="8" t="s">
        <v>4270</v>
      </c>
      <c r="C243" s="7" t="s">
        <v>4271</v>
      </c>
      <c r="D243" s="7" t="s">
        <v>26</v>
      </c>
      <c r="E243" s="7" t="s">
        <v>16</v>
      </c>
      <c r="F243" s="7" t="s">
        <v>16</v>
      </c>
    </row>
    <row r="244" ht="22.5" customHeight="1">
      <c r="A244" s="7" t="s">
        <v>3800</v>
      </c>
      <c r="B244" s="8" t="s">
        <v>4272</v>
      </c>
      <c r="C244" s="7" t="s">
        <v>4273</v>
      </c>
      <c r="D244" s="7" t="s">
        <v>16</v>
      </c>
      <c r="E244" s="7" t="s">
        <v>3803</v>
      </c>
      <c r="F244" s="7" t="s">
        <v>16</v>
      </c>
    </row>
    <row r="245" ht="22.5" customHeight="1">
      <c r="A245" s="7" t="s">
        <v>3800</v>
      </c>
      <c r="B245" s="8" t="s">
        <v>4274</v>
      </c>
      <c r="C245" s="7" t="s">
        <v>4275</v>
      </c>
      <c r="D245" s="7" t="s">
        <v>16</v>
      </c>
      <c r="E245" s="7" t="s">
        <v>3803</v>
      </c>
      <c r="F245" s="7" t="s">
        <v>16</v>
      </c>
    </row>
    <row r="246" ht="22.5" customHeight="1">
      <c r="A246" s="7" t="s">
        <v>3837</v>
      </c>
      <c r="B246" s="8" t="s">
        <v>4276</v>
      </c>
      <c r="C246" s="7" t="s">
        <v>4277</v>
      </c>
      <c r="D246" s="7" t="s">
        <v>26</v>
      </c>
      <c r="E246" s="7" t="s">
        <v>16</v>
      </c>
      <c r="F246" s="7" t="s">
        <v>16</v>
      </c>
    </row>
    <row r="247" ht="22.5" customHeight="1">
      <c r="A247" s="7" t="s">
        <v>3800</v>
      </c>
      <c r="B247" s="8" t="s">
        <v>4278</v>
      </c>
      <c r="C247" s="7" t="s">
        <v>4279</v>
      </c>
      <c r="D247" s="7" t="s">
        <v>16</v>
      </c>
      <c r="E247" s="7" t="s">
        <v>3806</v>
      </c>
      <c r="F247" s="7" t="s">
        <v>16</v>
      </c>
    </row>
    <row r="248" ht="22.5" customHeight="1">
      <c r="A248" s="7" t="s">
        <v>2725</v>
      </c>
      <c r="B248" s="8" t="s">
        <v>4280</v>
      </c>
      <c r="C248" s="7" t="s">
        <v>4281</v>
      </c>
      <c r="D248" s="7" t="s">
        <v>16</v>
      </c>
      <c r="E248" s="7" t="s">
        <v>3799</v>
      </c>
      <c r="F248" s="7" t="s">
        <v>3904</v>
      </c>
    </row>
    <row r="249" ht="22.5" customHeight="1">
      <c r="A249" s="7" t="s">
        <v>3807</v>
      </c>
      <c r="B249" s="8" t="s">
        <v>4282</v>
      </c>
      <c r="C249" s="7" t="s">
        <v>4283</v>
      </c>
      <c r="D249" s="7" t="s">
        <v>16</v>
      </c>
      <c r="E249" s="7" t="s">
        <v>3799</v>
      </c>
      <c r="F249" s="7" t="s">
        <v>3904</v>
      </c>
    </row>
    <row r="250" ht="22.5" customHeight="1">
      <c r="A250" s="7" t="s">
        <v>3807</v>
      </c>
      <c r="B250" s="8" t="s">
        <v>4282</v>
      </c>
      <c r="C250" s="7" t="s">
        <v>4284</v>
      </c>
      <c r="D250" s="7" t="s">
        <v>26</v>
      </c>
      <c r="E250" s="7" t="s">
        <v>16</v>
      </c>
      <c r="F250" s="7" t="s">
        <v>16</v>
      </c>
    </row>
    <row r="251" ht="22.5" customHeight="1">
      <c r="A251" s="7" t="s">
        <v>3800</v>
      </c>
      <c r="B251" s="8" t="s">
        <v>4285</v>
      </c>
      <c r="C251" s="7" t="s">
        <v>4286</v>
      </c>
      <c r="D251" s="7" t="s">
        <v>16</v>
      </c>
      <c r="E251" s="7" t="s">
        <v>3799</v>
      </c>
      <c r="F251" s="7" t="s">
        <v>3904</v>
      </c>
    </row>
    <row r="252" ht="22.5" customHeight="1">
      <c r="A252" s="7" t="s">
        <v>3800</v>
      </c>
      <c r="B252" s="8" t="s">
        <v>4287</v>
      </c>
      <c r="C252" s="7" t="s">
        <v>4288</v>
      </c>
      <c r="D252" s="7" t="s">
        <v>16</v>
      </c>
      <c r="E252" s="7" t="s">
        <v>3799</v>
      </c>
      <c r="F252" s="7" t="s">
        <v>3904</v>
      </c>
    </row>
    <row r="253" ht="22.5" customHeight="1">
      <c r="A253" s="7" t="s">
        <v>3827</v>
      </c>
      <c r="B253" s="8" t="s">
        <v>4289</v>
      </c>
      <c r="C253" s="7" t="s">
        <v>4290</v>
      </c>
      <c r="D253" s="7" t="s">
        <v>16</v>
      </c>
      <c r="E253" s="7" t="s">
        <v>3806</v>
      </c>
      <c r="F253" s="7" t="s">
        <v>16</v>
      </c>
    </row>
    <row r="254" ht="22.5" customHeight="1">
      <c r="A254" s="7" t="s">
        <v>2327</v>
      </c>
      <c r="B254" s="8" t="s">
        <v>4291</v>
      </c>
      <c r="C254" s="7" t="s">
        <v>4292</v>
      </c>
      <c r="D254" s="7" t="s">
        <v>16</v>
      </c>
      <c r="E254" s="7" t="s">
        <v>3799</v>
      </c>
      <c r="F254" s="7" t="s">
        <v>16</v>
      </c>
    </row>
    <row r="255" ht="22.5" customHeight="1">
      <c r="A255" s="7" t="s">
        <v>3800</v>
      </c>
      <c r="B255" s="8" t="s">
        <v>4293</v>
      </c>
      <c r="C255" s="7" t="s">
        <v>4294</v>
      </c>
      <c r="D255" s="7" t="s">
        <v>16</v>
      </c>
      <c r="E255" s="7" t="s">
        <v>3803</v>
      </c>
      <c r="F255" s="7" t="s">
        <v>16</v>
      </c>
    </row>
    <row r="256" ht="22.5" customHeight="1">
      <c r="A256" s="7" t="s">
        <v>3837</v>
      </c>
      <c r="B256" s="8" t="s">
        <v>4295</v>
      </c>
      <c r="C256" s="7" t="s">
        <v>4296</v>
      </c>
      <c r="D256" s="7" t="s">
        <v>16</v>
      </c>
      <c r="E256" s="7" t="s">
        <v>3803</v>
      </c>
      <c r="F256" s="7" t="s">
        <v>16</v>
      </c>
    </row>
    <row r="257" ht="22.5" customHeight="1">
      <c r="A257" s="7" t="s">
        <v>3827</v>
      </c>
      <c r="B257" s="8" t="s">
        <v>4297</v>
      </c>
      <c r="C257" s="7" t="s">
        <v>4298</v>
      </c>
      <c r="D257" s="7" t="s">
        <v>16</v>
      </c>
      <c r="E257" s="7" t="s">
        <v>3803</v>
      </c>
      <c r="F257" s="7" t="s">
        <v>3993</v>
      </c>
    </row>
    <row r="258" ht="22.5" customHeight="1">
      <c r="A258" s="7" t="s">
        <v>3827</v>
      </c>
      <c r="B258" s="8" t="s">
        <v>4299</v>
      </c>
      <c r="C258" s="7" t="s">
        <v>4300</v>
      </c>
      <c r="D258" s="7" t="s">
        <v>16</v>
      </c>
      <c r="E258" s="7" t="s">
        <v>3803</v>
      </c>
      <c r="F258" s="7" t="s">
        <v>3816</v>
      </c>
    </row>
    <row r="259" ht="22.5" customHeight="1">
      <c r="A259" s="7" t="s">
        <v>3800</v>
      </c>
      <c r="B259" s="8" t="s">
        <v>4301</v>
      </c>
      <c r="C259" s="7" t="s">
        <v>4302</v>
      </c>
      <c r="D259" s="7" t="s">
        <v>16</v>
      </c>
      <c r="E259" s="7" t="s">
        <v>3799</v>
      </c>
      <c r="F259" s="7" t="s">
        <v>16</v>
      </c>
    </row>
    <row r="260" ht="22.5" customHeight="1">
      <c r="A260" s="7" t="s">
        <v>3800</v>
      </c>
      <c r="B260" s="8" t="s">
        <v>4303</v>
      </c>
      <c r="C260" s="7" t="s">
        <v>4304</v>
      </c>
      <c r="D260" s="7" t="s">
        <v>16</v>
      </c>
      <c r="E260" s="7" t="s">
        <v>3799</v>
      </c>
      <c r="F260" s="7" t="s">
        <v>16</v>
      </c>
    </row>
    <row r="261" ht="22.5" customHeight="1">
      <c r="A261" s="7" t="s">
        <v>3807</v>
      </c>
      <c r="B261" s="8" t="s">
        <v>4305</v>
      </c>
      <c r="C261" s="7" t="s">
        <v>4306</v>
      </c>
      <c r="D261" s="7" t="s">
        <v>3850</v>
      </c>
      <c r="E261" s="7" t="s">
        <v>3803</v>
      </c>
      <c r="F261" s="7" t="s">
        <v>3850</v>
      </c>
    </row>
    <row r="262" ht="22.5" customHeight="1">
      <c r="A262" s="7" t="s">
        <v>3800</v>
      </c>
      <c r="B262" s="8" t="s">
        <v>4307</v>
      </c>
      <c r="C262" s="7" t="s">
        <v>4308</v>
      </c>
      <c r="D262" s="7" t="s">
        <v>26</v>
      </c>
      <c r="E262" s="7" t="s">
        <v>16</v>
      </c>
      <c r="F262" s="7" t="s">
        <v>16</v>
      </c>
    </row>
    <row r="263" ht="22.5" customHeight="1">
      <c r="A263" s="7" t="s">
        <v>3800</v>
      </c>
      <c r="B263" s="8" t="s">
        <v>4309</v>
      </c>
      <c r="C263" s="7" t="s">
        <v>4310</v>
      </c>
      <c r="D263" s="7" t="s">
        <v>26</v>
      </c>
      <c r="E263" s="7" t="s">
        <v>16</v>
      </c>
      <c r="F263" s="7" t="s">
        <v>16</v>
      </c>
    </row>
    <row r="264" ht="22.5" customHeight="1">
      <c r="A264" s="7" t="s">
        <v>3800</v>
      </c>
      <c r="B264" s="8" t="s">
        <v>4311</v>
      </c>
      <c r="C264" s="7" t="s">
        <v>4312</v>
      </c>
      <c r="D264" s="7" t="s">
        <v>26</v>
      </c>
      <c r="E264" s="7" t="s">
        <v>16</v>
      </c>
      <c r="F264" s="7" t="s">
        <v>16</v>
      </c>
    </row>
    <row r="265" ht="22.5" customHeight="1">
      <c r="A265" s="7" t="s">
        <v>2725</v>
      </c>
      <c r="B265" s="8" t="s">
        <v>4313</v>
      </c>
      <c r="C265" s="7" t="s">
        <v>4314</v>
      </c>
      <c r="D265" s="7" t="s">
        <v>16</v>
      </c>
      <c r="E265" s="7" t="s">
        <v>3806</v>
      </c>
      <c r="F265" s="7" t="s">
        <v>16</v>
      </c>
    </row>
    <row r="266" ht="22.5" customHeight="1">
      <c r="A266" s="7" t="s">
        <v>3827</v>
      </c>
      <c r="B266" s="8" t="s">
        <v>4315</v>
      </c>
      <c r="C266" s="7" t="s">
        <v>4316</v>
      </c>
      <c r="D266" s="7" t="s">
        <v>26</v>
      </c>
      <c r="E266" s="7" t="s">
        <v>16</v>
      </c>
      <c r="F266" s="7" t="s">
        <v>16</v>
      </c>
    </row>
    <row r="267" ht="22.5" customHeight="1">
      <c r="A267" s="7" t="s">
        <v>3827</v>
      </c>
      <c r="B267" s="8" t="s">
        <v>4317</v>
      </c>
      <c r="C267" s="7" t="s">
        <v>4318</v>
      </c>
      <c r="D267" s="7" t="s">
        <v>16</v>
      </c>
      <c r="E267" s="7" t="s">
        <v>3806</v>
      </c>
      <c r="F267" s="7" t="s">
        <v>3904</v>
      </c>
    </row>
    <row r="268" ht="22.5" customHeight="1">
      <c r="A268" s="7" t="s">
        <v>3827</v>
      </c>
      <c r="B268" s="8" t="s">
        <v>4319</v>
      </c>
      <c r="C268" s="7" t="s">
        <v>4320</v>
      </c>
      <c r="D268" s="7" t="s">
        <v>26</v>
      </c>
      <c r="E268" s="7" t="s">
        <v>16</v>
      </c>
      <c r="F268" s="7" t="s">
        <v>16</v>
      </c>
    </row>
    <row r="269" ht="22.5" customHeight="1">
      <c r="A269" s="7" t="s">
        <v>2725</v>
      </c>
      <c r="B269" s="8" t="s">
        <v>4321</v>
      </c>
      <c r="C269" s="7" t="s">
        <v>4322</v>
      </c>
      <c r="D269" s="7" t="s">
        <v>26</v>
      </c>
      <c r="E269" s="7" t="s">
        <v>16</v>
      </c>
      <c r="F269" s="7" t="s">
        <v>16</v>
      </c>
    </row>
    <row r="270" ht="22.5" customHeight="1">
      <c r="A270" s="7" t="s">
        <v>3827</v>
      </c>
      <c r="B270" s="8" t="s">
        <v>4323</v>
      </c>
      <c r="C270" s="7" t="s">
        <v>4324</v>
      </c>
      <c r="D270" s="7" t="s">
        <v>26</v>
      </c>
      <c r="E270" s="7" t="s">
        <v>16</v>
      </c>
      <c r="F270" s="7" t="s">
        <v>16</v>
      </c>
    </row>
    <row r="271" ht="22.5" customHeight="1">
      <c r="A271" s="7" t="s">
        <v>3837</v>
      </c>
      <c r="B271" s="8" t="s">
        <v>4325</v>
      </c>
      <c r="C271" s="7" t="s">
        <v>4326</v>
      </c>
      <c r="D271" s="7" t="s">
        <v>16</v>
      </c>
      <c r="E271" s="7" t="s">
        <v>3812</v>
      </c>
      <c r="F271" s="7" t="s">
        <v>16</v>
      </c>
    </row>
    <row r="272" ht="22.5" customHeight="1">
      <c r="A272" s="7" t="s">
        <v>3837</v>
      </c>
      <c r="B272" s="8" t="s">
        <v>4327</v>
      </c>
      <c r="C272" s="7" t="s">
        <v>4328</v>
      </c>
      <c r="D272" s="7" t="s">
        <v>26</v>
      </c>
      <c r="E272" s="7" t="s">
        <v>16</v>
      </c>
      <c r="F272" s="7" t="s">
        <v>16</v>
      </c>
    </row>
    <row r="273" ht="22.5" customHeight="1">
      <c r="A273" s="7" t="s">
        <v>2725</v>
      </c>
      <c r="B273" s="8" t="s">
        <v>4329</v>
      </c>
      <c r="C273" s="7" t="s">
        <v>4330</v>
      </c>
      <c r="D273" s="7" t="s">
        <v>26</v>
      </c>
      <c r="E273" s="7" t="s">
        <v>16</v>
      </c>
      <c r="F273" s="7" t="s">
        <v>16</v>
      </c>
    </row>
    <row r="274" ht="22.5" customHeight="1">
      <c r="A274" s="7" t="s">
        <v>3827</v>
      </c>
      <c r="B274" s="8" t="s">
        <v>4331</v>
      </c>
      <c r="C274" s="7" t="s">
        <v>4332</v>
      </c>
      <c r="D274" s="7" t="s">
        <v>26</v>
      </c>
      <c r="E274" s="7" t="s">
        <v>16</v>
      </c>
      <c r="F274" s="7" t="s">
        <v>16</v>
      </c>
    </row>
    <row r="275" ht="22.5" customHeight="1">
      <c r="A275" s="7" t="s">
        <v>3827</v>
      </c>
      <c r="B275" s="8" t="s">
        <v>4333</v>
      </c>
      <c r="C275" s="7" t="s">
        <v>4334</v>
      </c>
      <c r="D275" s="7" t="s">
        <v>26</v>
      </c>
      <c r="E275" s="7" t="s">
        <v>16</v>
      </c>
      <c r="F275" s="7" t="s">
        <v>16</v>
      </c>
    </row>
    <row r="276" ht="22.5" customHeight="1">
      <c r="A276" s="7" t="s">
        <v>2327</v>
      </c>
      <c r="B276" s="8" t="s">
        <v>4335</v>
      </c>
      <c r="C276" s="7" t="s">
        <v>4336</v>
      </c>
      <c r="D276" s="7" t="s">
        <v>16</v>
      </c>
      <c r="E276" s="7" t="s">
        <v>3799</v>
      </c>
      <c r="F276" s="7" t="s">
        <v>16</v>
      </c>
    </row>
    <row r="277" ht="22.5" customHeight="1">
      <c r="A277" s="7" t="s">
        <v>3827</v>
      </c>
      <c r="B277" s="8" t="s">
        <v>4337</v>
      </c>
      <c r="C277" s="7" t="s">
        <v>4338</v>
      </c>
      <c r="D277" s="7" t="s">
        <v>16</v>
      </c>
      <c r="E277" s="7" t="s">
        <v>3803</v>
      </c>
      <c r="F277" s="7" t="s">
        <v>4339</v>
      </c>
    </row>
    <row r="278" ht="22.5" customHeight="1">
      <c r="A278" s="7" t="s">
        <v>3800</v>
      </c>
      <c r="B278" s="8" t="s">
        <v>4340</v>
      </c>
      <c r="C278" s="7" t="s">
        <v>4341</v>
      </c>
      <c r="D278" s="7" t="s">
        <v>26</v>
      </c>
      <c r="E278" s="7" t="s">
        <v>16</v>
      </c>
      <c r="F278" s="7" t="s">
        <v>16</v>
      </c>
    </row>
    <row r="279" ht="22.5" customHeight="1">
      <c r="A279" s="7" t="s">
        <v>3800</v>
      </c>
      <c r="B279" s="8" t="s">
        <v>4342</v>
      </c>
      <c r="C279" s="7" t="s">
        <v>4343</v>
      </c>
      <c r="D279" s="7" t="s">
        <v>26</v>
      </c>
      <c r="E279" s="7" t="s">
        <v>16</v>
      </c>
      <c r="F279" s="7" t="s">
        <v>16</v>
      </c>
    </row>
    <row r="280" ht="22.5" customHeight="1">
      <c r="A280" s="7" t="s">
        <v>2725</v>
      </c>
      <c r="B280" s="8" t="s">
        <v>4344</v>
      </c>
      <c r="C280" s="7" t="s">
        <v>4345</v>
      </c>
      <c r="D280" s="7" t="s">
        <v>16</v>
      </c>
      <c r="E280" s="7" t="s">
        <v>3799</v>
      </c>
      <c r="F280" s="7" t="s">
        <v>16</v>
      </c>
    </row>
    <row r="281" ht="22.5" customHeight="1">
      <c r="A281" s="7" t="s">
        <v>2725</v>
      </c>
      <c r="B281" s="8" t="s">
        <v>4344</v>
      </c>
      <c r="C281" s="7" t="s">
        <v>4346</v>
      </c>
      <c r="D281" s="7" t="s">
        <v>26</v>
      </c>
      <c r="E281" s="7" t="s">
        <v>16</v>
      </c>
      <c r="F281" s="7" t="s">
        <v>16</v>
      </c>
    </row>
    <row r="282" ht="22.5" customHeight="1">
      <c r="A282" s="7" t="s">
        <v>2725</v>
      </c>
      <c r="B282" s="8" t="s">
        <v>4347</v>
      </c>
      <c r="C282" s="7" t="s">
        <v>4348</v>
      </c>
      <c r="D282" s="7" t="s">
        <v>16</v>
      </c>
      <c r="E282" s="7" t="s">
        <v>3799</v>
      </c>
      <c r="F282" s="7" t="s">
        <v>16</v>
      </c>
    </row>
    <row r="283" ht="22.5" customHeight="1">
      <c r="A283" s="7" t="s">
        <v>2725</v>
      </c>
      <c r="B283" s="8" t="s">
        <v>4349</v>
      </c>
      <c r="C283" s="7" t="s">
        <v>4350</v>
      </c>
      <c r="D283" s="7" t="s">
        <v>26</v>
      </c>
      <c r="E283" s="7" t="s">
        <v>16</v>
      </c>
      <c r="F283" s="7" t="s">
        <v>16</v>
      </c>
    </row>
    <row r="284" ht="22.5" customHeight="1">
      <c r="A284" s="7" t="s">
        <v>2725</v>
      </c>
      <c r="B284" s="8" t="s">
        <v>4349</v>
      </c>
      <c r="C284" s="7" t="s">
        <v>4351</v>
      </c>
      <c r="D284" s="7" t="s">
        <v>26</v>
      </c>
      <c r="E284" s="7" t="s">
        <v>16</v>
      </c>
      <c r="F284" s="7" t="s">
        <v>16</v>
      </c>
    </row>
    <row r="285" ht="22.5" customHeight="1">
      <c r="A285" s="7" t="s">
        <v>3837</v>
      </c>
      <c r="B285" s="8" t="s">
        <v>4352</v>
      </c>
      <c r="C285" s="7" t="s">
        <v>4353</v>
      </c>
      <c r="D285" s="7" t="s">
        <v>16</v>
      </c>
      <c r="E285" s="7" t="s">
        <v>3812</v>
      </c>
      <c r="F285" s="7" t="s">
        <v>16</v>
      </c>
    </row>
    <row r="286" ht="22.5" customHeight="1">
      <c r="A286" s="7" t="s">
        <v>3800</v>
      </c>
      <c r="B286" s="8" t="s">
        <v>4354</v>
      </c>
      <c r="C286" s="7" t="s">
        <v>4355</v>
      </c>
      <c r="D286" s="7" t="s">
        <v>16</v>
      </c>
      <c r="E286" s="7" t="s">
        <v>3806</v>
      </c>
      <c r="F286" s="7" t="s">
        <v>16</v>
      </c>
    </row>
    <row r="287" ht="22.5" customHeight="1">
      <c r="A287" s="7" t="s">
        <v>2725</v>
      </c>
      <c r="B287" s="8" t="s">
        <v>4356</v>
      </c>
      <c r="C287" s="7" t="s">
        <v>4357</v>
      </c>
      <c r="D287" s="7" t="s">
        <v>16</v>
      </c>
      <c r="E287" s="7" t="s">
        <v>3806</v>
      </c>
      <c r="F287" s="7" t="s">
        <v>16</v>
      </c>
    </row>
    <row r="288" ht="22.5" customHeight="1">
      <c r="A288" s="7" t="s">
        <v>2725</v>
      </c>
      <c r="B288" s="8" t="s">
        <v>4356</v>
      </c>
      <c r="C288" s="7" t="s">
        <v>4358</v>
      </c>
      <c r="D288" s="7" t="s">
        <v>26</v>
      </c>
      <c r="E288" s="7" t="s">
        <v>16</v>
      </c>
      <c r="F288" s="7" t="s">
        <v>16</v>
      </c>
    </row>
    <row r="289" ht="22.5" customHeight="1">
      <c r="A289" s="7" t="s">
        <v>2327</v>
      </c>
      <c r="B289" s="8" t="s">
        <v>4359</v>
      </c>
      <c r="C289" s="7" t="s">
        <v>4360</v>
      </c>
      <c r="D289" s="7" t="s">
        <v>16</v>
      </c>
      <c r="E289" s="7" t="s">
        <v>3806</v>
      </c>
      <c r="F289" s="7" t="s">
        <v>16</v>
      </c>
    </row>
    <row r="290" ht="22.5" customHeight="1">
      <c r="A290" s="7" t="s">
        <v>2725</v>
      </c>
      <c r="B290" s="8" t="s">
        <v>4361</v>
      </c>
      <c r="C290" s="7" t="s">
        <v>4362</v>
      </c>
      <c r="D290" s="7" t="s">
        <v>16</v>
      </c>
      <c r="E290" s="7" t="s">
        <v>3803</v>
      </c>
      <c r="F290" s="7" t="s">
        <v>16</v>
      </c>
    </row>
    <row r="291" ht="22.5" customHeight="1">
      <c r="A291" s="7" t="s">
        <v>3807</v>
      </c>
      <c r="B291" s="8" t="s">
        <v>4363</v>
      </c>
      <c r="C291" s="7" t="s">
        <v>4364</v>
      </c>
      <c r="D291" s="7" t="s">
        <v>16</v>
      </c>
      <c r="E291" s="7" t="s">
        <v>3806</v>
      </c>
      <c r="F291" s="7" t="s">
        <v>3850</v>
      </c>
    </row>
    <row r="292" ht="22.5" customHeight="1">
      <c r="A292" s="7" t="s">
        <v>2725</v>
      </c>
      <c r="B292" s="8" t="s">
        <v>4365</v>
      </c>
      <c r="C292" s="7" t="s">
        <v>4366</v>
      </c>
      <c r="D292" s="7" t="s">
        <v>16</v>
      </c>
      <c r="E292" s="7" t="s">
        <v>3806</v>
      </c>
      <c r="F292" s="7" t="s">
        <v>3850</v>
      </c>
    </row>
    <row r="293" ht="22.5" customHeight="1">
      <c r="A293" s="7" t="s">
        <v>2725</v>
      </c>
      <c r="B293" s="8" t="s">
        <v>4365</v>
      </c>
      <c r="C293" s="7" t="s">
        <v>4367</v>
      </c>
      <c r="D293" s="7" t="s">
        <v>26</v>
      </c>
      <c r="E293" s="7" t="s">
        <v>16</v>
      </c>
      <c r="F293" s="7" t="s">
        <v>16</v>
      </c>
    </row>
    <row r="294" ht="22.5" customHeight="1">
      <c r="A294" s="7" t="s">
        <v>3837</v>
      </c>
      <c r="B294" s="8" t="s">
        <v>4368</v>
      </c>
      <c r="C294" s="7" t="s">
        <v>4369</v>
      </c>
      <c r="D294" s="7" t="s">
        <v>16</v>
      </c>
      <c r="E294" s="7" t="s">
        <v>3806</v>
      </c>
      <c r="F294" s="7" t="s">
        <v>16</v>
      </c>
    </row>
    <row r="295" ht="22.5" customHeight="1">
      <c r="A295" s="7" t="s">
        <v>3837</v>
      </c>
      <c r="B295" s="8" t="s">
        <v>4368</v>
      </c>
      <c r="C295" s="7" t="s">
        <v>4370</v>
      </c>
      <c r="D295" s="7" t="s">
        <v>16</v>
      </c>
      <c r="E295" s="7" t="s">
        <v>3806</v>
      </c>
      <c r="F295" s="7" t="s">
        <v>16</v>
      </c>
    </row>
    <row r="296" ht="22.5" customHeight="1">
      <c r="A296" s="7" t="s">
        <v>3827</v>
      </c>
      <c r="B296" s="8" t="s">
        <v>4371</v>
      </c>
      <c r="C296" s="7" t="s">
        <v>4372</v>
      </c>
      <c r="D296" s="7" t="s">
        <v>16</v>
      </c>
      <c r="E296" s="7" t="s">
        <v>3806</v>
      </c>
      <c r="F296" s="7" t="s">
        <v>16</v>
      </c>
    </row>
    <row r="297" ht="22.5" customHeight="1">
      <c r="A297" s="7" t="s">
        <v>3827</v>
      </c>
      <c r="B297" s="8" t="s">
        <v>4371</v>
      </c>
      <c r="C297" s="7" t="s">
        <v>4373</v>
      </c>
      <c r="D297" s="7" t="s">
        <v>26</v>
      </c>
      <c r="E297" s="7" t="s">
        <v>16</v>
      </c>
      <c r="F297" s="7" t="s">
        <v>16</v>
      </c>
    </row>
    <row r="298" ht="22.5" customHeight="1">
      <c r="A298" s="7" t="s">
        <v>2725</v>
      </c>
      <c r="B298" s="8" t="s">
        <v>4374</v>
      </c>
      <c r="C298" s="7" t="s">
        <v>4375</v>
      </c>
      <c r="D298" s="7" t="s">
        <v>16</v>
      </c>
      <c r="E298" s="7" t="s">
        <v>3803</v>
      </c>
      <c r="F298" s="7" t="s">
        <v>3850</v>
      </c>
    </row>
    <row r="299" ht="22.5" customHeight="1">
      <c r="A299" s="7" t="s">
        <v>2725</v>
      </c>
      <c r="B299" s="8" t="s">
        <v>4374</v>
      </c>
      <c r="C299" s="7" t="s">
        <v>4376</v>
      </c>
      <c r="D299" s="7" t="s">
        <v>26</v>
      </c>
      <c r="E299" s="7" t="s">
        <v>16</v>
      </c>
      <c r="F299" s="7" t="s">
        <v>16</v>
      </c>
    </row>
    <row r="300" ht="22.5" customHeight="1">
      <c r="A300" s="7" t="s">
        <v>3827</v>
      </c>
      <c r="B300" s="8" t="s">
        <v>4377</v>
      </c>
      <c r="C300" s="7" t="s">
        <v>4378</v>
      </c>
      <c r="D300" s="7" t="s">
        <v>26</v>
      </c>
      <c r="E300" s="7" t="s">
        <v>16</v>
      </c>
      <c r="F300" s="7" t="s">
        <v>16</v>
      </c>
    </row>
    <row r="301" ht="22.5" customHeight="1">
      <c r="A301" s="7" t="s">
        <v>3837</v>
      </c>
      <c r="B301" s="8" t="s">
        <v>4379</v>
      </c>
      <c r="C301" s="7" t="s">
        <v>4380</v>
      </c>
      <c r="D301" s="7" t="s">
        <v>16</v>
      </c>
      <c r="E301" s="7" t="s">
        <v>3806</v>
      </c>
      <c r="F301" s="7" t="s">
        <v>16</v>
      </c>
    </row>
    <row r="302" ht="22.5" customHeight="1">
      <c r="A302" s="7" t="s">
        <v>3827</v>
      </c>
      <c r="B302" s="8" t="s">
        <v>4381</v>
      </c>
      <c r="C302" s="7" t="s">
        <v>4382</v>
      </c>
      <c r="D302" s="7" t="s">
        <v>16</v>
      </c>
      <c r="E302" s="7" t="s">
        <v>3803</v>
      </c>
      <c r="F302" s="7" t="s">
        <v>3816</v>
      </c>
    </row>
    <row r="303" ht="22.5" customHeight="1">
      <c r="A303" s="7" t="s">
        <v>3800</v>
      </c>
      <c r="B303" s="8" t="s">
        <v>4383</v>
      </c>
      <c r="C303" s="7" t="s">
        <v>4384</v>
      </c>
      <c r="D303" s="7" t="s">
        <v>26</v>
      </c>
      <c r="E303" s="7" t="s">
        <v>16</v>
      </c>
      <c r="F303" s="7" t="s">
        <v>16</v>
      </c>
    </row>
    <row r="304" ht="22.5" customHeight="1">
      <c r="A304" s="7" t="s">
        <v>2327</v>
      </c>
      <c r="B304" s="8" t="s">
        <v>4385</v>
      </c>
      <c r="C304" s="7" t="s">
        <v>4386</v>
      </c>
      <c r="D304" s="7" t="s">
        <v>16</v>
      </c>
      <c r="E304" s="7" t="s">
        <v>3799</v>
      </c>
      <c r="F304" s="7" t="s">
        <v>16</v>
      </c>
    </row>
    <row r="305" ht="22.5" customHeight="1">
      <c r="A305" s="7" t="s">
        <v>3827</v>
      </c>
      <c r="B305" s="8" t="s">
        <v>4387</v>
      </c>
      <c r="C305" s="7" t="s">
        <v>4388</v>
      </c>
      <c r="D305" s="7" t="s">
        <v>16</v>
      </c>
      <c r="E305" s="7" t="s">
        <v>3806</v>
      </c>
      <c r="F305" s="7" t="s">
        <v>16</v>
      </c>
    </row>
    <row r="306" ht="22.5" customHeight="1">
      <c r="A306" s="7" t="s">
        <v>2725</v>
      </c>
      <c r="B306" s="8" t="s">
        <v>4389</v>
      </c>
      <c r="C306" s="7" t="s">
        <v>4390</v>
      </c>
      <c r="D306" s="7" t="s">
        <v>16</v>
      </c>
      <c r="E306" s="7" t="s">
        <v>3803</v>
      </c>
      <c r="F306" s="7" t="s">
        <v>3850</v>
      </c>
    </row>
    <row r="307" ht="22.5" customHeight="1">
      <c r="A307" s="7" t="s">
        <v>2725</v>
      </c>
      <c r="B307" s="8" t="s">
        <v>4391</v>
      </c>
      <c r="C307" s="7" t="s">
        <v>4392</v>
      </c>
      <c r="D307" s="7" t="s">
        <v>16</v>
      </c>
      <c r="E307" s="7" t="s">
        <v>3803</v>
      </c>
      <c r="F307" s="7" t="s">
        <v>16</v>
      </c>
    </row>
    <row r="308" ht="22.5" customHeight="1">
      <c r="A308" s="7" t="s">
        <v>3800</v>
      </c>
      <c r="B308" s="8" t="s">
        <v>4393</v>
      </c>
      <c r="C308" s="7" t="s">
        <v>4394</v>
      </c>
      <c r="D308" s="7" t="s">
        <v>16</v>
      </c>
      <c r="E308" s="7" t="s">
        <v>3799</v>
      </c>
      <c r="F308" s="7" t="s">
        <v>16</v>
      </c>
    </row>
    <row r="309" ht="22.5" customHeight="1">
      <c r="A309" s="7" t="s">
        <v>3807</v>
      </c>
      <c r="B309" s="8" t="s">
        <v>4395</v>
      </c>
      <c r="C309" s="7" t="s">
        <v>4396</v>
      </c>
      <c r="D309" s="7" t="s">
        <v>16</v>
      </c>
      <c r="E309" s="7" t="s">
        <v>3806</v>
      </c>
      <c r="F309" s="7" t="s">
        <v>16</v>
      </c>
    </row>
    <row r="310" ht="22.5" customHeight="1">
      <c r="A310" s="7" t="s">
        <v>3800</v>
      </c>
      <c r="B310" s="8" t="s">
        <v>4397</v>
      </c>
      <c r="C310" s="7" t="s">
        <v>4398</v>
      </c>
      <c r="D310" s="7" t="s">
        <v>16</v>
      </c>
      <c r="E310" s="7" t="s">
        <v>3799</v>
      </c>
      <c r="F310" s="7" t="s">
        <v>3879</v>
      </c>
    </row>
    <row r="311" ht="22.5" customHeight="1">
      <c r="A311" s="7" t="s">
        <v>3800</v>
      </c>
      <c r="B311" s="8" t="s">
        <v>4399</v>
      </c>
      <c r="C311" s="7" t="s">
        <v>4400</v>
      </c>
      <c r="D311" s="7" t="s">
        <v>26</v>
      </c>
      <c r="E311" s="7" t="s">
        <v>16</v>
      </c>
      <c r="F311" s="7" t="s">
        <v>16</v>
      </c>
    </row>
    <row r="312" ht="22.5" customHeight="1">
      <c r="A312" s="7" t="s">
        <v>3827</v>
      </c>
      <c r="B312" s="8" t="s">
        <v>4401</v>
      </c>
      <c r="C312" s="7" t="s">
        <v>4402</v>
      </c>
      <c r="D312" s="7" t="s">
        <v>16</v>
      </c>
      <c r="E312" s="7" t="s">
        <v>3799</v>
      </c>
      <c r="F312" s="7" t="s">
        <v>3879</v>
      </c>
    </row>
    <row r="313" ht="22.5" customHeight="1">
      <c r="A313" s="7" t="s">
        <v>3800</v>
      </c>
      <c r="B313" s="8" t="s">
        <v>4403</v>
      </c>
      <c r="C313" s="7" t="s">
        <v>4404</v>
      </c>
      <c r="D313" s="7" t="s">
        <v>16</v>
      </c>
      <c r="E313" s="7" t="s">
        <v>3799</v>
      </c>
      <c r="F313" s="7" t="s">
        <v>3879</v>
      </c>
    </row>
    <row r="314" ht="22.5" customHeight="1">
      <c r="A314" s="7" t="s">
        <v>3837</v>
      </c>
      <c r="B314" s="8" t="s">
        <v>4405</v>
      </c>
      <c r="C314" s="7" t="s">
        <v>4406</v>
      </c>
      <c r="D314" s="7" t="s">
        <v>16</v>
      </c>
      <c r="E314" s="7" t="s">
        <v>3806</v>
      </c>
      <c r="F314" s="7" t="s">
        <v>16</v>
      </c>
    </row>
    <row r="315" ht="22.5" customHeight="1">
      <c r="A315" s="7" t="s">
        <v>2725</v>
      </c>
      <c r="B315" s="8" t="s">
        <v>4407</v>
      </c>
      <c r="C315" s="7" t="s">
        <v>4408</v>
      </c>
      <c r="D315" s="7" t="s">
        <v>16</v>
      </c>
      <c r="E315" s="7" t="s">
        <v>3806</v>
      </c>
      <c r="F315" s="7" t="s">
        <v>3884</v>
      </c>
    </row>
    <row r="316" ht="22.5" customHeight="1">
      <c r="A316" s="7" t="s">
        <v>2725</v>
      </c>
      <c r="B316" s="8" t="s">
        <v>4409</v>
      </c>
      <c r="C316" s="7" t="s">
        <v>4410</v>
      </c>
      <c r="D316" s="7" t="s">
        <v>16</v>
      </c>
      <c r="E316" s="7" t="s">
        <v>3806</v>
      </c>
      <c r="F316" s="7" t="s">
        <v>16</v>
      </c>
    </row>
    <row r="317" ht="22.5" customHeight="1">
      <c r="A317" s="7" t="s">
        <v>2725</v>
      </c>
      <c r="B317" s="8" t="s">
        <v>4409</v>
      </c>
      <c r="C317" s="7" t="s">
        <v>4411</v>
      </c>
      <c r="D317" s="7" t="s">
        <v>26</v>
      </c>
      <c r="E317" s="7" t="s">
        <v>16</v>
      </c>
      <c r="F317" s="7" t="s">
        <v>16</v>
      </c>
    </row>
    <row r="318" ht="22.5" customHeight="1">
      <c r="A318" s="7" t="s">
        <v>2725</v>
      </c>
      <c r="B318" s="8" t="s">
        <v>4412</v>
      </c>
      <c r="C318" s="7" t="s">
        <v>4413</v>
      </c>
      <c r="D318" s="7" t="s">
        <v>16</v>
      </c>
      <c r="E318" s="7" t="s">
        <v>3799</v>
      </c>
      <c r="F318" s="7" t="s">
        <v>16</v>
      </c>
    </row>
    <row r="319" ht="22.5" customHeight="1">
      <c r="A319" s="7" t="s">
        <v>2725</v>
      </c>
      <c r="B319" s="8" t="s">
        <v>4414</v>
      </c>
      <c r="C319" s="7" t="s">
        <v>4415</v>
      </c>
      <c r="D319" s="7" t="s">
        <v>16</v>
      </c>
      <c r="E319" s="7" t="s">
        <v>3806</v>
      </c>
      <c r="F319" s="7" t="s">
        <v>16</v>
      </c>
    </row>
    <row r="320" ht="22.5" customHeight="1">
      <c r="A320" s="7" t="s">
        <v>2327</v>
      </c>
      <c r="B320" s="8" t="s">
        <v>4416</v>
      </c>
      <c r="C320" s="7" t="s">
        <v>4417</v>
      </c>
      <c r="D320" s="7" t="s">
        <v>26</v>
      </c>
      <c r="E320" s="7" t="s">
        <v>16</v>
      </c>
      <c r="F320" s="7" t="s">
        <v>16</v>
      </c>
    </row>
    <row r="321" ht="22.5" customHeight="1">
      <c r="A321" s="7" t="s">
        <v>3807</v>
      </c>
      <c r="B321" s="8" t="s">
        <v>4418</v>
      </c>
      <c r="C321" s="7" t="s">
        <v>4419</v>
      </c>
      <c r="D321" s="7" t="s">
        <v>16</v>
      </c>
      <c r="E321" s="7" t="s">
        <v>3803</v>
      </c>
      <c r="F321" s="7" t="s">
        <v>3993</v>
      </c>
    </row>
    <row r="322" ht="22.5" customHeight="1">
      <c r="A322" s="7" t="s">
        <v>3807</v>
      </c>
      <c r="B322" s="8" t="s">
        <v>4418</v>
      </c>
      <c r="C322" s="7" t="s">
        <v>4420</v>
      </c>
      <c r="D322" s="7" t="s">
        <v>26</v>
      </c>
      <c r="E322" s="7" t="s">
        <v>16</v>
      </c>
      <c r="F322" s="7" t="s">
        <v>16</v>
      </c>
    </row>
    <row r="323" ht="22.5" customHeight="1">
      <c r="A323" s="7" t="s">
        <v>3827</v>
      </c>
      <c r="B323" s="8" t="s">
        <v>4421</v>
      </c>
      <c r="C323" s="7" t="s">
        <v>4422</v>
      </c>
      <c r="D323" s="7" t="s">
        <v>26</v>
      </c>
      <c r="E323" s="7" t="s">
        <v>16</v>
      </c>
      <c r="F323" s="7" t="s">
        <v>16</v>
      </c>
    </row>
    <row r="324" ht="22.5" customHeight="1">
      <c r="A324" s="7" t="s">
        <v>3800</v>
      </c>
      <c r="B324" s="8" t="s">
        <v>4423</v>
      </c>
      <c r="C324" s="7" t="s">
        <v>4424</v>
      </c>
      <c r="D324" s="7" t="s">
        <v>151</v>
      </c>
      <c r="E324" s="7" t="s">
        <v>3806</v>
      </c>
      <c r="F324" s="7" t="s">
        <v>16</v>
      </c>
    </row>
    <row r="325" ht="22.5" customHeight="1">
      <c r="A325" s="7" t="s">
        <v>3827</v>
      </c>
      <c r="B325" s="8" t="s">
        <v>4425</v>
      </c>
      <c r="C325" s="7" t="s">
        <v>4426</v>
      </c>
      <c r="D325" s="7" t="s">
        <v>16</v>
      </c>
      <c r="E325" s="7" t="s">
        <v>3803</v>
      </c>
      <c r="F325" s="7" t="s">
        <v>3816</v>
      </c>
    </row>
    <row r="326" ht="22.5" customHeight="1">
      <c r="A326" s="7" t="s">
        <v>3807</v>
      </c>
      <c r="B326" s="8" t="s">
        <v>4427</v>
      </c>
      <c r="C326" s="7" t="s">
        <v>4428</v>
      </c>
      <c r="D326" s="7" t="s">
        <v>16</v>
      </c>
      <c r="E326" s="7" t="s">
        <v>3799</v>
      </c>
      <c r="F326" s="7" t="s">
        <v>16</v>
      </c>
    </row>
    <row r="327" ht="22.5" customHeight="1">
      <c r="A327" s="7" t="s">
        <v>3807</v>
      </c>
      <c r="B327" s="8" t="s">
        <v>4427</v>
      </c>
      <c r="C327" s="7" t="s">
        <v>4429</v>
      </c>
      <c r="D327" s="7" t="s">
        <v>26</v>
      </c>
      <c r="E327" s="7" t="s">
        <v>16</v>
      </c>
      <c r="F327" s="7" t="s">
        <v>16</v>
      </c>
    </row>
    <row r="328" ht="22.5" customHeight="1">
      <c r="A328" s="7" t="s">
        <v>2725</v>
      </c>
      <c r="B328" s="8" t="s">
        <v>4430</v>
      </c>
      <c r="C328" s="7" t="s">
        <v>4431</v>
      </c>
      <c r="D328" s="7" t="s">
        <v>16</v>
      </c>
      <c r="E328" s="7" t="s">
        <v>3812</v>
      </c>
      <c r="F328" s="7" t="s">
        <v>16</v>
      </c>
    </row>
    <row r="329" ht="22.5" customHeight="1">
      <c r="A329" s="7" t="s">
        <v>2725</v>
      </c>
      <c r="B329" s="8" t="s">
        <v>4432</v>
      </c>
      <c r="C329" s="7" t="s">
        <v>4433</v>
      </c>
      <c r="D329" s="7" t="s">
        <v>16</v>
      </c>
      <c r="E329" s="7" t="s">
        <v>3812</v>
      </c>
      <c r="F329" s="7" t="s">
        <v>16</v>
      </c>
    </row>
    <row r="330" ht="22.5" customHeight="1">
      <c r="A330" s="7" t="s">
        <v>2725</v>
      </c>
      <c r="B330" s="8" t="s">
        <v>4432</v>
      </c>
      <c r="C330" s="7" t="s">
        <v>4434</v>
      </c>
      <c r="D330" s="7" t="s">
        <v>26</v>
      </c>
      <c r="E330" s="7" t="s">
        <v>16</v>
      </c>
      <c r="F330" s="7" t="s">
        <v>16</v>
      </c>
    </row>
    <row r="331" ht="22.5" customHeight="1">
      <c r="A331" s="7" t="s">
        <v>2725</v>
      </c>
      <c r="B331" s="8" t="s">
        <v>4432</v>
      </c>
      <c r="C331" s="7" t="s">
        <v>4435</v>
      </c>
      <c r="D331" s="7" t="s">
        <v>26</v>
      </c>
      <c r="E331" s="7" t="s">
        <v>16</v>
      </c>
      <c r="F331" s="7" t="s">
        <v>16</v>
      </c>
    </row>
    <row r="332" ht="22.5" customHeight="1">
      <c r="A332" s="7" t="s">
        <v>3827</v>
      </c>
      <c r="B332" s="8" t="s">
        <v>4436</v>
      </c>
      <c r="C332" s="7" t="s">
        <v>4437</v>
      </c>
      <c r="D332" s="7" t="s">
        <v>16</v>
      </c>
      <c r="E332" s="7" t="s">
        <v>3799</v>
      </c>
      <c r="F332" s="7" t="s">
        <v>16</v>
      </c>
    </row>
    <row r="333" ht="22.5" customHeight="1">
      <c r="A333" s="7" t="s">
        <v>2327</v>
      </c>
      <c r="B333" s="8" t="s">
        <v>4438</v>
      </c>
      <c r="C333" s="7" t="s">
        <v>4439</v>
      </c>
      <c r="D333" s="7" t="s">
        <v>16</v>
      </c>
      <c r="E333" s="7" t="s">
        <v>3799</v>
      </c>
      <c r="F333" s="7" t="s">
        <v>16</v>
      </c>
    </row>
    <row r="334" ht="22.5" customHeight="1">
      <c r="A334" s="7" t="s">
        <v>3837</v>
      </c>
      <c r="B334" s="8" t="s">
        <v>4440</v>
      </c>
      <c r="C334" s="7" t="s">
        <v>4441</v>
      </c>
      <c r="D334" s="7" t="s">
        <v>16</v>
      </c>
      <c r="E334" s="7" t="s">
        <v>3799</v>
      </c>
      <c r="F334" s="7" t="s">
        <v>16</v>
      </c>
    </row>
    <row r="335" ht="22.5" customHeight="1">
      <c r="A335" s="7" t="s">
        <v>3827</v>
      </c>
      <c r="B335" s="8" t="s">
        <v>4442</v>
      </c>
      <c r="C335" s="7" t="s">
        <v>4443</v>
      </c>
      <c r="D335" s="7" t="s">
        <v>26</v>
      </c>
      <c r="E335" s="7" t="s">
        <v>16</v>
      </c>
      <c r="F335" s="7" t="s">
        <v>16</v>
      </c>
    </row>
    <row r="336" ht="22.5" customHeight="1">
      <c r="A336" s="7" t="s">
        <v>3807</v>
      </c>
      <c r="B336" s="8" t="s">
        <v>4444</v>
      </c>
      <c r="C336" s="7" t="s">
        <v>4445</v>
      </c>
      <c r="D336" s="7" t="s">
        <v>16</v>
      </c>
      <c r="E336" s="7" t="s">
        <v>3799</v>
      </c>
      <c r="F336" s="7" t="s">
        <v>3945</v>
      </c>
    </row>
    <row r="337" ht="22.5" customHeight="1">
      <c r="A337" s="7" t="s">
        <v>2725</v>
      </c>
      <c r="B337" s="8" t="s">
        <v>4446</v>
      </c>
      <c r="C337" s="7" t="s">
        <v>4447</v>
      </c>
      <c r="D337" s="7" t="s">
        <v>16</v>
      </c>
      <c r="E337" s="7" t="s">
        <v>3806</v>
      </c>
      <c r="F337" s="7" t="s">
        <v>3816</v>
      </c>
    </row>
    <row r="338" ht="22.5" customHeight="1">
      <c r="A338" s="7" t="s">
        <v>2725</v>
      </c>
      <c r="B338" s="8" t="s">
        <v>4448</v>
      </c>
      <c r="C338" s="7" t="s">
        <v>4449</v>
      </c>
      <c r="D338" s="7" t="s">
        <v>16</v>
      </c>
      <c r="E338" s="7" t="s">
        <v>3806</v>
      </c>
      <c r="F338" s="7" t="s">
        <v>16</v>
      </c>
    </row>
    <row r="339" ht="22.5" customHeight="1">
      <c r="A339" s="7" t="s">
        <v>2725</v>
      </c>
      <c r="B339" s="8" t="s">
        <v>4450</v>
      </c>
      <c r="C339" s="7" t="s">
        <v>4451</v>
      </c>
      <c r="D339" s="7" t="s">
        <v>16</v>
      </c>
      <c r="E339" s="7" t="s">
        <v>3806</v>
      </c>
      <c r="F339" s="7" t="s">
        <v>16</v>
      </c>
    </row>
    <row r="340" ht="22.5" customHeight="1">
      <c r="A340" s="7" t="s">
        <v>3800</v>
      </c>
      <c r="B340" s="8" t="s">
        <v>4452</v>
      </c>
      <c r="C340" s="7" t="s">
        <v>4453</v>
      </c>
      <c r="D340" s="7" t="s">
        <v>16</v>
      </c>
      <c r="E340" s="7" t="s">
        <v>3799</v>
      </c>
      <c r="F340" s="7" t="s">
        <v>3879</v>
      </c>
    </row>
    <row r="341" ht="22.5" customHeight="1">
      <c r="A341" s="7" t="s">
        <v>3800</v>
      </c>
      <c r="B341" s="8" t="s">
        <v>4454</v>
      </c>
      <c r="C341" s="7" t="s">
        <v>4455</v>
      </c>
      <c r="D341" s="7" t="s">
        <v>16</v>
      </c>
      <c r="E341" s="7" t="s">
        <v>3806</v>
      </c>
      <c r="F341" s="7" t="s">
        <v>3884</v>
      </c>
    </row>
    <row r="342" ht="22.5" customHeight="1">
      <c r="A342" s="7" t="s">
        <v>2725</v>
      </c>
      <c r="B342" s="8" t="s">
        <v>4456</v>
      </c>
      <c r="C342" s="7" t="s">
        <v>4457</v>
      </c>
      <c r="D342" s="7" t="s">
        <v>16</v>
      </c>
      <c r="E342" s="7" t="s">
        <v>3806</v>
      </c>
      <c r="F342" s="7" t="s">
        <v>3884</v>
      </c>
    </row>
    <row r="343" ht="22.5" customHeight="1">
      <c r="A343" s="7" t="s">
        <v>3800</v>
      </c>
      <c r="B343" s="8" t="s">
        <v>4458</v>
      </c>
      <c r="C343" s="7" t="s">
        <v>4459</v>
      </c>
      <c r="D343" s="7" t="s">
        <v>16</v>
      </c>
      <c r="E343" s="7" t="s">
        <v>3806</v>
      </c>
      <c r="F343" s="7" t="s">
        <v>16</v>
      </c>
    </row>
    <row r="344" ht="22.5" customHeight="1">
      <c r="A344" s="7" t="s">
        <v>3800</v>
      </c>
      <c r="B344" s="8" t="s">
        <v>4460</v>
      </c>
      <c r="C344" s="7" t="s">
        <v>4461</v>
      </c>
      <c r="D344" s="7" t="s">
        <v>26</v>
      </c>
      <c r="E344" s="7" t="s">
        <v>16</v>
      </c>
      <c r="F344" s="7" t="s">
        <v>16</v>
      </c>
    </row>
    <row r="345" ht="22.5" customHeight="1">
      <c r="A345" s="7" t="s">
        <v>3800</v>
      </c>
      <c r="B345" s="8" t="s">
        <v>4462</v>
      </c>
      <c r="C345" s="7" t="s">
        <v>4463</v>
      </c>
      <c r="D345" s="7" t="s">
        <v>26</v>
      </c>
      <c r="E345" s="7" t="s">
        <v>16</v>
      </c>
      <c r="F345" s="7" t="s">
        <v>16</v>
      </c>
    </row>
    <row r="346" ht="22.5" customHeight="1">
      <c r="A346" s="7" t="s">
        <v>2327</v>
      </c>
      <c r="B346" s="8" t="s">
        <v>4464</v>
      </c>
      <c r="C346" s="7" t="s">
        <v>4465</v>
      </c>
      <c r="D346" s="7" t="s">
        <v>26</v>
      </c>
      <c r="E346" s="7" t="s">
        <v>16</v>
      </c>
      <c r="F346" s="7" t="s">
        <v>16</v>
      </c>
    </row>
    <row r="347" ht="22.5" customHeight="1">
      <c r="A347" s="7" t="s">
        <v>3827</v>
      </c>
      <c r="B347" s="8" t="s">
        <v>4466</v>
      </c>
      <c r="C347" s="7" t="s">
        <v>4467</v>
      </c>
      <c r="D347" s="7" t="s">
        <v>16</v>
      </c>
      <c r="E347" s="7" t="s">
        <v>3799</v>
      </c>
      <c r="F347" s="7" t="s">
        <v>16</v>
      </c>
    </row>
    <row r="348" ht="22.5" customHeight="1">
      <c r="A348" s="7" t="s">
        <v>3800</v>
      </c>
      <c r="B348" s="8" t="s">
        <v>4468</v>
      </c>
      <c r="C348" s="7" t="s">
        <v>4469</v>
      </c>
      <c r="D348" s="7" t="s">
        <v>16</v>
      </c>
      <c r="E348" s="7" t="s">
        <v>3799</v>
      </c>
      <c r="F348" s="7" t="s">
        <v>16</v>
      </c>
    </row>
    <row r="349" ht="22.5" customHeight="1">
      <c r="A349" s="7" t="s">
        <v>3871</v>
      </c>
      <c r="B349" s="8" t="s">
        <v>4470</v>
      </c>
      <c r="C349" s="7" t="s">
        <v>4471</v>
      </c>
      <c r="D349" s="7" t="s">
        <v>26</v>
      </c>
      <c r="E349" s="7" t="s">
        <v>16</v>
      </c>
      <c r="F349" s="7" t="s">
        <v>16</v>
      </c>
    </row>
    <row r="350" ht="22.5" customHeight="1">
      <c r="A350" s="7" t="s">
        <v>3800</v>
      </c>
      <c r="B350" s="8" t="s">
        <v>4472</v>
      </c>
      <c r="C350" s="7" t="s">
        <v>4473</v>
      </c>
      <c r="D350" s="7" t="s">
        <v>16</v>
      </c>
      <c r="E350" s="7" t="s">
        <v>3803</v>
      </c>
      <c r="F350" s="7" t="s">
        <v>3850</v>
      </c>
    </row>
    <row r="351" ht="22.5" customHeight="1">
      <c r="A351" s="7" t="s">
        <v>3800</v>
      </c>
      <c r="B351" s="8" t="s">
        <v>4474</v>
      </c>
      <c r="C351" s="7" t="s">
        <v>4475</v>
      </c>
      <c r="D351" s="7" t="s">
        <v>3850</v>
      </c>
      <c r="E351" s="7" t="s">
        <v>3803</v>
      </c>
      <c r="F351" s="7" t="s">
        <v>3850</v>
      </c>
    </row>
    <row r="352" ht="22.5" customHeight="1">
      <c r="A352" s="7" t="s">
        <v>3827</v>
      </c>
      <c r="B352" s="8" t="s">
        <v>4476</v>
      </c>
      <c r="C352" s="7" t="s">
        <v>4477</v>
      </c>
      <c r="D352" s="7" t="s">
        <v>26</v>
      </c>
      <c r="E352" s="7" t="s">
        <v>16</v>
      </c>
      <c r="F352" s="7" t="s">
        <v>16</v>
      </c>
    </row>
    <row r="353" ht="22.5" customHeight="1">
      <c r="A353" s="7" t="s">
        <v>2327</v>
      </c>
      <c r="B353" s="8" t="s">
        <v>4478</v>
      </c>
      <c r="C353" s="7" t="s">
        <v>4479</v>
      </c>
      <c r="D353" s="7" t="s">
        <v>26</v>
      </c>
      <c r="E353" s="7" t="s">
        <v>16</v>
      </c>
      <c r="F353" s="7" t="s">
        <v>16</v>
      </c>
    </row>
    <row r="354" ht="22.5" customHeight="1">
      <c r="A354" s="7" t="s">
        <v>3800</v>
      </c>
      <c r="B354" s="8" t="s">
        <v>4480</v>
      </c>
      <c r="C354" s="7" t="s">
        <v>4481</v>
      </c>
      <c r="D354" s="7" t="s">
        <v>26</v>
      </c>
      <c r="E354" s="7" t="s">
        <v>16</v>
      </c>
      <c r="F354" s="7" t="s">
        <v>16</v>
      </c>
    </row>
    <row r="355" ht="22.5" customHeight="1">
      <c r="A355" s="7" t="s">
        <v>3807</v>
      </c>
      <c r="B355" s="8" t="s">
        <v>4482</v>
      </c>
      <c r="C355" s="7" t="s">
        <v>4483</v>
      </c>
      <c r="D355" s="7" t="s">
        <v>16</v>
      </c>
      <c r="E355" s="7" t="s">
        <v>3806</v>
      </c>
      <c r="F355" s="7" t="s">
        <v>16</v>
      </c>
    </row>
    <row r="356" ht="22.5" customHeight="1">
      <c r="A356" s="7" t="s">
        <v>3807</v>
      </c>
      <c r="B356" s="8" t="s">
        <v>4482</v>
      </c>
      <c r="C356" s="7" t="s">
        <v>4484</v>
      </c>
      <c r="D356" s="7" t="s">
        <v>26</v>
      </c>
      <c r="E356" s="7" t="s">
        <v>16</v>
      </c>
      <c r="F356" s="7" t="s">
        <v>16</v>
      </c>
    </row>
    <row r="357" ht="22.5" customHeight="1">
      <c r="A357" s="7" t="s">
        <v>3827</v>
      </c>
      <c r="B357" s="8" t="s">
        <v>4485</v>
      </c>
      <c r="C357" s="7" t="s">
        <v>4486</v>
      </c>
      <c r="D357" s="7" t="s">
        <v>16</v>
      </c>
      <c r="E357" s="7" t="s">
        <v>3806</v>
      </c>
      <c r="F357" s="7" t="s">
        <v>16</v>
      </c>
    </row>
    <row r="358" ht="22.5" customHeight="1">
      <c r="A358" s="7" t="s">
        <v>3827</v>
      </c>
      <c r="B358" s="8" t="s">
        <v>4485</v>
      </c>
      <c r="C358" s="7" t="s">
        <v>4487</v>
      </c>
      <c r="D358" s="7" t="s">
        <v>16</v>
      </c>
      <c r="E358" s="7" t="s">
        <v>3806</v>
      </c>
      <c r="F358" s="7" t="s">
        <v>16</v>
      </c>
    </row>
    <row r="359" ht="22.5" customHeight="1">
      <c r="A359" s="7" t="s">
        <v>3827</v>
      </c>
      <c r="B359" s="8" t="s">
        <v>4488</v>
      </c>
      <c r="C359" s="7" t="s">
        <v>4489</v>
      </c>
      <c r="D359" s="7" t="s">
        <v>16</v>
      </c>
      <c r="E359" s="7" t="s">
        <v>3806</v>
      </c>
      <c r="F359" s="7" t="s">
        <v>3884</v>
      </c>
    </row>
    <row r="360" ht="22.5" customHeight="1">
      <c r="A360" s="7" t="s">
        <v>2725</v>
      </c>
      <c r="B360" s="8" t="s">
        <v>4490</v>
      </c>
      <c r="C360" s="7" t="s">
        <v>4491</v>
      </c>
      <c r="D360" s="7" t="s">
        <v>16</v>
      </c>
      <c r="E360" s="7" t="s">
        <v>3806</v>
      </c>
      <c r="F360" s="7" t="s">
        <v>3884</v>
      </c>
    </row>
    <row r="361" ht="22.5" customHeight="1">
      <c r="A361" s="7" t="s">
        <v>3807</v>
      </c>
      <c r="B361" s="8" t="s">
        <v>4492</v>
      </c>
      <c r="C361" s="7" t="s">
        <v>4493</v>
      </c>
      <c r="D361" s="7" t="s">
        <v>16</v>
      </c>
      <c r="E361" s="7" t="s">
        <v>3806</v>
      </c>
      <c r="F361" s="7" t="s">
        <v>3884</v>
      </c>
    </row>
    <row r="362" ht="22.5" customHeight="1">
      <c r="A362" s="7" t="s">
        <v>2725</v>
      </c>
      <c r="B362" s="8" t="s">
        <v>4494</v>
      </c>
      <c r="C362" s="7" t="s">
        <v>4495</v>
      </c>
      <c r="D362" s="7" t="s">
        <v>16</v>
      </c>
      <c r="E362" s="7" t="s">
        <v>3799</v>
      </c>
      <c r="F362" s="7" t="s">
        <v>4107</v>
      </c>
    </row>
    <row r="363" ht="22.5" customHeight="1">
      <c r="A363" s="7" t="s">
        <v>2725</v>
      </c>
      <c r="B363" s="8" t="s">
        <v>4496</v>
      </c>
      <c r="C363" s="7" t="s">
        <v>4497</v>
      </c>
      <c r="D363" s="7" t="s">
        <v>26</v>
      </c>
      <c r="E363" s="7" t="s">
        <v>16</v>
      </c>
      <c r="F363" s="7" t="s">
        <v>16</v>
      </c>
    </row>
    <row r="364" ht="22.5" customHeight="1">
      <c r="A364" s="7" t="s">
        <v>2725</v>
      </c>
      <c r="B364" s="8" t="s">
        <v>4496</v>
      </c>
      <c r="C364" s="7" t="s">
        <v>4498</v>
      </c>
      <c r="D364" s="7" t="s">
        <v>26</v>
      </c>
      <c r="E364" s="7" t="s">
        <v>16</v>
      </c>
      <c r="F364" s="7" t="s">
        <v>16</v>
      </c>
    </row>
    <row r="365" ht="22.5" customHeight="1">
      <c r="A365" s="7" t="s">
        <v>2725</v>
      </c>
      <c r="B365" s="8" t="s">
        <v>4496</v>
      </c>
      <c r="C365" s="7" t="s">
        <v>4499</v>
      </c>
      <c r="D365" s="7" t="s">
        <v>26</v>
      </c>
      <c r="E365" s="7" t="s">
        <v>16</v>
      </c>
      <c r="F365" s="7" t="s">
        <v>16</v>
      </c>
    </row>
    <row r="366" ht="22.5" customHeight="1">
      <c r="A366" s="7" t="s">
        <v>2725</v>
      </c>
      <c r="B366" s="8" t="s">
        <v>4496</v>
      </c>
      <c r="C366" s="7" t="s">
        <v>4500</v>
      </c>
      <c r="D366" s="7" t="s">
        <v>26</v>
      </c>
      <c r="E366" s="7" t="s">
        <v>16</v>
      </c>
      <c r="F366" s="7" t="s">
        <v>16</v>
      </c>
    </row>
    <row r="367" ht="22.5" customHeight="1">
      <c r="A367" s="7" t="s">
        <v>2725</v>
      </c>
      <c r="B367" s="8" t="s">
        <v>4501</v>
      </c>
      <c r="C367" s="7" t="s">
        <v>4502</v>
      </c>
      <c r="D367" s="7" t="s">
        <v>26</v>
      </c>
      <c r="E367" s="7" t="s">
        <v>16</v>
      </c>
      <c r="F367" s="7" t="s">
        <v>16</v>
      </c>
    </row>
    <row r="368" ht="22.5" customHeight="1">
      <c r="A368" s="7" t="s">
        <v>2327</v>
      </c>
      <c r="B368" s="8" t="s">
        <v>4503</v>
      </c>
      <c r="C368" s="7" t="s">
        <v>4504</v>
      </c>
      <c r="D368" s="7" t="s">
        <v>26</v>
      </c>
      <c r="E368" s="7" t="s">
        <v>16</v>
      </c>
      <c r="F368" s="7" t="s">
        <v>16</v>
      </c>
    </row>
    <row r="369" ht="22.5" customHeight="1">
      <c r="A369" s="7" t="s">
        <v>3837</v>
      </c>
      <c r="B369" s="8" t="s">
        <v>4505</v>
      </c>
      <c r="C369" s="7" t="s">
        <v>4506</v>
      </c>
      <c r="D369" s="7" t="s">
        <v>16</v>
      </c>
      <c r="E369" s="7" t="s">
        <v>3799</v>
      </c>
      <c r="F369" s="7" t="s">
        <v>16</v>
      </c>
    </row>
    <row r="370" ht="22.5" customHeight="1">
      <c r="A370" s="7" t="s">
        <v>3837</v>
      </c>
      <c r="B370" s="8" t="s">
        <v>4505</v>
      </c>
      <c r="C370" s="7" t="s">
        <v>4507</v>
      </c>
      <c r="D370" s="7" t="s">
        <v>16</v>
      </c>
      <c r="E370" s="7" t="s">
        <v>3799</v>
      </c>
      <c r="F370" s="7" t="s">
        <v>16</v>
      </c>
    </row>
    <row r="371" ht="22.5" customHeight="1">
      <c r="A371" s="7" t="s">
        <v>3837</v>
      </c>
      <c r="B371" s="8" t="s">
        <v>4508</v>
      </c>
      <c r="C371" s="7" t="s">
        <v>4509</v>
      </c>
      <c r="D371" s="7" t="s">
        <v>4510</v>
      </c>
      <c r="E371" s="7" t="s">
        <v>3806</v>
      </c>
      <c r="F371" s="7" t="s">
        <v>16</v>
      </c>
    </row>
    <row r="372" ht="22.5" customHeight="1">
      <c r="A372" s="7" t="s">
        <v>3807</v>
      </c>
      <c r="B372" s="8" t="s">
        <v>4511</v>
      </c>
      <c r="C372" s="7" t="s">
        <v>4512</v>
      </c>
      <c r="D372" s="7" t="s">
        <v>26</v>
      </c>
      <c r="E372" s="7" t="s">
        <v>16</v>
      </c>
      <c r="F372" s="7" t="s">
        <v>16</v>
      </c>
    </row>
    <row r="373" ht="22.5" customHeight="1">
      <c r="A373" s="7" t="s">
        <v>3827</v>
      </c>
      <c r="B373" s="8" t="s">
        <v>4513</v>
      </c>
      <c r="C373" s="7" t="s">
        <v>4514</v>
      </c>
      <c r="D373" s="7" t="s">
        <v>4510</v>
      </c>
      <c r="E373" s="7" t="s">
        <v>3806</v>
      </c>
      <c r="F373" s="7" t="s">
        <v>16</v>
      </c>
    </row>
    <row r="374" ht="22.5" customHeight="1">
      <c r="A374" s="7" t="s">
        <v>3827</v>
      </c>
      <c r="B374" s="8" t="s">
        <v>4515</v>
      </c>
      <c r="C374" s="7" t="s">
        <v>4516</v>
      </c>
      <c r="D374" s="7" t="s">
        <v>26</v>
      </c>
      <c r="E374" s="7" t="s">
        <v>16</v>
      </c>
      <c r="F374" s="7" t="s">
        <v>16</v>
      </c>
    </row>
    <row r="375" ht="22.5" customHeight="1">
      <c r="A375" s="7" t="s">
        <v>3800</v>
      </c>
      <c r="B375" s="8" t="s">
        <v>4517</v>
      </c>
      <c r="C375" s="7" t="s">
        <v>4518</v>
      </c>
      <c r="D375" s="7" t="s">
        <v>26</v>
      </c>
      <c r="E375" s="7" t="s">
        <v>16</v>
      </c>
      <c r="F375" s="7" t="s">
        <v>16</v>
      </c>
    </row>
    <row r="376" ht="22.5" customHeight="1">
      <c r="A376" s="7" t="s">
        <v>3800</v>
      </c>
      <c r="B376" s="8" t="s">
        <v>4519</v>
      </c>
      <c r="C376" s="7" t="s">
        <v>4520</v>
      </c>
      <c r="D376" s="7" t="s">
        <v>16</v>
      </c>
      <c r="E376" s="7" t="s">
        <v>3806</v>
      </c>
      <c r="F376" s="7" t="s">
        <v>16</v>
      </c>
    </row>
    <row r="377" ht="22.5" customHeight="1">
      <c r="A377" s="7" t="s">
        <v>3837</v>
      </c>
      <c r="B377" s="8" t="s">
        <v>4521</v>
      </c>
      <c r="C377" s="7" t="s">
        <v>4522</v>
      </c>
      <c r="D377" s="7" t="s">
        <v>16</v>
      </c>
      <c r="E377" s="7" t="s">
        <v>3799</v>
      </c>
      <c r="F377" s="7" t="s">
        <v>16</v>
      </c>
    </row>
    <row r="378" ht="22.5" customHeight="1">
      <c r="A378" s="7" t="s">
        <v>3800</v>
      </c>
      <c r="B378" s="8" t="s">
        <v>4523</v>
      </c>
      <c r="C378" s="7" t="s">
        <v>4524</v>
      </c>
      <c r="D378" s="7" t="s">
        <v>16</v>
      </c>
      <c r="E378" s="7" t="s">
        <v>3803</v>
      </c>
      <c r="F378" s="7" t="s">
        <v>16</v>
      </c>
    </row>
    <row r="379" ht="22.5" customHeight="1">
      <c r="A379" s="7" t="s">
        <v>3800</v>
      </c>
      <c r="B379" s="8" t="s">
        <v>4525</v>
      </c>
      <c r="C379" s="7" t="s">
        <v>4526</v>
      </c>
      <c r="D379" s="7" t="s">
        <v>26</v>
      </c>
      <c r="E379" s="7" t="s">
        <v>16</v>
      </c>
      <c r="F379" s="7" t="s">
        <v>16</v>
      </c>
    </row>
    <row r="380" ht="22.5" customHeight="1">
      <c r="A380" s="7" t="s">
        <v>2725</v>
      </c>
      <c r="B380" s="8" t="s">
        <v>4527</v>
      </c>
      <c r="C380" s="7" t="s">
        <v>4528</v>
      </c>
      <c r="D380" s="7" t="s">
        <v>16</v>
      </c>
      <c r="E380" s="7" t="s">
        <v>3806</v>
      </c>
      <c r="F380" s="7" t="s">
        <v>3884</v>
      </c>
    </row>
    <row r="381" ht="22.5" customHeight="1">
      <c r="A381" s="7" t="s">
        <v>3800</v>
      </c>
      <c r="B381" s="8" t="s">
        <v>4529</v>
      </c>
      <c r="C381" s="7" t="s">
        <v>4530</v>
      </c>
      <c r="D381" s="7" t="s">
        <v>16</v>
      </c>
      <c r="E381" s="7" t="s">
        <v>3799</v>
      </c>
      <c r="F381" s="7" t="s">
        <v>16</v>
      </c>
    </row>
    <row r="382" ht="22.5" customHeight="1">
      <c r="A382" s="7" t="s">
        <v>3800</v>
      </c>
      <c r="B382" s="8" t="s">
        <v>4529</v>
      </c>
      <c r="C382" s="7" t="s">
        <v>4531</v>
      </c>
      <c r="D382" s="7" t="s">
        <v>26</v>
      </c>
      <c r="E382" s="7" t="s">
        <v>16</v>
      </c>
      <c r="F382" s="7" t="s">
        <v>16</v>
      </c>
    </row>
    <row r="383" ht="22.5" customHeight="1">
      <c r="A383" s="7" t="s">
        <v>2725</v>
      </c>
      <c r="B383" s="8" t="s">
        <v>4532</v>
      </c>
      <c r="C383" s="7" t="s">
        <v>4533</v>
      </c>
      <c r="D383" s="7" t="s">
        <v>16</v>
      </c>
      <c r="E383" s="7" t="s">
        <v>3799</v>
      </c>
      <c r="F383" s="7" t="s">
        <v>16</v>
      </c>
    </row>
    <row r="384" ht="22.5" customHeight="1">
      <c r="A384" s="7" t="s">
        <v>3800</v>
      </c>
      <c r="B384" s="8" t="s">
        <v>4534</v>
      </c>
      <c r="C384" s="7" t="s">
        <v>4535</v>
      </c>
      <c r="D384" s="7" t="s">
        <v>16</v>
      </c>
      <c r="E384" s="7" t="s">
        <v>3799</v>
      </c>
      <c r="F384" s="7" t="s">
        <v>16</v>
      </c>
    </row>
    <row r="385" ht="22.5" customHeight="1">
      <c r="A385" s="7" t="s">
        <v>2327</v>
      </c>
      <c r="B385" s="8" t="s">
        <v>4536</v>
      </c>
      <c r="C385" s="7" t="s">
        <v>4537</v>
      </c>
      <c r="D385" s="7" t="s">
        <v>26</v>
      </c>
      <c r="E385" s="7" t="s">
        <v>16</v>
      </c>
      <c r="F385" s="7" t="s">
        <v>16</v>
      </c>
    </row>
    <row r="386" ht="22.5" customHeight="1">
      <c r="A386" s="7" t="s">
        <v>3827</v>
      </c>
      <c r="B386" s="8" t="s">
        <v>4538</v>
      </c>
      <c r="C386" s="7" t="s">
        <v>4539</v>
      </c>
      <c r="D386" s="7" t="s">
        <v>16</v>
      </c>
      <c r="E386" s="7" t="s">
        <v>3803</v>
      </c>
      <c r="F386" s="7" t="s">
        <v>16</v>
      </c>
    </row>
    <row r="387" ht="22.5" customHeight="1">
      <c r="A387" s="7" t="s">
        <v>3807</v>
      </c>
      <c r="B387" s="8" t="s">
        <v>4540</v>
      </c>
      <c r="C387" s="7" t="s">
        <v>4541</v>
      </c>
      <c r="D387" s="7" t="s">
        <v>16</v>
      </c>
      <c r="E387" s="7" t="s">
        <v>3812</v>
      </c>
      <c r="F387" s="7" t="s">
        <v>16</v>
      </c>
    </row>
    <row r="388" ht="22.5" customHeight="1">
      <c r="A388" s="7" t="s">
        <v>3807</v>
      </c>
      <c r="B388" s="8" t="s">
        <v>4540</v>
      </c>
      <c r="C388" s="7" t="s">
        <v>4542</v>
      </c>
      <c r="D388" s="7" t="s">
        <v>16</v>
      </c>
      <c r="E388" s="7" t="s">
        <v>16</v>
      </c>
      <c r="F388" s="7" t="s">
        <v>16</v>
      </c>
    </row>
    <row r="389" ht="22.5" customHeight="1">
      <c r="A389" s="7" t="s">
        <v>3827</v>
      </c>
      <c r="B389" s="8" t="s">
        <v>4543</v>
      </c>
      <c r="C389" s="7" t="s">
        <v>4544</v>
      </c>
      <c r="D389" s="7" t="s">
        <v>16</v>
      </c>
      <c r="E389" s="7" t="s">
        <v>3812</v>
      </c>
      <c r="F389" s="7" t="s">
        <v>16</v>
      </c>
    </row>
    <row r="390" ht="22.5" customHeight="1">
      <c r="A390" s="7" t="s">
        <v>3800</v>
      </c>
      <c r="B390" s="8" t="s">
        <v>4545</v>
      </c>
      <c r="C390" s="7" t="s">
        <v>4546</v>
      </c>
      <c r="D390" s="7" t="s">
        <v>16</v>
      </c>
      <c r="E390" s="7" t="s">
        <v>3803</v>
      </c>
      <c r="F390" s="7" t="s">
        <v>3964</v>
      </c>
    </row>
    <row r="391" ht="22.5" customHeight="1">
      <c r="A391" s="7" t="s">
        <v>3827</v>
      </c>
      <c r="B391" s="8" t="s">
        <v>4547</v>
      </c>
      <c r="C391" s="7" t="s">
        <v>4548</v>
      </c>
      <c r="D391" s="7" t="s">
        <v>26</v>
      </c>
      <c r="E391" s="7" t="s">
        <v>16</v>
      </c>
      <c r="F391" s="7" t="s">
        <v>16</v>
      </c>
    </row>
    <row r="392" ht="22.5" customHeight="1">
      <c r="A392" s="7" t="s">
        <v>3807</v>
      </c>
      <c r="B392" s="8" t="s">
        <v>4549</v>
      </c>
      <c r="C392" s="7" t="s">
        <v>4550</v>
      </c>
      <c r="D392" s="7" t="s">
        <v>16</v>
      </c>
      <c r="E392" s="7" t="s">
        <v>3799</v>
      </c>
      <c r="F392" s="7" t="s">
        <v>16</v>
      </c>
    </row>
    <row r="393" ht="22.5" customHeight="1">
      <c r="A393" s="7" t="s">
        <v>3800</v>
      </c>
      <c r="B393" s="8" t="s">
        <v>4551</v>
      </c>
      <c r="C393" s="7" t="s">
        <v>4552</v>
      </c>
      <c r="D393" s="7" t="s">
        <v>16</v>
      </c>
      <c r="E393" s="7" t="s">
        <v>3799</v>
      </c>
      <c r="F393" s="7" t="s">
        <v>4107</v>
      </c>
    </row>
    <row r="394" ht="22.5" customHeight="1">
      <c r="A394" s="7" t="s">
        <v>2725</v>
      </c>
      <c r="B394" s="8" t="s">
        <v>4553</v>
      </c>
      <c r="C394" s="7" t="s">
        <v>4554</v>
      </c>
      <c r="D394" s="7" t="s">
        <v>16</v>
      </c>
      <c r="E394" s="7" t="s">
        <v>3799</v>
      </c>
      <c r="F394" s="7" t="s">
        <v>16</v>
      </c>
    </row>
    <row r="395" ht="22.5" customHeight="1">
      <c r="A395" s="7" t="s">
        <v>2327</v>
      </c>
      <c r="B395" s="8" t="s">
        <v>4555</v>
      </c>
      <c r="C395" s="7" t="s">
        <v>4556</v>
      </c>
      <c r="D395" s="7" t="s">
        <v>16</v>
      </c>
      <c r="E395" s="7" t="s">
        <v>3812</v>
      </c>
      <c r="F395" s="7" t="s">
        <v>16</v>
      </c>
    </row>
    <row r="396" ht="22.5" customHeight="1">
      <c r="A396" s="7" t="s">
        <v>2327</v>
      </c>
      <c r="B396" s="8" t="s">
        <v>4555</v>
      </c>
      <c r="C396" s="7" t="s">
        <v>4557</v>
      </c>
      <c r="D396" s="7" t="s">
        <v>26</v>
      </c>
      <c r="E396" s="7" t="s">
        <v>16</v>
      </c>
      <c r="F396" s="7" t="s">
        <v>16</v>
      </c>
    </row>
    <row r="397" ht="22.5" customHeight="1">
      <c r="A397" s="7" t="s">
        <v>3827</v>
      </c>
      <c r="B397" s="8" t="s">
        <v>4558</v>
      </c>
      <c r="C397" s="7" t="s">
        <v>4559</v>
      </c>
      <c r="D397" s="7" t="s">
        <v>16</v>
      </c>
      <c r="E397" s="7" t="s">
        <v>3806</v>
      </c>
      <c r="F397" s="7" t="s">
        <v>16</v>
      </c>
    </row>
    <row r="398" ht="22.5" customHeight="1">
      <c r="A398" s="7" t="s">
        <v>3827</v>
      </c>
      <c r="B398" s="8" t="s">
        <v>4558</v>
      </c>
      <c r="C398" s="7" t="s">
        <v>4560</v>
      </c>
      <c r="D398" s="7" t="s">
        <v>26</v>
      </c>
      <c r="E398" s="7" t="s">
        <v>16</v>
      </c>
      <c r="F398" s="7" t="s">
        <v>16</v>
      </c>
    </row>
    <row r="399" ht="22.5" customHeight="1">
      <c r="A399" s="7" t="s">
        <v>3827</v>
      </c>
      <c r="B399" s="8" t="s">
        <v>4558</v>
      </c>
      <c r="C399" s="7" t="s">
        <v>4561</v>
      </c>
      <c r="D399" s="7" t="s">
        <v>26</v>
      </c>
      <c r="E399" s="7" t="s">
        <v>16</v>
      </c>
      <c r="F399" s="7" t="s">
        <v>16</v>
      </c>
    </row>
    <row r="400" ht="22.5" customHeight="1">
      <c r="A400" s="7" t="s">
        <v>3827</v>
      </c>
      <c r="B400" s="8" t="s">
        <v>4558</v>
      </c>
      <c r="C400" s="7" t="s">
        <v>4562</v>
      </c>
      <c r="D400" s="7" t="s">
        <v>26</v>
      </c>
      <c r="E400" s="7" t="s">
        <v>16</v>
      </c>
      <c r="F400" s="7" t="s">
        <v>16</v>
      </c>
    </row>
    <row r="401" ht="22.5" customHeight="1">
      <c r="A401" s="7" t="s">
        <v>3827</v>
      </c>
      <c r="B401" s="8" t="s">
        <v>4558</v>
      </c>
      <c r="C401" s="7" t="s">
        <v>4563</v>
      </c>
      <c r="D401" s="7" t="s">
        <v>26</v>
      </c>
      <c r="E401" s="7" t="s">
        <v>16</v>
      </c>
      <c r="F401" s="7" t="s">
        <v>16</v>
      </c>
    </row>
    <row r="402" ht="22.5" customHeight="1">
      <c r="A402" s="7" t="s">
        <v>3827</v>
      </c>
      <c r="B402" s="8" t="s">
        <v>4558</v>
      </c>
      <c r="C402" s="7" t="s">
        <v>4564</v>
      </c>
      <c r="D402" s="7" t="s">
        <v>26</v>
      </c>
      <c r="E402" s="7" t="s">
        <v>16</v>
      </c>
      <c r="F402" s="7" t="s">
        <v>16</v>
      </c>
    </row>
    <row r="403" ht="22.5" customHeight="1">
      <c r="A403" s="7" t="s">
        <v>3827</v>
      </c>
      <c r="B403" s="8" t="s">
        <v>4558</v>
      </c>
      <c r="C403" s="7" t="s">
        <v>4565</v>
      </c>
      <c r="D403" s="7" t="s">
        <v>26</v>
      </c>
      <c r="E403" s="7" t="s">
        <v>16</v>
      </c>
      <c r="F403" s="7" t="s">
        <v>16</v>
      </c>
    </row>
    <row r="404" ht="22.5" customHeight="1">
      <c r="A404" s="7" t="s">
        <v>3837</v>
      </c>
      <c r="B404" s="8" t="s">
        <v>4566</v>
      </c>
      <c r="C404" s="7" t="s">
        <v>4567</v>
      </c>
      <c r="D404" s="7" t="s">
        <v>16</v>
      </c>
      <c r="E404" s="7" t="s">
        <v>3803</v>
      </c>
      <c r="F404" s="7" t="s">
        <v>3850</v>
      </c>
    </row>
    <row r="405" ht="22.5" customHeight="1">
      <c r="A405" s="7" t="s">
        <v>3827</v>
      </c>
      <c r="B405" s="8" t="s">
        <v>4568</v>
      </c>
      <c r="C405" s="7" t="s">
        <v>4569</v>
      </c>
      <c r="D405" s="7" t="s">
        <v>16</v>
      </c>
      <c r="E405" s="7" t="s">
        <v>3799</v>
      </c>
      <c r="F405" s="7" t="s">
        <v>16</v>
      </c>
    </row>
    <row r="406" ht="22.5" customHeight="1">
      <c r="A406" s="7" t="s">
        <v>3827</v>
      </c>
      <c r="B406" s="8" t="s">
        <v>4570</v>
      </c>
      <c r="C406" s="7" t="s">
        <v>4571</v>
      </c>
      <c r="D406" s="7" t="s">
        <v>26</v>
      </c>
      <c r="E406" s="7" t="s">
        <v>16</v>
      </c>
      <c r="F406" s="7" t="s">
        <v>16</v>
      </c>
    </row>
    <row r="407" ht="22.5" customHeight="1">
      <c r="A407" s="7" t="s">
        <v>3827</v>
      </c>
      <c r="B407" s="8" t="s">
        <v>4570</v>
      </c>
      <c r="C407" s="7" t="s">
        <v>4572</v>
      </c>
      <c r="D407" s="7" t="s">
        <v>26</v>
      </c>
      <c r="E407" s="7" t="s">
        <v>16</v>
      </c>
      <c r="F407" s="7" t="s">
        <v>16</v>
      </c>
    </row>
    <row r="408" ht="22.5" customHeight="1">
      <c r="A408" s="7" t="s">
        <v>2327</v>
      </c>
      <c r="B408" s="8" t="s">
        <v>4573</v>
      </c>
      <c r="C408" s="7" t="s">
        <v>4574</v>
      </c>
      <c r="D408" s="7" t="s">
        <v>16</v>
      </c>
      <c r="E408" s="7" t="s">
        <v>3806</v>
      </c>
      <c r="F408" s="7" t="s">
        <v>16</v>
      </c>
    </row>
    <row r="409" ht="22.5" customHeight="1">
      <c r="A409" s="7" t="s">
        <v>3800</v>
      </c>
      <c r="B409" s="8" t="s">
        <v>4575</v>
      </c>
      <c r="C409" s="7" t="s">
        <v>4576</v>
      </c>
      <c r="D409" s="7" t="s">
        <v>16</v>
      </c>
      <c r="E409" s="7" t="s">
        <v>3806</v>
      </c>
      <c r="F409" s="7" t="s">
        <v>16</v>
      </c>
    </row>
    <row r="410" ht="22.5" customHeight="1">
      <c r="A410" s="7" t="s">
        <v>3800</v>
      </c>
      <c r="B410" s="8" t="s">
        <v>4577</v>
      </c>
      <c r="C410" s="7" t="s">
        <v>4578</v>
      </c>
      <c r="D410" s="7" t="s">
        <v>151</v>
      </c>
      <c r="E410" s="7" t="s">
        <v>16</v>
      </c>
      <c r="F410" s="7" t="s">
        <v>16</v>
      </c>
    </row>
    <row r="411" ht="22.5" customHeight="1">
      <c r="A411" s="7" t="s">
        <v>2725</v>
      </c>
      <c r="B411" s="8" t="s">
        <v>4579</v>
      </c>
      <c r="C411" s="7" t="s">
        <v>4580</v>
      </c>
      <c r="D411" s="7" t="s">
        <v>26</v>
      </c>
      <c r="E411" s="7" t="s">
        <v>16</v>
      </c>
      <c r="F411" s="7" t="s">
        <v>16</v>
      </c>
    </row>
    <row r="412" ht="22.5" customHeight="1">
      <c r="A412" s="7" t="s">
        <v>3800</v>
      </c>
      <c r="B412" s="8" t="s">
        <v>4581</v>
      </c>
      <c r="C412" s="7" t="s">
        <v>4582</v>
      </c>
      <c r="D412" s="7" t="s">
        <v>16</v>
      </c>
      <c r="E412" s="7" t="s">
        <v>3799</v>
      </c>
      <c r="F412" s="7" t="s">
        <v>16</v>
      </c>
    </row>
    <row r="413" ht="22.5" customHeight="1">
      <c r="A413" s="7" t="s">
        <v>3800</v>
      </c>
      <c r="B413" s="8" t="s">
        <v>4581</v>
      </c>
      <c r="C413" s="7" t="s">
        <v>4583</v>
      </c>
      <c r="D413" s="7" t="s">
        <v>26</v>
      </c>
      <c r="E413" s="7" t="s">
        <v>16</v>
      </c>
      <c r="F413" s="7" t="s">
        <v>16</v>
      </c>
    </row>
    <row r="414" ht="22.5" customHeight="1">
      <c r="A414" s="7" t="s">
        <v>3800</v>
      </c>
      <c r="B414" s="8" t="s">
        <v>4584</v>
      </c>
      <c r="C414" s="7" t="s">
        <v>4585</v>
      </c>
      <c r="D414" s="7" t="s">
        <v>16</v>
      </c>
      <c r="E414" s="7" t="s">
        <v>3803</v>
      </c>
      <c r="F414" s="7" t="s">
        <v>16</v>
      </c>
    </row>
    <row r="415" ht="22.5" customHeight="1">
      <c r="A415" s="7" t="s">
        <v>3807</v>
      </c>
      <c r="B415" s="8" t="s">
        <v>4586</v>
      </c>
      <c r="C415" s="7" t="s">
        <v>4587</v>
      </c>
      <c r="D415" s="7" t="s">
        <v>16</v>
      </c>
      <c r="E415" s="7" t="s">
        <v>3803</v>
      </c>
      <c r="F415" s="7" t="s">
        <v>16</v>
      </c>
    </row>
    <row r="416" ht="22.5" customHeight="1">
      <c r="A416" s="7" t="s">
        <v>3807</v>
      </c>
      <c r="B416" s="8" t="s">
        <v>4586</v>
      </c>
      <c r="C416" s="7" t="s">
        <v>4588</v>
      </c>
      <c r="D416" s="7" t="s">
        <v>26</v>
      </c>
      <c r="E416" s="7" t="s">
        <v>16</v>
      </c>
      <c r="F416" s="7" t="s">
        <v>16</v>
      </c>
    </row>
    <row r="417" ht="22.5" customHeight="1">
      <c r="A417" s="7" t="s">
        <v>3807</v>
      </c>
      <c r="B417" s="8" t="s">
        <v>4586</v>
      </c>
      <c r="C417" s="7" t="s">
        <v>4589</v>
      </c>
      <c r="D417" s="7" t="s">
        <v>26</v>
      </c>
      <c r="E417" s="7" t="s">
        <v>16</v>
      </c>
      <c r="F417" s="7" t="s">
        <v>16</v>
      </c>
    </row>
    <row r="418" ht="22.5" customHeight="1">
      <c r="A418" s="7" t="s">
        <v>3807</v>
      </c>
      <c r="B418" s="8" t="s">
        <v>4586</v>
      </c>
      <c r="C418" s="7" t="s">
        <v>4590</v>
      </c>
      <c r="D418" s="7" t="s">
        <v>26</v>
      </c>
      <c r="E418" s="7" t="s">
        <v>16</v>
      </c>
      <c r="F418" s="7" t="s">
        <v>16</v>
      </c>
    </row>
    <row r="419" ht="22.5" customHeight="1">
      <c r="A419" s="7" t="s">
        <v>3807</v>
      </c>
      <c r="B419" s="8" t="s">
        <v>4586</v>
      </c>
      <c r="C419" s="7" t="s">
        <v>4591</v>
      </c>
      <c r="D419" s="7" t="s">
        <v>26</v>
      </c>
      <c r="E419" s="7" t="s">
        <v>16</v>
      </c>
      <c r="F419" s="7" t="s">
        <v>16</v>
      </c>
    </row>
    <row r="420" ht="22.5" customHeight="1">
      <c r="A420" s="7" t="s">
        <v>2725</v>
      </c>
      <c r="B420" s="8" t="s">
        <v>4592</v>
      </c>
      <c r="C420" s="7" t="s">
        <v>4593</v>
      </c>
      <c r="D420" s="7" t="s">
        <v>16</v>
      </c>
      <c r="E420" s="7" t="s">
        <v>3803</v>
      </c>
      <c r="F420" s="7" t="s">
        <v>16</v>
      </c>
    </row>
    <row r="421" ht="22.5" customHeight="1">
      <c r="A421" s="7" t="s">
        <v>2725</v>
      </c>
      <c r="B421" s="8" t="s">
        <v>4592</v>
      </c>
      <c r="C421" s="7" t="s">
        <v>4594</v>
      </c>
      <c r="D421" s="7" t="s">
        <v>26</v>
      </c>
      <c r="E421" s="7" t="s">
        <v>16</v>
      </c>
      <c r="F421" s="7" t="s">
        <v>16</v>
      </c>
    </row>
    <row r="422" ht="22.5" customHeight="1">
      <c r="A422" s="7" t="s">
        <v>2725</v>
      </c>
      <c r="B422" s="8" t="s">
        <v>4592</v>
      </c>
      <c r="C422" s="7" t="s">
        <v>4595</v>
      </c>
      <c r="D422" s="7" t="s">
        <v>26</v>
      </c>
      <c r="E422" s="7" t="s">
        <v>16</v>
      </c>
      <c r="F422" s="7" t="s">
        <v>16</v>
      </c>
    </row>
    <row r="423" ht="22.5" customHeight="1">
      <c r="A423" s="7" t="s">
        <v>2725</v>
      </c>
      <c r="B423" s="8" t="s">
        <v>4592</v>
      </c>
      <c r="C423" s="7" t="s">
        <v>4596</v>
      </c>
      <c r="D423" s="7" t="s">
        <v>26</v>
      </c>
      <c r="E423" s="7" t="s">
        <v>16</v>
      </c>
      <c r="F423" s="7" t="s">
        <v>16</v>
      </c>
    </row>
    <row r="424" ht="22.5" customHeight="1">
      <c r="A424" s="7" t="s">
        <v>2725</v>
      </c>
      <c r="B424" s="8" t="s">
        <v>4592</v>
      </c>
      <c r="C424" s="7" t="s">
        <v>4597</v>
      </c>
      <c r="D424" s="7" t="s">
        <v>26</v>
      </c>
      <c r="E424" s="7" t="s">
        <v>16</v>
      </c>
      <c r="F424" s="7" t="s">
        <v>16</v>
      </c>
    </row>
    <row r="425" ht="22.5" customHeight="1">
      <c r="A425" s="7" t="s">
        <v>3807</v>
      </c>
      <c r="B425" s="8" t="s">
        <v>4598</v>
      </c>
      <c r="C425" s="7" t="s">
        <v>4599</v>
      </c>
      <c r="D425" s="7" t="s">
        <v>16</v>
      </c>
      <c r="E425" s="7" t="s">
        <v>3806</v>
      </c>
      <c r="F425" s="7" t="s">
        <v>16</v>
      </c>
    </row>
    <row r="426" ht="22.5" customHeight="1">
      <c r="A426" s="7" t="s">
        <v>3800</v>
      </c>
      <c r="B426" s="8" t="s">
        <v>4600</v>
      </c>
      <c r="C426" s="7" t="s">
        <v>4601</v>
      </c>
      <c r="D426" s="7" t="s">
        <v>16</v>
      </c>
      <c r="E426" s="7" t="s">
        <v>3803</v>
      </c>
      <c r="F426" s="7" t="s">
        <v>3850</v>
      </c>
    </row>
    <row r="427" ht="22.5" customHeight="1">
      <c r="A427" s="7" t="s">
        <v>3800</v>
      </c>
      <c r="B427" s="8" t="s">
        <v>4602</v>
      </c>
      <c r="C427" s="7" t="s">
        <v>4603</v>
      </c>
      <c r="D427" s="7" t="s">
        <v>16</v>
      </c>
      <c r="E427" s="7" t="s">
        <v>3806</v>
      </c>
      <c r="F427" s="7" t="s">
        <v>16</v>
      </c>
    </row>
    <row r="428" ht="22.5" customHeight="1">
      <c r="A428" s="7" t="s">
        <v>2725</v>
      </c>
      <c r="B428" s="8" t="s">
        <v>4604</v>
      </c>
      <c r="C428" s="7" t="s">
        <v>4605</v>
      </c>
      <c r="D428" s="7" t="s">
        <v>26</v>
      </c>
      <c r="E428" s="7" t="s">
        <v>16</v>
      </c>
      <c r="F428" s="7" t="s">
        <v>16</v>
      </c>
    </row>
    <row r="429" ht="22.5" customHeight="1">
      <c r="A429" s="7" t="s">
        <v>3800</v>
      </c>
      <c r="B429" s="8" t="s">
        <v>4606</v>
      </c>
      <c r="C429" s="7" t="s">
        <v>4607</v>
      </c>
      <c r="D429" s="7" t="s">
        <v>16</v>
      </c>
      <c r="E429" s="7" t="s">
        <v>3806</v>
      </c>
      <c r="F429" s="7" t="s">
        <v>16</v>
      </c>
    </row>
    <row r="430" ht="22.5" customHeight="1">
      <c r="A430" s="7" t="s">
        <v>3800</v>
      </c>
      <c r="B430" s="8" t="s">
        <v>4606</v>
      </c>
      <c r="C430" s="7" t="s">
        <v>4608</v>
      </c>
      <c r="D430" s="7" t="s">
        <v>26</v>
      </c>
      <c r="E430" s="7" t="s">
        <v>16</v>
      </c>
      <c r="F430" s="7" t="s">
        <v>16</v>
      </c>
    </row>
    <row r="431" ht="22.5" customHeight="1">
      <c r="A431" s="7" t="s">
        <v>3800</v>
      </c>
      <c r="B431" s="8" t="s">
        <v>4609</v>
      </c>
      <c r="C431" s="7" t="s">
        <v>4610</v>
      </c>
      <c r="D431" s="7" t="s">
        <v>26</v>
      </c>
      <c r="E431" s="7" t="s">
        <v>16</v>
      </c>
      <c r="F431" s="7" t="s">
        <v>16</v>
      </c>
    </row>
    <row r="432" ht="22.5" customHeight="1">
      <c r="A432" s="7" t="s">
        <v>3800</v>
      </c>
      <c r="B432" s="8" t="s">
        <v>4611</v>
      </c>
      <c r="C432" s="7" t="s">
        <v>4612</v>
      </c>
      <c r="D432" s="7" t="s">
        <v>26</v>
      </c>
      <c r="E432" s="7" t="s">
        <v>16</v>
      </c>
      <c r="F432" s="7" t="s">
        <v>16</v>
      </c>
    </row>
    <row r="433" ht="22.5" customHeight="1">
      <c r="A433" s="7" t="s">
        <v>3800</v>
      </c>
      <c r="B433" s="8" t="s">
        <v>4613</v>
      </c>
      <c r="C433" s="7" t="s">
        <v>4614</v>
      </c>
      <c r="D433" s="7" t="s">
        <v>16</v>
      </c>
      <c r="E433" s="7" t="s">
        <v>3799</v>
      </c>
      <c r="F433" s="7" t="s">
        <v>16</v>
      </c>
    </row>
    <row r="434" ht="22.5" customHeight="1">
      <c r="A434" s="7" t="s">
        <v>3800</v>
      </c>
      <c r="B434" s="8" t="s">
        <v>4613</v>
      </c>
      <c r="C434" s="7" t="s">
        <v>4615</v>
      </c>
      <c r="D434" s="7" t="s">
        <v>26</v>
      </c>
      <c r="E434" s="7" t="s">
        <v>16</v>
      </c>
      <c r="F434" s="7" t="s">
        <v>16</v>
      </c>
    </row>
    <row r="435" ht="22.5" customHeight="1">
      <c r="A435" s="7" t="s">
        <v>2725</v>
      </c>
      <c r="B435" s="8" t="s">
        <v>4616</v>
      </c>
      <c r="C435" s="7" t="s">
        <v>4617</v>
      </c>
      <c r="D435" s="7" t="s">
        <v>16</v>
      </c>
      <c r="E435" s="7" t="s">
        <v>3812</v>
      </c>
      <c r="F435" s="7" t="s">
        <v>16</v>
      </c>
    </row>
    <row r="436" ht="22.5" customHeight="1">
      <c r="A436" s="7" t="s">
        <v>3807</v>
      </c>
      <c r="B436" s="8" t="s">
        <v>4618</v>
      </c>
      <c r="C436" s="7" t="s">
        <v>4619</v>
      </c>
      <c r="D436" s="7" t="s">
        <v>16</v>
      </c>
      <c r="E436" s="7" t="s">
        <v>3803</v>
      </c>
      <c r="F436" s="7" t="s">
        <v>4107</v>
      </c>
    </row>
    <row r="437" ht="22.5" customHeight="1">
      <c r="A437" s="7" t="s">
        <v>3800</v>
      </c>
      <c r="B437" s="8" t="s">
        <v>4620</v>
      </c>
      <c r="C437" s="7" t="s">
        <v>4621</v>
      </c>
      <c r="D437" s="7" t="s">
        <v>26</v>
      </c>
      <c r="E437" s="7" t="s">
        <v>16</v>
      </c>
      <c r="F437" s="7" t="s">
        <v>16</v>
      </c>
    </row>
    <row r="438" ht="22.5" customHeight="1">
      <c r="A438" s="7" t="s">
        <v>3837</v>
      </c>
      <c r="B438" s="8" t="s">
        <v>4622</v>
      </c>
      <c r="C438" s="7" t="s">
        <v>4623</v>
      </c>
      <c r="D438" s="7" t="s">
        <v>26</v>
      </c>
      <c r="E438" s="7" t="s">
        <v>16</v>
      </c>
      <c r="F438" s="7" t="s">
        <v>16</v>
      </c>
    </row>
    <row r="439" ht="22.5" customHeight="1">
      <c r="A439" s="7" t="s">
        <v>3837</v>
      </c>
      <c r="B439" s="8" t="s">
        <v>4622</v>
      </c>
      <c r="C439" s="7" t="s">
        <v>4624</v>
      </c>
      <c r="D439" s="7" t="s">
        <v>26</v>
      </c>
      <c r="E439" s="7" t="s">
        <v>16</v>
      </c>
      <c r="F439" s="7" t="s">
        <v>16</v>
      </c>
    </row>
    <row r="440" ht="22.5" customHeight="1">
      <c r="A440" s="7" t="s">
        <v>3800</v>
      </c>
      <c r="B440" s="8" t="s">
        <v>4625</v>
      </c>
      <c r="C440" s="7" t="s">
        <v>4626</v>
      </c>
      <c r="D440" s="7" t="s">
        <v>26</v>
      </c>
      <c r="E440" s="7" t="s">
        <v>16</v>
      </c>
      <c r="F440" s="7" t="s">
        <v>16</v>
      </c>
    </row>
    <row r="441" ht="22.5" customHeight="1">
      <c r="A441" s="7" t="s">
        <v>3800</v>
      </c>
      <c r="B441" s="8" t="s">
        <v>4627</v>
      </c>
      <c r="C441" s="7" t="s">
        <v>4628</v>
      </c>
      <c r="D441" s="7" t="s">
        <v>16</v>
      </c>
      <c r="E441" s="7" t="s">
        <v>3812</v>
      </c>
      <c r="F441" s="7" t="s">
        <v>3850</v>
      </c>
    </row>
    <row r="442" ht="22.5" customHeight="1">
      <c r="A442" s="7" t="s">
        <v>3800</v>
      </c>
      <c r="B442" s="8" t="s">
        <v>4629</v>
      </c>
      <c r="C442" s="7" t="s">
        <v>4630</v>
      </c>
      <c r="D442" s="7" t="s">
        <v>26</v>
      </c>
      <c r="E442" s="7" t="s">
        <v>16</v>
      </c>
      <c r="F442" s="7" t="s">
        <v>16</v>
      </c>
    </row>
    <row r="443" ht="22.5" customHeight="1">
      <c r="A443" s="7" t="s">
        <v>3871</v>
      </c>
      <c r="B443" s="8" t="s">
        <v>4631</v>
      </c>
      <c r="C443" s="7" t="s">
        <v>4632</v>
      </c>
      <c r="D443" s="7" t="s">
        <v>3871</v>
      </c>
      <c r="E443" s="7" t="s">
        <v>3803</v>
      </c>
      <c r="F443" s="7" t="s">
        <v>4633</v>
      </c>
    </row>
    <row r="444" ht="22.5" customHeight="1">
      <c r="A444" s="7" t="s">
        <v>3800</v>
      </c>
      <c r="B444" s="8" t="s">
        <v>4634</v>
      </c>
      <c r="C444" s="7" t="s">
        <v>4635</v>
      </c>
      <c r="D444" s="7" t="s">
        <v>16</v>
      </c>
      <c r="E444" s="7" t="s">
        <v>3806</v>
      </c>
      <c r="F444" s="7" t="s">
        <v>3816</v>
      </c>
    </row>
    <row r="445" ht="22.5" customHeight="1">
      <c r="A445" s="7" t="s">
        <v>3827</v>
      </c>
      <c r="B445" s="8" t="s">
        <v>4636</v>
      </c>
      <c r="C445" s="7" t="s">
        <v>4637</v>
      </c>
      <c r="D445" s="7" t="s">
        <v>26</v>
      </c>
      <c r="E445" s="7" t="s">
        <v>16</v>
      </c>
      <c r="F445" s="7" t="s">
        <v>16</v>
      </c>
    </row>
    <row r="446" ht="22.5" customHeight="1">
      <c r="A446" s="7" t="s">
        <v>3800</v>
      </c>
      <c r="B446" s="8" t="s">
        <v>4638</v>
      </c>
      <c r="C446" s="7" t="s">
        <v>4639</v>
      </c>
      <c r="D446" s="7" t="s">
        <v>26</v>
      </c>
      <c r="E446" s="7" t="s">
        <v>16</v>
      </c>
      <c r="F446" s="7" t="s">
        <v>16</v>
      </c>
    </row>
    <row r="447" ht="22.5" customHeight="1">
      <c r="A447" s="7" t="s">
        <v>3800</v>
      </c>
      <c r="B447" s="8" t="s">
        <v>4640</v>
      </c>
      <c r="C447" s="7" t="s">
        <v>4641</v>
      </c>
      <c r="D447" s="7" t="s">
        <v>26</v>
      </c>
      <c r="E447" s="7" t="s">
        <v>16</v>
      </c>
      <c r="F447" s="7" t="s">
        <v>16</v>
      </c>
    </row>
    <row r="448" ht="22.5" customHeight="1">
      <c r="A448" s="7" t="s">
        <v>3800</v>
      </c>
      <c r="B448" s="8" t="s">
        <v>4642</v>
      </c>
      <c r="C448" s="7" t="s">
        <v>4643</v>
      </c>
      <c r="D448" s="7" t="s">
        <v>16</v>
      </c>
      <c r="E448" s="7" t="s">
        <v>3806</v>
      </c>
      <c r="F448" s="7" t="s">
        <v>16</v>
      </c>
    </row>
    <row r="449" ht="22.5" customHeight="1">
      <c r="A449" s="7" t="s">
        <v>3800</v>
      </c>
      <c r="B449" s="8" t="s">
        <v>4644</v>
      </c>
      <c r="C449" s="7" t="s">
        <v>4645</v>
      </c>
      <c r="D449" s="7" t="s">
        <v>26</v>
      </c>
      <c r="E449" s="7" t="s">
        <v>16</v>
      </c>
      <c r="F449" s="7" t="s">
        <v>16</v>
      </c>
    </row>
    <row r="450" ht="22.5" customHeight="1">
      <c r="A450" s="7" t="s">
        <v>3827</v>
      </c>
      <c r="B450" s="8" t="s">
        <v>4646</v>
      </c>
      <c r="C450" s="7" t="s">
        <v>4647</v>
      </c>
      <c r="D450" s="7" t="s">
        <v>16</v>
      </c>
      <c r="E450" s="7" t="s">
        <v>3806</v>
      </c>
      <c r="F450" s="7" t="s">
        <v>16</v>
      </c>
    </row>
    <row r="451" ht="22.5" customHeight="1">
      <c r="A451" s="7" t="s">
        <v>3827</v>
      </c>
      <c r="B451" s="8" t="s">
        <v>4646</v>
      </c>
      <c r="C451" s="7" t="s">
        <v>4648</v>
      </c>
      <c r="D451" s="7" t="s">
        <v>26</v>
      </c>
      <c r="E451" s="7" t="s">
        <v>16</v>
      </c>
      <c r="F451" s="7" t="s">
        <v>16</v>
      </c>
    </row>
    <row r="452" ht="22.5" customHeight="1">
      <c r="A452" s="7" t="s">
        <v>3800</v>
      </c>
      <c r="B452" s="8" t="s">
        <v>4649</v>
      </c>
      <c r="C452" s="7" t="s">
        <v>4650</v>
      </c>
      <c r="D452" s="7" t="s">
        <v>26</v>
      </c>
      <c r="E452" s="7" t="s">
        <v>16</v>
      </c>
      <c r="F452" s="7" t="s">
        <v>16</v>
      </c>
    </row>
    <row r="453" ht="22.5" customHeight="1">
      <c r="A453" s="7" t="s">
        <v>2327</v>
      </c>
      <c r="B453" s="8" t="s">
        <v>4651</v>
      </c>
      <c r="C453" s="7" t="s">
        <v>4652</v>
      </c>
      <c r="D453" s="7" t="s">
        <v>16</v>
      </c>
      <c r="E453" s="7" t="s">
        <v>3803</v>
      </c>
      <c r="F453" s="7" t="s">
        <v>16</v>
      </c>
    </row>
    <row r="454" ht="22.5" customHeight="1">
      <c r="A454" s="7" t="s">
        <v>3800</v>
      </c>
      <c r="B454" s="8" t="s">
        <v>4653</v>
      </c>
      <c r="C454" s="7" t="s">
        <v>4654</v>
      </c>
      <c r="D454" s="7" t="s">
        <v>3884</v>
      </c>
      <c r="E454" s="7" t="s">
        <v>3806</v>
      </c>
      <c r="F454" s="7" t="s">
        <v>3884</v>
      </c>
    </row>
    <row r="455" ht="22.5" customHeight="1">
      <c r="A455" s="7" t="s">
        <v>2725</v>
      </c>
      <c r="B455" s="8" t="s">
        <v>4655</v>
      </c>
      <c r="C455" s="7" t="s">
        <v>4656</v>
      </c>
      <c r="D455" s="7" t="s">
        <v>16</v>
      </c>
      <c r="E455" s="7" t="s">
        <v>3806</v>
      </c>
      <c r="F455" s="7" t="s">
        <v>3816</v>
      </c>
    </row>
    <row r="456" ht="22.5" customHeight="1">
      <c r="A456" s="7" t="s">
        <v>3827</v>
      </c>
      <c r="B456" s="8" t="s">
        <v>4657</v>
      </c>
      <c r="C456" s="7" t="s">
        <v>4658</v>
      </c>
      <c r="D456" s="7" t="s">
        <v>16</v>
      </c>
      <c r="E456" s="7" t="s">
        <v>3806</v>
      </c>
      <c r="F456" s="7" t="s">
        <v>3816</v>
      </c>
    </row>
    <row r="457" ht="22.5" customHeight="1">
      <c r="A457" s="7" t="s">
        <v>3800</v>
      </c>
      <c r="B457" s="8" t="s">
        <v>4659</v>
      </c>
      <c r="C457" s="7" t="s">
        <v>4660</v>
      </c>
      <c r="D457" s="7" t="s">
        <v>16</v>
      </c>
      <c r="E457" s="7" t="s">
        <v>3799</v>
      </c>
      <c r="F457" s="7" t="s">
        <v>16</v>
      </c>
    </row>
    <row r="458" ht="22.5" customHeight="1">
      <c r="A458" s="7" t="s">
        <v>3827</v>
      </c>
      <c r="B458" s="8" t="s">
        <v>4661</v>
      </c>
      <c r="C458" s="7" t="s">
        <v>4662</v>
      </c>
      <c r="D458" s="7" t="s">
        <v>26</v>
      </c>
      <c r="E458" s="7" t="s">
        <v>16</v>
      </c>
      <c r="F458" s="7" t="s">
        <v>16</v>
      </c>
    </row>
    <row r="459" ht="22.5" customHeight="1">
      <c r="A459" s="7" t="s">
        <v>2725</v>
      </c>
      <c r="B459" s="8" t="s">
        <v>4663</v>
      </c>
      <c r="C459" s="7" t="s">
        <v>4664</v>
      </c>
      <c r="D459" s="7" t="s">
        <v>16</v>
      </c>
      <c r="E459" s="7" t="s">
        <v>3803</v>
      </c>
      <c r="F459" s="7" t="s">
        <v>3816</v>
      </c>
    </row>
    <row r="460" ht="22.5" customHeight="1">
      <c r="A460" s="7" t="s">
        <v>2725</v>
      </c>
      <c r="B460" s="8" t="s">
        <v>4665</v>
      </c>
      <c r="C460" s="7" t="s">
        <v>4666</v>
      </c>
      <c r="D460" s="7" t="s">
        <v>16</v>
      </c>
      <c r="E460" s="7" t="s">
        <v>3806</v>
      </c>
      <c r="F460" s="7" t="s">
        <v>16</v>
      </c>
    </row>
    <row r="461" ht="22.5" customHeight="1">
      <c r="A461" s="7" t="s">
        <v>2725</v>
      </c>
      <c r="B461" s="8" t="s">
        <v>4667</v>
      </c>
      <c r="C461" s="7" t="s">
        <v>4668</v>
      </c>
      <c r="D461" s="7" t="s">
        <v>16</v>
      </c>
      <c r="E461" s="7" t="s">
        <v>3806</v>
      </c>
      <c r="F461" s="7" t="s">
        <v>16</v>
      </c>
    </row>
    <row r="462" ht="22.5" customHeight="1">
      <c r="A462" s="7" t="s">
        <v>3800</v>
      </c>
      <c r="B462" s="8" t="s">
        <v>4669</v>
      </c>
      <c r="C462" s="7" t="s">
        <v>4670</v>
      </c>
      <c r="D462" s="7" t="s">
        <v>16</v>
      </c>
      <c r="E462" s="7" t="s">
        <v>3799</v>
      </c>
      <c r="F462" s="7" t="s">
        <v>4671</v>
      </c>
    </row>
    <row r="463" ht="22.5" customHeight="1">
      <c r="A463" s="7" t="s">
        <v>2725</v>
      </c>
      <c r="B463" s="8" t="s">
        <v>4672</v>
      </c>
      <c r="C463" s="7" t="s">
        <v>4673</v>
      </c>
      <c r="D463" s="7" t="s">
        <v>16</v>
      </c>
      <c r="E463" s="7" t="s">
        <v>3799</v>
      </c>
      <c r="F463" s="7" t="s">
        <v>16</v>
      </c>
    </row>
    <row r="464" ht="22.5" customHeight="1">
      <c r="A464" s="7" t="s">
        <v>3837</v>
      </c>
      <c r="B464" s="8" t="s">
        <v>4674</v>
      </c>
      <c r="C464" s="7" t="s">
        <v>4675</v>
      </c>
      <c r="D464" s="7" t="s">
        <v>3884</v>
      </c>
      <c r="E464" s="7" t="s">
        <v>3806</v>
      </c>
      <c r="F464" s="7" t="s">
        <v>3884</v>
      </c>
    </row>
    <row r="465" ht="22.5" customHeight="1">
      <c r="A465" s="7" t="s">
        <v>2725</v>
      </c>
      <c r="B465" s="8" t="s">
        <v>4676</v>
      </c>
      <c r="C465" s="7" t="s">
        <v>4677</v>
      </c>
      <c r="D465" s="7" t="s">
        <v>16</v>
      </c>
      <c r="E465" s="7" t="s">
        <v>3806</v>
      </c>
      <c r="F465" s="7" t="s">
        <v>16</v>
      </c>
    </row>
    <row r="466" ht="22.5" customHeight="1">
      <c r="A466" s="7" t="s">
        <v>2725</v>
      </c>
      <c r="B466" s="8" t="s">
        <v>4678</v>
      </c>
      <c r="C466" s="7" t="s">
        <v>4679</v>
      </c>
      <c r="D466" s="7" t="s">
        <v>16</v>
      </c>
      <c r="E466" s="7" t="s">
        <v>3806</v>
      </c>
      <c r="F466" s="7" t="s">
        <v>16</v>
      </c>
    </row>
    <row r="467" ht="22.5" customHeight="1">
      <c r="A467" s="7" t="s">
        <v>3827</v>
      </c>
      <c r="B467" s="8" t="s">
        <v>4680</v>
      </c>
      <c r="C467" s="7" t="s">
        <v>4681</v>
      </c>
      <c r="D467" s="7" t="s">
        <v>26</v>
      </c>
      <c r="E467" s="7" t="s">
        <v>16</v>
      </c>
      <c r="F467" s="7" t="s">
        <v>16</v>
      </c>
    </row>
    <row r="468" ht="22.5" customHeight="1">
      <c r="A468" s="7" t="s">
        <v>3827</v>
      </c>
      <c r="B468" s="8" t="s">
        <v>4682</v>
      </c>
      <c r="C468" s="7" t="s">
        <v>4683</v>
      </c>
      <c r="D468" s="7" t="s">
        <v>16</v>
      </c>
      <c r="E468" s="7" t="s">
        <v>3799</v>
      </c>
      <c r="F468" s="7" t="s">
        <v>16</v>
      </c>
    </row>
    <row r="469" ht="22.5" customHeight="1">
      <c r="A469" s="7" t="s">
        <v>3827</v>
      </c>
      <c r="B469" s="8" t="s">
        <v>4682</v>
      </c>
      <c r="C469" s="7" t="s">
        <v>4684</v>
      </c>
      <c r="D469" s="7" t="s">
        <v>26</v>
      </c>
      <c r="E469" s="7" t="s">
        <v>16</v>
      </c>
      <c r="F469" s="7" t="s">
        <v>16</v>
      </c>
    </row>
    <row r="470" ht="22.5" customHeight="1">
      <c r="A470" s="7" t="s">
        <v>3827</v>
      </c>
      <c r="B470" s="8" t="s">
        <v>4685</v>
      </c>
      <c r="C470" s="7" t="s">
        <v>4686</v>
      </c>
      <c r="D470" s="7" t="s">
        <v>16</v>
      </c>
      <c r="E470" s="7" t="s">
        <v>3806</v>
      </c>
      <c r="F470" s="7" t="s">
        <v>16</v>
      </c>
    </row>
    <row r="471" ht="22.5" customHeight="1">
      <c r="A471" s="7" t="s">
        <v>3807</v>
      </c>
      <c r="B471" s="8" t="s">
        <v>4687</v>
      </c>
      <c r="C471" s="7" t="s">
        <v>4688</v>
      </c>
      <c r="D471" s="7" t="s">
        <v>16</v>
      </c>
      <c r="E471" s="7" t="s">
        <v>3806</v>
      </c>
      <c r="F471" s="7" t="s">
        <v>16</v>
      </c>
    </row>
    <row r="472" ht="22.5" customHeight="1">
      <c r="A472" s="7" t="s">
        <v>3800</v>
      </c>
      <c r="B472" s="8" t="s">
        <v>4689</v>
      </c>
      <c r="C472" s="7" t="s">
        <v>4690</v>
      </c>
      <c r="D472" s="7" t="s">
        <v>16</v>
      </c>
      <c r="E472" s="7" t="s">
        <v>3806</v>
      </c>
      <c r="F472" s="7" t="s">
        <v>4671</v>
      </c>
    </row>
    <row r="473" ht="22.5" customHeight="1">
      <c r="A473" s="7" t="s">
        <v>3807</v>
      </c>
      <c r="B473" s="8" t="s">
        <v>4691</v>
      </c>
      <c r="C473" s="7" t="s">
        <v>4692</v>
      </c>
      <c r="D473" s="7" t="s">
        <v>26</v>
      </c>
      <c r="E473" s="7" t="s">
        <v>16</v>
      </c>
      <c r="F473" s="7" t="s">
        <v>16</v>
      </c>
    </row>
    <row r="474" ht="22.5" customHeight="1">
      <c r="A474" s="7" t="s">
        <v>3827</v>
      </c>
      <c r="B474" s="8" t="s">
        <v>4693</v>
      </c>
      <c r="C474" s="7" t="s">
        <v>4694</v>
      </c>
      <c r="D474" s="7" t="s">
        <v>16</v>
      </c>
      <c r="E474" s="7" t="s">
        <v>3799</v>
      </c>
      <c r="F474" s="7" t="s">
        <v>16</v>
      </c>
    </row>
    <row r="475" ht="22.5" customHeight="1">
      <c r="A475" s="7" t="s">
        <v>3827</v>
      </c>
      <c r="B475" s="8" t="s">
        <v>4693</v>
      </c>
      <c r="C475" s="7" t="s">
        <v>4695</v>
      </c>
      <c r="D475" s="7" t="s">
        <v>26</v>
      </c>
      <c r="E475" s="7" t="s">
        <v>16</v>
      </c>
      <c r="F475" s="7" t="s">
        <v>16</v>
      </c>
    </row>
    <row r="476" ht="22.5" customHeight="1">
      <c r="A476" s="7" t="s">
        <v>3800</v>
      </c>
      <c r="B476" s="8" t="s">
        <v>4696</v>
      </c>
      <c r="C476" s="7" t="s">
        <v>4697</v>
      </c>
      <c r="D476" s="7" t="s">
        <v>26</v>
      </c>
      <c r="E476" s="7" t="s">
        <v>16</v>
      </c>
      <c r="F476" s="7" t="s">
        <v>16</v>
      </c>
    </row>
    <row r="477" ht="22.5" customHeight="1">
      <c r="A477" s="7" t="s">
        <v>3800</v>
      </c>
      <c r="B477" s="8" t="s">
        <v>4698</v>
      </c>
      <c r="C477" s="7" t="s">
        <v>4699</v>
      </c>
      <c r="D477" s="7" t="s">
        <v>16</v>
      </c>
      <c r="E477" s="7" t="s">
        <v>3803</v>
      </c>
      <c r="F477" s="7" t="s">
        <v>4633</v>
      </c>
    </row>
    <row r="478" ht="22.5" customHeight="1">
      <c r="A478" s="7" t="s">
        <v>3827</v>
      </c>
      <c r="B478" s="8" t="s">
        <v>4700</v>
      </c>
      <c r="C478" s="7" t="s">
        <v>4701</v>
      </c>
      <c r="D478" s="7" t="s">
        <v>16</v>
      </c>
      <c r="E478" s="7" t="s">
        <v>3806</v>
      </c>
      <c r="F478" s="7" t="s">
        <v>16</v>
      </c>
    </row>
    <row r="479" ht="22.5" customHeight="1">
      <c r="A479" s="7" t="s">
        <v>2725</v>
      </c>
      <c r="B479" s="8" t="s">
        <v>4702</v>
      </c>
      <c r="C479" s="7" t="s">
        <v>4703</v>
      </c>
      <c r="D479" s="7" t="s">
        <v>26</v>
      </c>
      <c r="E479" s="7" t="s">
        <v>16</v>
      </c>
      <c r="F479" s="7" t="s">
        <v>16</v>
      </c>
    </row>
    <row r="480" ht="22.5" customHeight="1">
      <c r="A480" s="7" t="s">
        <v>2725</v>
      </c>
      <c r="B480" s="8" t="s">
        <v>4704</v>
      </c>
      <c r="C480" s="7" t="s">
        <v>4705</v>
      </c>
      <c r="D480" s="7" t="s">
        <v>16</v>
      </c>
      <c r="E480" s="7" t="s">
        <v>3806</v>
      </c>
      <c r="F480" s="7" t="s">
        <v>16</v>
      </c>
    </row>
    <row r="481" ht="22.5" customHeight="1">
      <c r="A481" s="7" t="s">
        <v>3800</v>
      </c>
      <c r="B481" s="8" t="s">
        <v>4706</v>
      </c>
      <c r="C481" s="7" t="s">
        <v>4707</v>
      </c>
      <c r="D481" s="7" t="s">
        <v>16</v>
      </c>
      <c r="E481" s="7" t="s">
        <v>3806</v>
      </c>
      <c r="F481" s="7" t="s">
        <v>16</v>
      </c>
    </row>
    <row r="482" ht="22.5" customHeight="1">
      <c r="A482" s="7" t="s">
        <v>2725</v>
      </c>
      <c r="B482" s="8" t="s">
        <v>4708</v>
      </c>
      <c r="C482" s="7" t="s">
        <v>4709</v>
      </c>
      <c r="D482" s="7" t="s">
        <v>16</v>
      </c>
      <c r="E482" s="7" t="s">
        <v>3806</v>
      </c>
      <c r="F482" s="7" t="s">
        <v>16</v>
      </c>
    </row>
    <row r="483" ht="22.5" customHeight="1">
      <c r="A483" s="7" t="s">
        <v>2725</v>
      </c>
      <c r="B483" s="8" t="s">
        <v>4708</v>
      </c>
      <c r="C483" s="7" t="s">
        <v>4710</v>
      </c>
      <c r="D483" s="7" t="s">
        <v>26</v>
      </c>
      <c r="E483" s="7" t="s">
        <v>16</v>
      </c>
      <c r="F483" s="7" t="s">
        <v>16</v>
      </c>
    </row>
    <row r="484" ht="22.5" customHeight="1">
      <c r="A484" s="7" t="s">
        <v>3800</v>
      </c>
      <c r="B484" s="8" t="s">
        <v>4711</v>
      </c>
      <c r="C484" s="7" t="s">
        <v>4712</v>
      </c>
      <c r="D484" s="7" t="s">
        <v>26</v>
      </c>
      <c r="E484" s="7" t="s">
        <v>16</v>
      </c>
      <c r="F484" s="7" t="s">
        <v>16</v>
      </c>
    </row>
    <row r="485" ht="22.5" customHeight="1">
      <c r="A485" s="7" t="s">
        <v>3800</v>
      </c>
      <c r="B485" s="8" t="s">
        <v>4713</v>
      </c>
      <c r="C485" s="7" t="s">
        <v>4714</v>
      </c>
      <c r="D485" s="7" t="s">
        <v>16</v>
      </c>
      <c r="E485" s="7" t="s">
        <v>3803</v>
      </c>
      <c r="F485" s="7" t="s">
        <v>3850</v>
      </c>
    </row>
    <row r="486" ht="22.5" customHeight="1">
      <c r="A486" s="7" t="s">
        <v>3800</v>
      </c>
      <c r="B486" s="8" t="s">
        <v>4713</v>
      </c>
      <c r="C486" s="7" t="s">
        <v>4715</v>
      </c>
      <c r="D486" s="7" t="s">
        <v>26</v>
      </c>
      <c r="E486" s="7" t="s">
        <v>16</v>
      </c>
      <c r="F486" s="7" t="s">
        <v>16</v>
      </c>
    </row>
    <row r="487" ht="22.5" customHeight="1">
      <c r="A487" s="7" t="s">
        <v>3800</v>
      </c>
      <c r="B487" s="8" t="s">
        <v>4716</v>
      </c>
      <c r="C487" s="7" t="s">
        <v>4717</v>
      </c>
      <c r="D487" s="7" t="s">
        <v>16</v>
      </c>
      <c r="E487" s="7" t="s">
        <v>3806</v>
      </c>
      <c r="F487" s="7" t="s">
        <v>3884</v>
      </c>
    </row>
    <row r="488" ht="22.5" customHeight="1">
      <c r="A488" s="7" t="s">
        <v>3800</v>
      </c>
      <c r="B488" s="8" t="s">
        <v>4718</v>
      </c>
      <c r="C488" s="7" t="s">
        <v>4719</v>
      </c>
      <c r="D488" s="7" t="s">
        <v>16</v>
      </c>
      <c r="E488" s="7" t="s">
        <v>3812</v>
      </c>
      <c r="F488" s="7" t="s">
        <v>16</v>
      </c>
    </row>
    <row r="489" ht="22.5" customHeight="1">
      <c r="A489" s="7" t="s">
        <v>3807</v>
      </c>
      <c r="B489" s="8" t="s">
        <v>4720</v>
      </c>
      <c r="C489" s="7" t="s">
        <v>4721</v>
      </c>
      <c r="D489" s="7" t="s">
        <v>26</v>
      </c>
      <c r="E489" s="7" t="s">
        <v>16</v>
      </c>
      <c r="F489" s="7" t="s">
        <v>16</v>
      </c>
    </row>
    <row r="490" ht="22.5" customHeight="1">
      <c r="A490" s="7" t="s">
        <v>3827</v>
      </c>
      <c r="B490" s="8" t="s">
        <v>4722</v>
      </c>
      <c r="C490" s="7" t="s">
        <v>4723</v>
      </c>
      <c r="D490" s="7" t="s">
        <v>16</v>
      </c>
      <c r="E490" s="7" t="s">
        <v>3799</v>
      </c>
      <c r="F490" s="7" t="s">
        <v>16</v>
      </c>
    </row>
    <row r="491" ht="22.5" customHeight="1">
      <c r="A491" s="7" t="s">
        <v>2725</v>
      </c>
      <c r="B491" s="8" t="s">
        <v>4724</v>
      </c>
      <c r="C491" s="7" t="s">
        <v>4725</v>
      </c>
      <c r="D491" s="7" t="s">
        <v>16</v>
      </c>
      <c r="E491" s="7" t="s">
        <v>3806</v>
      </c>
      <c r="F491" s="7" t="s">
        <v>3904</v>
      </c>
    </row>
    <row r="492" ht="22.5" customHeight="1">
      <c r="A492" s="7" t="s">
        <v>2327</v>
      </c>
      <c r="B492" s="8" t="s">
        <v>4726</v>
      </c>
      <c r="C492" s="7" t="s">
        <v>4727</v>
      </c>
      <c r="D492" s="7" t="s">
        <v>16</v>
      </c>
      <c r="E492" s="7" t="s">
        <v>3799</v>
      </c>
      <c r="F492" s="7" t="s">
        <v>16</v>
      </c>
    </row>
    <row r="493" ht="22.5" customHeight="1">
      <c r="A493" s="7" t="s">
        <v>3800</v>
      </c>
      <c r="B493" s="8" t="s">
        <v>4728</v>
      </c>
      <c r="C493" s="7" t="s">
        <v>4729</v>
      </c>
      <c r="D493" s="7" t="s">
        <v>151</v>
      </c>
      <c r="E493" s="7" t="s">
        <v>3799</v>
      </c>
      <c r="F493" s="7" t="s">
        <v>16</v>
      </c>
    </row>
    <row r="494" ht="22.5" customHeight="1">
      <c r="A494" s="7" t="s">
        <v>3800</v>
      </c>
      <c r="B494" s="8" t="s">
        <v>4730</v>
      </c>
      <c r="C494" s="7" t="s">
        <v>4731</v>
      </c>
      <c r="D494" s="7" t="s">
        <v>151</v>
      </c>
      <c r="E494" s="7" t="s">
        <v>3799</v>
      </c>
      <c r="F494" s="7" t="s">
        <v>16</v>
      </c>
    </row>
    <row r="495" ht="22.5" customHeight="1">
      <c r="A495" s="7" t="s">
        <v>3800</v>
      </c>
      <c r="B495" s="8" t="s">
        <v>4732</v>
      </c>
      <c r="C495" s="7" t="s">
        <v>4733</v>
      </c>
      <c r="D495" s="7" t="s">
        <v>26</v>
      </c>
      <c r="E495" s="7" t="s">
        <v>16</v>
      </c>
      <c r="F495" s="7" t="s">
        <v>16</v>
      </c>
    </row>
    <row r="496" ht="22.5" customHeight="1">
      <c r="A496" s="7" t="s">
        <v>3800</v>
      </c>
      <c r="B496" s="8" t="s">
        <v>4734</v>
      </c>
      <c r="C496" s="7" t="s">
        <v>4735</v>
      </c>
      <c r="D496" s="7" t="s">
        <v>26</v>
      </c>
      <c r="E496" s="7" t="s">
        <v>16</v>
      </c>
      <c r="F496" s="7" t="s">
        <v>16</v>
      </c>
    </row>
    <row r="497" ht="22.5" customHeight="1">
      <c r="A497" s="7" t="s">
        <v>3800</v>
      </c>
      <c r="B497" s="8" t="s">
        <v>4736</v>
      </c>
      <c r="C497" s="7" t="s">
        <v>4737</v>
      </c>
      <c r="D497" s="7" t="s">
        <v>16</v>
      </c>
      <c r="E497" s="7" t="s">
        <v>3799</v>
      </c>
      <c r="F497" s="7" t="s">
        <v>16</v>
      </c>
    </row>
    <row r="498" ht="22.5" customHeight="1">
      <c r="A498" s="7" t="s">
        <v>3807</v>
      </c>
      <c r="B498" s="8" t="s">
        <v>4738</v>
      </c>
      <c r="C498" s="7" t="s">
        <v>4739</v>
      </c>
      <c r="D498" s="7" t="s">
        <v>16</v>
      </c>
      <c r="E498" s="7" t="s">
        <v>3812</v>
      </c>
      <c r="F498" s="7" t="s">
        <v>16</v>
      </c>
    </row>
    <row r="499" ht="22.5" customHeight="1">
      <c r="A499" s="7" t="s">
        <v>3827</v>
      </c>
      <c r="B499" s="8" t="s">
        <v>4740</v>
      </c>
      <c r="C499" s="7" t="s">
        <v>4741</v>
      </c>
      <c r="D499" s="7" t="s">
        <v>26</v>
      </c>
      <c r="E499" s="7" t="s">
        <v>16</v>
      </c>
      <c r="F499" s="7" t="s">
        <v>16</v>
      </c>
    </row>
    <row r="500" ht="22.5" customHeight="1">
      <c r="A500" s="7" t="s">
        <v>2725</v>
      </c>
      <c r="B500" s="8" t="s">
        <v>4742</v>
      </c>
      <c r="C500" s="7" t="s">
        <v>4743</v>
      </c>
      <c r="D500" s="7" t="s">
        <v>4744</v>
      </c>
      <c r="E500" s="7" t="s">
        <v>3799</v>
      </c>
      <c r="F500" s="7" t="s">
        <v>16</v>
      </c>
    </row>
    <row r="501" ht="22.5" customHeight="1">
      <c r="A501" s="7" t="s">
        <v>3807</v>
      </c>
      <c r="B501" s="8" t="s">
        <v>4745</v>
      </c>
      <c r="C501" s="7" t="s">
        <v>4746</v>
      </c>
      <c r="D501" s="7" t="s">
        <v>16</v>
      </c>
      <c r="E501" s="7" t="s">
        <v>3806</v>
      </c>
      <c r="F501" s="7" t="s">
        <v>3884</v>
      </c>
    </row>
    <row r="502" ht="22.5" customHeight="1">
      <c r="A502" s="7" t="s">
        <v>3800</v>
      </c>
      <c r="B502" s="8" t="s">
        <v>4747</v>
      </c>
      <c r="C502" s="7" t="s">
        <v>4748</v>
      </c>
      <c r="D502" s="7" t="s">
        <v>26</v>
      </c>
      <c r="E502" s="7" t="s">
        <v>16</v>
      </c>
      <c r="F502" s="7" t="s">
        <v>16</v>
      </c>
    </row>
    <row r="503" ht="22.5" customHeight="1">
      <c r="A503" s="7" t="s">
        <v>2725</v>
      </c>
      <c r="B503" s="8" t="s">
        <v>4749</v>
      </c>
      <c r="C503" s="7" t="s">
        <v>4750</v>
      </c>
      <c r="D503" s="7" t="s">
        <v>16</v>
      </c>
      <c r="E503" s="7" t="s">
        <v>3806</v>
      </c>
      <c r="F503" s="7" t="s">
        <v>16</v>
      </c>
    </row>
    <row r="504" ht="22.5" customHeight="1">
      <c r="A504" s="7" t="s">
        <v>3807</v>
      </c>
      <c r="B504" s="8" t="s">
        <v>4751</v>
      </c>
      <c r="C504" s="7" t="s">
        <v>4752</v>
      </c>
      <c r="D504" s="7" t="s">
        <v>26</v>
      </c>
      <c r="E504" s="7" t="s">
        <v>16</v>
      </c>
      <c r="F504" s="7" t="s">
        <v>16</v>
      </c>
    </row>
    <row r="505" ht="22.5" customHeight="1">
      <c r="A505" s="7" t="s">
        <v>2327</v>
      </c>
      <c r="B505" s="8" t="s">
        <v>4753</v>
      </c>
      <c r="C505" s="7" t="s">
        <v>4754</v>
      </c>
      <c r="D505" s="7" t="s">
        <v>16</v>
      </c>
      <c r="E505" s="7" t="s">
        <v>3806</v>
      </c>
      <c r="F505" s="7" t="s">
        <v>16</v>
      </c>
    </row>
    <row r="506" ht="22.5" customHeight="1">
      <c r="A506" s="7" t="s">
        <v>3837</v>
      </c>
      <c r="B506" s="8" t="s">
        <v>4755</v>
      </c>
      <c r="C506" s="7" t="s">
        <v>4756</v>
      </c>
      <c r="D506" s="7" t="s">
        <v>16</v>
      </c>
      <c r="E506" s="7" t="s">
        <v>3799</v>
      </c>
      <c r="F506" s="7" t="s">
        <v>16</v>
      </c>
    </row>
    <row r="507" ht="22.5" customHeight="1">
      <c r="A507" s="7" t="s">
        <v>3800</v>
      </c>
      <c r="B507" s="8" t="s">
        <v>4757</v>
      </c>
      <c r="C507" s="7" t="s">
        <v>4758</v>
      </c>
      <c r="D507" s="7" t="s">
        <v>26</v>
      </c>
      <c r="E507" s="7" t="s">
        <v>16</v>
      </c>
      <c r="F507" s="7" t="s">
        <v>16</v>
      </c>
    </row>
    <row r="508" ht="22.5" customHeight="1">
      <c r="A508" s="7" t="s">
        <v>3800</v>
      </c>
      <c r="B508" s="8" t="s">
        <v>4759</v>
      </c>
      <c r="C508" s="7" t="s">
        <v>4760</v>
      </c>
      <c r="D508" s="7" t="s">
        <v>16</v>
      </c>
      <c r="E508" s="7" t="s">
        <v>3799</v>
      </c>
      <c r="F508" s="7" t="s">
        <v>16</v>
      </c>
    </row>
    <row r="509" ht="22.5" customHeight="1">
      <c r="A509" s="7" t="s">
        <v>3800</v>
      </c>
      <c r="B509" s="8" t="s">
        <v>4761</v>
      </c>
      <c r="C509" s="7" t="s">
        <v>4762</v>
      </c>
      <c r="D509" s="7" t="s">
        <v>16</v>
      </c>
      <c r="E509" s="7" t="s">
        <v>3799</v>
      </c>
      <c r="F509" s="7" t="s">
        <v>16</v>
      </c>
    </row>
    <row r="510" ht="22.5" customHeight="1">
      <c r="A510" s="7" t="s">
        <v>3800</v>
      </c>
      <c r="B510" s="8" t="s">
        <v>4763</v>
      </c>
      <c r="C510" s="7" t="s">
        <v>4764</v>
      </c>
      <c r="D510" s="7" t="s">
        <v>16</v>
      </c>
      <c r="E510" s="7" t="s">
        <v>3799</v>
      </c>
      <c r="F510" s="7" t="s">
        <v>16</v>
      </c>
    </row>
    <row r="511" ht="22.5" customHeight="1">
      <c r="A511" s="7" t="s">
        <v>2327</v>
      </c>
      <c r="B511" s="8" t="s">
        <v>4765</v>
      </c>
      <c r="C511" s="7" t="s">
        <v>4766</v>
      </c>
      <c r="D511" s="7" t="s">
        <v>16</v>
      </c>
      <c r="E511" s="7" t="s">
        <v>3812</v>
      </c>
      <c r="F511" s="7" t="s">
        <v>16</v>
      </c>
    </row>
    <row r="512" ht="22.5" customHeight="1">
      <c r="A512" s="7" t="s">
        <v>2327</v>
      </c>
      <c r="B512" s="8" t="s">
        <v>4765</v>
      </c>
      <c r="C512" s="7" t="s">
        <v>4767</v>
      </c>
      <c r="D512" s="7" t="s">
        <v>26</v>
      </c>
      <c r="E512" s="7" t="s">
        <v>16</v>
      </c>
      <c r="F512" s="7" t="s">
        <v>16</v>
      </c>
    </row>
    <row r="513" ht="22.5" customHeight="1">
      <c r="A513" s="7" t="s">
        <v>3807</v>
      </c>
      <c r="B513" s="8" t="s">
        <v>4768</v>
      </c>
      <c r="C513" s="7" t="s">
        <v>4769</v>
      </c>
      <c r="D513" s="7" t="s">
        <v>26</v>
      </c>
      <c r="E513" s="7" t="s">
        <v>16</v>
      </c>
      <c r="F513" s="7" t="s">
        <v>16</v>
      </c>
    </row>
    <row r="514" ht="22.5" customHeight="1">
      <c r="A514" s="7" t="s">
        <v>3800</v>
      </c>
      <c r="B514" s="8" t="s">
        <v>4770</v>
      </c>
      <c r="C514" s="7" t="s">
        <v>4771</v>
      </c>
      <c r="D514" s="7" t="s">
        <v>26</v>
      </c>
      <c r="E514" s="7" t="s">
        <v>16</v>
      </c>
      <c r="F514" s="7" t="s">
        <v>16</v>
      </c>
    </row>
    <row r="515" ht="22.5" customHeight="1">
      <c r="A515" s="7" t="s">
        <v>3800</v>
      </c>
      <c r="B515" s="8" t="s">
        <v>4772</v>
      </c>
      <c r="C515" s="7" t="s">
        <v>4773</v>
      </c>
      <c r="D515" s="7" t="s">
        <v>16</v>
      </c>
      <c r="E515" s="7" t="s">
        <v>3799</v>
      </c>
      <c r="F515" s="7" t="s">
        <v>16</v>
      </c>
    </row>
    <row r="516" ht="22.5" customHeight="1">
      <c r="A516" s="7" t="s">
        <v>3827</v>
      </c>
      <c r="B516" s="8" t="s">
        <v>4774</v>
      </c>
      <c r="C516" s="7" t="s">
        <v>4775</v>
      </c>
      <c r="D516" s="7" t="s">
        <v>16</v>
      </c>
      <c r="E516" s="7" t="s">
        <v>3812</v>
      </c>
      <c r="F516" s="7" t="s">
        <v>16</v>
      </c>
    </row>
    <row r="517" ht="22.5" customHeight="1">
      <c r="A517" s="7" t="s">
        <v>3837</v>
      </c>
      <c r="B517" s="8" t="s">
        <v>4776</v>
      </c>
      <c r="C517" s="7" t="s">
        <v>4777</v>
      </c>
      <c r="D517" s="7" t="s">
        <v>26</v>
      </c>
      <c r="E517" s="7" t="s">
        <v>16</v>
      </c>
      <c r="F517" s="7" t="s">
        <v>16</v>
      </c>
    </row>
    <row r="518" ht="22.5" customHeight="1">
      <c r="A518" s="7" t="s">
        <v>3800</v>
      </c>
      <c r="B518" s="8" t="s">
        <v>4778</v>
      </c>
      <c r="C518" s="7" t="s">
        <v>4779</v>
      </c>
      <c r="D518" s="7" t="s">
        <v>16</v>
      </c>
      <c r="E518" s="7" t="s">
        <v>3806</v>
      </c>
      <c r="F518" s="7" t="s">
        <v>16</v>
      </c>
    </row>
    <row r="519" ht="22.5" customHeight="1">
      <c r="A519" s="7" t="s">
        <v>3827</v>
      </c>
      <c r="B519" s="8" t="s">
        <v>4780</v>
      </c>
      <c r="C519" s="7" t="s">
        <v>4781</v>
      </c>
      <c r="D519" s="7" t="s">
        <v>26</v>
      </c>
      <c r="E519" s="7" t="s">
        <v>16</v>
      </c>
      <c r="F519" s="7" t="s">
        <v>16</v>
      </c>
    </row>
    <row r="520" ht="22.5" customHeight="1">
      <c r="A520" s="7" t="s">
        <v>3827</v>
      </c>
      <c r="B520" s="8" t="s">
        <v>4780</v>
      </c>
      <c r="C520" s="7" t="s">
        <v>4782</v>
      </c>
      <c r="D520" s="7" t="s">
        <v>26</v>
      </c>
      <c r="E520" s="7" t="s">
        <v>16</v>
      </c>
      <c r="F520" s="7" t="s">
        <v>16</v>
      </c>
    </row>
    <row r="521" ht="22.5" customHeight="1">
      <c r="A521" s="7" t="s">
        <v>3827</v>
      </c>
      <c r="B521" s="8" t="s">
        <v>4783</v>
      </c>
      <c r="C521" s="7" t="s">
        <v>4784</v>
      </c>
      <c r="D521" s="7" t="s">
        <v>26</v>
      </c>
      <c r="E521" s="7" t="s">
        <v>16</v>
      </c>
      <c r="F521" s="7" t="s">
        <v>16</v>
      </c>
    </row>
    <row r="522" ht="22.5" customHeight="1">
      <c r="A522" s="7" t="s">
        <v>2327</v>
      </c>
      <c r="B522" s="8" t="s">
        <v>4785</v>
      </c>
      <c r="C522" s="7" t="s">
        <v>4786</v>
      </c>
      <c r="D522" s="7" t="s">
        <v>26</v>
      </c>
      <c r="E522" s="7" t="s">
        <v>16</v>
      </c>
      <c r="F522" s="7" t="s">
        <v>16</v>
      </c>
    </row>
    <row r="523" ht="22.5" customHeight="1">
      <c r="A523" s="7" t="s">
        <v>3800</v>
      </c>
      <c r="B523" s="8" t="s">
        <v>4787</v>
      </c>
      <c r="C523" s="7" t="s">
        <v>4788</v>
      </c>
      <c r="D523" s="7" t="s">
        <v>26</v>
      </c>
      <c r="E523" s="7" t="s">
        <v>16</v>
      </c>
      <c r="F523" s="7" t="s">
        <v>16</v>
      </c>
    </row>
    <row r="524" ht="22.5" customHeight="1">
      <c r="A524" s="7" t="s">
        <v>3800</v>
      </c>
      <c r="B524" s="8" t="s">
        <v>4789</v>
      </c>
      <c r="C524" s="7" t="s">
        <v>4790</v>
      </c>
      <c r="D524" s="7" t="s">
        <v>26</v>
      </c>
      <c r="E524" s="7" t="s">
        <v>16</v>
      </c>
      <c r="F524" s="7" t="s">
        <v>16</v>
      </c>
    </row>
    <row r="525" ht="22.5" customHeight="1">
      <c r="A525" s="7" t="s">
        <v>2327</v>
      </c>
      <c r="B525" s="8" t="s">
        <v>4791</v>
      </c>
      <c r="C525" s="7" t="s">
        <v>4792</v>
      </c>
      <c r="D525" s="7" t="s">
        <v>16</v>
      </c>
      <c r="E525" s="7" t="s">
        <v>3812</v>
      </c>
      <c r="F525" s="7" t="s">
        <v>3850</v>
      </c>
    </row>
    <row r="526" ht="22.5" customHeight="1">
      <c r="A526" s="7" t="s">
        <v>3800</v>
      </c>
      <c r="B526" s="8" t="s">
        <v>4793</v>
      </c>
      <c r="C526" s="7" t="s">
        <v>4794</v>
      </c>
      <c r="D526" s="7" t="s">
        <v>26</v>
      </c>
      <c r="E526" s="7" t="s">
        <v>16</v>
      </c>
      <c r="F526" s="7" t="s">
        <v>16</v>
      </c>
    </row>
    <row r="527" ht="22.5" customHeight="1">
      <c r="A527" s="7" t="s">
        <v>3807</v>
      </c>
      <c r="B527" s="8" t="s">
        <v>4795</v>
      </c>
      <c r="C527" s="7" t="s">
        <v>4796</v>
      </c>
      <c r="D527" s="7" t="s">
        <v>16</v>
      </c>
      <c r="E527" s="7" t="s">
        <v>3806</v>
      </c>
      <c r="F527" s="7" t="s">
        <v>16</v>
      </c>
    </row>
    <row r="528" ht="22.5" customHeight="1">
      <c r="A528" s="7" t="s">
        <v>3807</v>
      </c>
      <c r="B528" s="8" t="s">
        <v>4797</v>
      </c>
      <c r="C528" s="7" t="s">
        <v>4798</v>
      </c>
      <c r="D528" s="7" t="s">
        <v>16</v>
      </c>
      <c r="E528" s="7" t="s">
        <v>3806</v>
      </c>
      <c r="F528" s="7" t="s">
        <v>16</v>
      </c>
    </row>
    <row r="529" ht="22.5" customHeight="1">
      <c r="A529" s="7" t="s">
        <v>2725</v>
      </c>
      <c r="B529" s="8" t="s">
        <v>4799</v>
      </c>
      <c r="C529" s="7" t="s">
        <v>4800</v>
      </c>
      <c r="D529" s="7" t="s">
        <v>16</v>
      </c>
      <c r="E529" s="7" t="s">
        <v>3806</v>
      </c>
      <c r="F529" s="7" t="s">
        <v>16</v>
      </c>
    </row>
    <row r="530" ht="22.5" customHeight="1">
      <c r="A530" s="7" t="s">
        <v>3807</v>
      </c>
      <c r="B530" s="8" t="s">
        <v>4801</v>
      </c>
      <c r="C530" s="7" t="s">
        <v>4802</v>
      </c>
      <c r="D530" s="7" t="s">
        <v>16</v>
      </c>
      <c r="E530" s="7" t="s">
        <v>3799</v>
      </c>
      <c r="F530" s="7" t="s">
        <v>16</v>
      </c>
    </row>
    <row r="531" ht="22.5" customHeight="1">
      <c r="A531" s="7" t="s">
        <v>3827</v>
      </c>
      <c r="B531" s="8" t="s">
        <v>4803</v>
      </c>
      <c r="C531" s="7" t="s">
        <v>4804</v>
      </c>
      <c r="D531" s="7" t="s">
        <v>26</v>
      </c>
      <c r="E531" s="7" t="s">
        <v>16</v>
      </c>
      <c r="F531" s="7" t="s">
        <v>16</v>
      </c>
    </row>
    <row r="532" ht="22.5" customHeight="1">
      <c r="A532" s="7" t="s">
        <v>3837</v>
      </c>
      <c r="B532" s="8" t="s">
        <v>4805</v>
      </c>
      <c r="C532" s="7" t="s">
        <v>4806</v>
      </c>
      <c r="D532" s="7" t="s">
        <v>16</v>
      </c>
      <c r="E532" s="7" t="s">
        <v>3803</v>
      </c>
      <c r="F532" s="7" t="s">
        <v>16</v>
      </c>
    </row>
    <row r="533" ht="22.5" customHeight="1">
      <c r="A533" s="7" t="s">
        <v>3827</v>
      </c>
      <c r="B533" s="8" t="s">
        <v>4807</v>
      </c>
      <c r="C533" s="7" t="s">
        <v>4808</v>
      </c>
      <c r="D533" s="7" t="s">
        <v>26</v>
      </c>
      <c r="E533" s="7" t="s">
        <v>16</v>
      </c>
      <c r="F533" s="7" t="s">
        <v>16</v>
      </c>
    </row>
    <row r="534" ht="22.5" customHeight="1">
      <c r="A534" s="7" t="s">
        <v>3827</v>
      </c>
      <c r="B534" s="8" t="s">
        <v>4809</v>
      </c>
      <c r="C534" s="7" t="s">
        <v>4810</v>
      </c>
      <c r="D534" s="7" t="s">
        <v>16</v>
      </c>
      <c r="E534" s="7" t="s">
        <v>3806</v>
      </c>
      <c r="F534" s="7" t="s">
        <v>3816</v>
      </c>
    </row>
    <row r="535" ht="22.5" customHeight="1">
      <c r="A535" s="7" t="s">
        <v>2725</v>
      </c>
      <c r="B535" s="8" t="s">
        <v>4811</v>
      </c>
      <c r="C535" s="7" t="s">
        <v>4812</v>
      </c>
      <c r="D535" s="7" t="s">
        <v>16</v>
      </c>
      <c r="E535" s="7" t="s">
        <v>3806</v>
      </c>
      <c r="F535" s="7" t="s">
        <v>16</v>
      </c>
    </row>
    <row r="536" ht="22.5" customHeight="1">
      <c r="A536" s="7" t="s">
        <v>3800</v>
      </c>
      <c r="B536" s="8" t="s">
        <v>4813</v>
      </c>
      <c r="C536" s="7" t="s">
        <v>4814</v>
      </c>
      <c r="D536" s="7" t="s">
        <v>26</v>
      </c>
      <c r="E536" s="7" t="s">
        <v>16</v>
      </c>
      <c r="F536" s="7" t="s">
        <v>16</v>
      </c>
    </row>
    <row r="537" ht="22.5" customHeight="1">
      <c r="A537" s="7" t="s">
        <v>3807</v>
      </c>
      <c r="B537" s="8" t="s">
        <v>4815</v>
      </c>
      <c r="C537" s="7" t="s">
        <v>4816</v>
      </c>
      <c r="D537" s="7" t="s">
        <v>26</v>
      </c>
      <c r="E537" s="7" t="s">
        <v>16</v>
      </c>
      <c r="F537" s="7" t="s">
        <v>16</v>
      </c>
    </row>
    <row r="538" ht="22.5" customHeight="1">
      <c r="A538" s="7" t="s">
        <v>3807</v>
      </c>
      <c r="B538" s="8" t="s">
        <v>4817</v>
      </c>
      <c r="C538" s="7" t="s">
        <v>4818</v>
      </c>
      <c r="D538" s="7" t="s">
        <v>16</v>
      </c>
      <c r="E538" s="7" t="s">
        <v>3806</v>
      </c>
      <c r="F538" s="7" t="s">
        <v>3816</v>
      </c>
    </row>
    <row r="539" ht="22.5" customHeight="1">
      <c r="A539" s="7" t="s">
        <v>3800</v>
      </c>
      <c r="B539" s="8" t="s">
        <v>4819</v>
      </c>
      <c r="C539" s="7" t="s">
        <v>4820</v>
      </c>
      <c r="D539" s="7" t="s">
        <v>16</v>
      </c>
      <c r="E539" s="7" t="s">
        <v>3812</v>
      </c>
      <c r="F539" s="7" t="s">
        <v>16</v>
      </c>
    </row>
    <row r="540" ht="22.5" customHeight="1">
      <c r="A540" s="7" t="s">
        <v>3800</v>
      </c>
      <c r="B540" s="8" t="s">
        <v>4821</v>
      </c>
      <c r="C540" s="7" t="s">
        <v>4822</v>
      </c>
      <c r="D540" s="7" t="s">
        <v>16</v>
      </c>
      <c r="E540" s="7" t="s">
        <v>3799</v>
      </c>
      <c r="F540" s="7" t="s">
        <v>16</v>
      </c>
    </row>
    <row r="541" ht="22.5" customHeight="1">
      <c r="A541" s="7" t="s">
        <v>3837</v>
      </c>
      <c r="B541" s="8" t="s">
        <v>4823</v>
      </c>
      <c r="C541" s="7" t="s">
        <v>4824</v>
      </c>
      <c r="D541" s="7" t="s">
        <v>26</v>
      </c>
      <c r="E541" s="7" t="s">
        <v>16</v>
      </c>
      <c r="F541" s="7" t="s">
        <v>16</v>
      </c>
    </row>
    <row r="542" ht="22.5" customHeight="1">
      <c r="A542" s="7" t="s">
        <v>3800</v>
      </c>
      <c r="B542" s="8" t="s">
        <v>4825</v>
      </c>
      <c r="C542" s="7" t="s">
        <v>4826</v>
      </c>
      <c r="D542" s="7" t="s">
        <v>26</v>
      </c>
      <c r="E542" s="7" t="s">
        <v>16</v>
      </c>
      <c r="F542" s="7" t="s">
        <v>16</v>
      </c>
    </row>
    <row r="543" ht="22.5" customHeight="1">
      <c r="A543" s="7" t="s">
        <v>3800</v>
      </c>
      <c r="B543" s="8" t="s">
        <v>4827</v>
      </c>
      <c r="C543" s="7" t="s">
        <v>4828</v>
      </c>
      <c r="D543" s="7" t="s">
        <v>16</v>
      </c>
      <c r="E543" s="7" t="s">
        <v>3812</v>
      </c>
      <c r="F543" s="7" t="s">
        <v>16</v>
      </c>
    </row>
    <row r="544" ht="22.5" customHeight="1">
      <c r="A544" s="7" t="s">
        <v>3800</v>
      </c>
      <c r="B544" s="8" t="s">
        <v>4829</v>
      </c>
      <c r="C544" s="7" t="s">
        <v>4830</v>
      </c>
      <c r="D544" s="7" t="s">
        <v>16</v>
      </c>
      <c r="E544" s="7" t="s">
        <v>3812</v>
      </c>
      <c r="F544" s="7" t="s">
        <v>16</v>
      </c>
    </row>
    <row r="545" ht="22.5" customHeight="1">
      <c r="A545" s="7" t="s">
        <v>3837</v>
      </c>
      <c r="B545" s="8" t="s">
        <v>4831</v>
      </c>
      <c r="C545" s="7" t="s">
        <v>4832</v>
      </c>
      <c r="D545" s="7" t="s">
        <v>16</v>
      </c>
      <c r="E545" s="7" t="s">
        <v>3812</v>
      </c>
      <c r="F545" s="7" t="s">
        <v>16</v>
      </c>
    </row>
    <row r="546" ht="22.5" customHeight="1">
      <c r="A546" s="7" t="s">
        <v>3837</v>
      </c>
      <c r="B546" s="8" t="s">
        <v>4833</v>
      </c>
      <c r="C546" s="7" t="s">
        <v>4834</v>
      </c>
      <c r="D546" s="7" t="s">
        <v>16</v>
      </c>
      <c r="E546" s="7" t="s">
        <v>3806</v>
      </c>
      <c r="F546" s="7" t="s">
        <v>16</v>
      </c>
    </row>
    <row r="547" ht="22.5" customHeight="1">
      <c r="A547" s="7" t="s">
        <v>3807</v>
      </c>
      <c r="B547" s="8" t="s">
        <v>4835</v>
      </c>
      <c r="C547" s="7" t="s">
        <v>4836</v>
      </c>
      <c r="D547" s="7" t="s">
        <v>4744</v>
      </c>
      <c r="E547" s="7" t="s">
        <v>3799</v>
      </c>
      <c r="F547" s="7" t="s">
        <v>16</v>
      </c>
    </row>
    <row r="548" ht="22.5" customHeight="1">
      <c r="A548" s="7" t="s">
        <v>3800</v>
      </c>
      <c r="B548" s="8" t="s">
        <v>4837</v>
      </c>
      <c r="C548" s="7" t="s">
        <v>4838</v>
      </c>
      <c r="D548" s="7" t="s">
        <v>16</v>
      </c>
      <c r="E548" s="7" t="s">
        <v>3806</v>
      </c>
      <c r="F548" s="7" t="s">
        <v>16</v>
      </c>
    </row>
    <row r="549" ht="22.5" customHeight="1">
      <c r="A549" s="7" t="s">
        <v>3800</v>
      </c>
      <c r="B549" s="8" t="s">
        <v>4839</v>
      </c>
      <c r="C549" s="7" t="s">
        <v>4840</v>
      </c>
      <c r="D549" s="7" t="s">
        <v>16</v>
      </c>
      <c r="E549" s="7" t="s">
        <v>3806</v>
      </c>
      <c r="F549" s="7" t="s">
        <v>3816</v>
      </c>
    </row>
    <row r="550" ht="22.5" customHeight="1">
      <c r="A550" s="7" t="s">
        <v>3837</v>
      </c>
      <c r="B550" s="8" t="s">
        <v>4841</v>
      </c>
      <c r="C550" s="7" t="s">
        <v>4842</v>
      </c>
      <c r="D550" s="7" t="s">
        <v>16</v>
      </c>
      <c r="E550" s="7" t="s">
        <v>3806</v>
      </c>
      <c r="F550" s="7" t="s">
        <v>16</v>
      </c>
    </row>
    <row r="551" ht="22.5" customHeight="1">
      <c r="A551" s="7" t="s">
        <v>3837</v>
      </c>
      <c r="B551" s="8" t="s">
        <v>4843</v>
      </c>
      <c r="C551" s="7" t="s">
        <v>4844</v>
      </c>
      <c r="D551" s="7" t="s">
        <v>16</v>
      </c>
      <c r="E551" s="7" t="s">
        <v>3799</v>
      </c>
      <c r="F551" s="7" t="s">
        <v>16</v>
      </c>
    </row>
    <row r="552" ht="22.5" customHeight="1">
      <c r="A552" s="7" t="s">
        <v>3837</v>
      </c>
      <c r="B552" s="8" t="s">
        <v>4845</v>
      </c>
      <c r="C552" s="7" t="s">
        <v>4846</v>
      </c>
      <c r="D552" s="7" t="s">
        <v>16</v>
      </c>
      <c r="E552" s="7" t="s">
        <v>3812</v>
      </c>
      <c r="F552" s="7" t="s">
        <v>16</v>
      </c>
    </row>
    <row r="553" ht="22.5" customHeight="1">
      <c r="A553" s="7" t="s">
        <v>3837</v>
      </c>
      <c r="B553" s="8" t="s">
        <v>4847</v>
      </c>
      <c r="C553" s="7" t="s">
        <v>4848</v>
      </c>
      <c r="D553" s="7" t="s">
        <v>16</v>
      </c>
      <c r="E553" s="7" t="s">
        <v>3803</v>
      </c>
      <c r="F553" s="7" t="s">
        <v>3850</v>
      </c>
    </row>
    <row r="554" ht="22.5" customHeight="1">
      <c r="A554" s="7" t="s">
        <v>3827</v>
      </c>
      <c r="B554" s="8" t="s">
        <v>4849</v>
      </c>
      <c r="C554" s="7" t="s">
        <v>4850</v>
      </c>
      <c r="D554" s="7" t="s">
        <v>16</v>
      </c>
      <c r="E554" s="7" t="s">
        <v>3806</v>
      </c>
      <c r="F554" s="7" t="s">
        <v>16</v>
      </c>
    </row>
    <row r="555" ht="22.5" customHeight="1">
      <c r="A555" s="7" t="s">
        <v>3827</v>
      </c>
      <c r="B555" s="8" t="s">
        <v>4851</v>
      </c>
      <c r="C555" s="7" t="s">
        <v>4852</v>
      </c>
      <c r="D555" s="7" t="s">
        <v>16</v>
      </c>
      <c r="E555" s="7" t="s">
        <v>3806</v>
      </c>
      <c r="F555" s="7" t="s">
        <v>16</v>
      </c>
    </row>
    <row r="556" ht="22.5" customHeight="1">
      <c r="A556" s="7" t="s">
        <v>2725</v>
      </c>
      <c r="B556" s="8" t="s">
        <v>4853</v>
      </c>
      <c r="C556" s="7" t="s">
        <v>4854</v>
      </c>
      <c r="D556" s="7" t="s">
        <v>3963</v>
      </c>
      <c r="E556" s="7" t="s">
        <v>3803</v>
      </c>
      <c r="F556" s="7" t="s">
        <v>3964</v>
      </c>
    </row>
    <row r="557" ht="22.5" customHeight="1">
      <c r="A557" s="7" t="s">
        <v>3827</v>
      </c>
      <c r="B557" s="8" t="s">
        <v>4855</v>
      </c>
      <c r="C557" s="7" t="s">
        <v>4856</v>
      </c>
      <c r="D557" s="7" t="s">
        <v>16</v>
      </c>
      <c r="E557" s="7" t="s">
        <v>3806</v>
      </c>
      <c r="F557" s="7" t="s">
        <v>16</v>
      </c>
    </row>
    <row r="558" ht="22.5" customHeight="1">
      <c r="A558" s="7" t="s">
        <v>3837</v>
      </c>
      <c r="B558" s="8" t="s">
        <v>4857</v>
      </c>
      <c r="C558" s="7" t="s">
        <v>4858</v>
      </c>
      <c r="D558" s="7" t="s">
        <v>4859</v>
      </c>
      <c r="E558" s="7" t="s">
        <v>3799</v>
      </c>
      <c r="F558" s="7" t="s">
        <v>16</v>
      </c>
    </row>
    <row r="559" ht="22.5" customHeight="1">
      <c r="A559" s="7" t="s">
        <v>3800</v>
      </c>
      <c r="B559" s="8" t="s">
        <v>4860</v>
      </c>
      <c r="C559" s="7" t="s">
        <v>4861</v>
      </c>
      <c r="D559" s="7" t="s">
        <v>16</v>
      </c>
      <c r="E559" s="7" t="s">
        <v>3812</v>
      </c>
      <c r="F559" s="7" t="s">
        <v>16</v>
      </c>
    </row>
    <row r="560" ht="22.5" customHeight="1">
      <c r="A560" s="7" t="s">
        <v>3837</v>
      </c>
      <c r="B560" s="8" t="s">
        <v>4862</v>
      </c>
      <c r="C560" s="7" t="s">
        <v>4863</v>
      </c>
      <c r="D560" s="7" t="s">
        <v>16</v>
      </c>
      <c r="E560" s="7" t="s">
        <v>3803</v>
      </c>
      <c r="F560" s="7" t="s">
        <v>16</v>
      </c>
    </row>
    <row r="561" ht="22.5" customHeight="1">
      <c r="A561" s="7" t="s">
        <v>3837</v>
      </c>
      <c r="B561" s="8" t="s">
        <v>4864</v>
      </c>
      <c r="C561" s="7" t="s">
        <v>4865</v>
      </c>
      <c r="D561" s="7" t="s">
        <v>3850</v>
      </c>
      <c r="E561" s="7" t="s">
        <v>3803</v>
      </c>
      <c r="F561" s="7" t="s">
        <v>3850</v>
      </c>
    </row>
    <row r="562" ht="22.5" customHeight="1">
      <c r="A562" s="7" t="s">
        <v>3807</v>
      </c>
      <c r="B562" s="8" t="s">
        <v>4866</v>
      </c>
      <c r="C562" s="7" t="s">
        <v>4867</v>
      </c>
      <c r="D562" s="7" t="s">
        <v>4868</v>
      </c>
      <c r="E562" s="7" t="s">
        <v>3806</v>
      </c>
      <c r="F562" s="7" t="s">
        <v>16</v>
      </c>
    </row>
    <row r="563" ht="22.5" customHeight="1">
      <c r="A563" s="7" t="s">
        <v>3837</v>
      </c>
      <c r="B563" s="8" t="s">
        <v>4869</v>
      </c>
      <c r="C563" s="7" t="s">
        <v>4870</v>
      </c>
      <c r="D563" s="7" t="s">
        <v>16</v>
      </c>
      <c r="E563" s="7" t="s">
        <v>3806</v>
      </c>
      <c r="F563" s="7" t="s">
        <v>16</v>
      </c>
    </row>
    <row r="564" ht="22.5" customHeight="1">
      <c r="A564" s="7" t="s">
        <v>3827</v>
      </c>
      <c r="B564" s="8" t="s">
        <v>4871</v>
      </c>
      <c r="C564" s="7" t="s">
        <v>4872</v>
      </c>
      <c r="D564" s="7" t="s">
        <v>16</v>
      </c>
      <c r="E564" s="7" t="s">
        <v>3806</v>
      </c>
      <c r="F564" s="7" t="s">
        <v>16</v>
      </c>
    </row>
    <row r="565" ht="22.5" customHeight="1">
      <c r="A565" s="7" t="s">
        <v>3827</v>
      </c>
      <c r="B565" s="8" t="s">
        <v>4873</v>
      </c>
      <c r="C565" s="7" t="s">
        <v>4874</v>
      </c>
      <c r="D565" s="7" t="s">
        <v>16</v>
      </c>
      <c r="E565" s="7" t="s">
        <v>3803</v>
      </c>
      <c r="F565" s="7" t="s">
        <v>16</v>
      </c>
    </row>
    <row r="566" ht="22.5" customHeight="1">
      <c r="A566" s="7" t="s">
        <v>3807</v>
      </c>
      <c r="B566" s="8" t="s">
        <v>4875</v>
      </c>
      <c r="C566" s="7" t="s">
        <v>4876</v>
      </c>
      <c r="D566" s="7" t="s">
        <v>16</v>
      </c>
      <c r="E566" s="7" t="s">
        <v>3806</v>
      </c>
      <c r="F566" s="7" t="s">
        <v>16</v>
      </c>
    </row>
    <row r="567" ht="22.5" customHeight="1">
      <c r="A567" s="7" t="s">
        <v>3800</v>
      </c>
      <c r="B567" s="8" t="s">
        <v>4877</v>
      </c>
      <c r="C567" s="7" t="s">
        <v>4878</v>
      </c>
      <c r="D567" s="7" t="s">
        <v>16</v>
      </c>
      <c r="E567" s="7" t="s">
        <v>3806</v>
      </c>
      <c r="F567" s="7" t="s">
        <v>3884</v>
      </c>
    </row>
    <row r="568" ht="22.5" customHeight="1">
      <c r="A568" s="7" t="s">
        <v>3807</v>
      </c>
      <c r="B568" s="8" t="s">
        <v>4879</v>
      </c>
      <c r="C568" s="7" t="s">
        <v>4880</v>
      </c>
      <c r="D568" s="7" t="s">
        <v>4859</v>
      </c>
      <c r="E568" s="7" t="s">
        <v>3799</v>
      </c>
      <c r="F568" s="7" t="s">
        <v>16</v>
      </c>
    </row>
    <row r="569" ht="22.5" customHeight="1">
      <c r="A569" s="7" t="s">
        <v>3827</v>
      </c>
      <c r="B569" s="8" t="s">
        <v>4881</v>
      </c>
      <c r="C569" s="7" t="s">
        <v>4882</v>
      </c>
      <c r="D569" s="7" t="s">
        <v>16</v>
      </c>
      <c r="E569" s="7" t="s">
        <v>3812</v>
      </c>
      <c r="F569" s="7" t="s">
        <v>16</v>
      </c>
    </row>
    <row r="570" ht="22.5" customHeight="1">
      <c r="A570" s="7" t="s">
        <v>3837</v>
      </c>
      <c r="B570" s="8" t="s">
        <v>4883</v>
      </c>
      <c r="C570" s="7" t="s">
        <v>4884</v>
      </c>
      <c r="D570" s="7" t="s">
        <v>16</v>
      </c>
      <c r="E570" s="7" t="s">
        <v>3806</v>
      </c>
      <c r="F570" s="7" t="s">
        <v>16</v>
      </c>
    </row>
    <row r="571" ht="22.5" customHeight="1">
      <c r="A571" s="7" t="s">
        <v>3827</v>
      </c>
      <c r="B571" s="8" t="s">
        <v>4885</v>
      </c>
      <c r="C571" s="7" t="s">
        <v>4886</v>
      </c>
      <c r="D571" s="7" t="s">
        <v>16</v>
      </c>
      <c r="E571" s="7" t="s">
        <v>3799</v>
      </c>
      <c r="F571" s="7" t="s">
        <v>16</v>
      </c>
    </row>
    <row r="572" ht="22.5" customHeight="1">
      <c r="A572" s="7" t="s">
        <v>3837</v>
      </c>
      <c r="B572" s="8" t="s">
        <v>4887</v>
      </c>
      <c r="C572" s="7" t="s">
        <v>4888</v>
      </c>
      <c r="D572" s="7" t="s">
        <v>16</v>
      </c>
      <c r="E572" s="7" t="s">
        <v>3812</v>
      </c>
      <c r="F572" s="7" t="s">
        <v>16</v>
      </c>
    </row>
    <row r="573" ht="22.5" customHeight="1">
      <c r="A573" s="7" t="s">
        <v>3837</v>
      </c>
      <c r="B573" s="8" t="s">
        <v>4889</v>
      </c>
      <c r="C573" s="7" t="s">
        <v>4890</v>
      </c>
      <c r="D573" s="7" t="s">
        <v>16</v>
      </c>
      <c r="E573" s="7" t="s">
        <v>3812</v>
      </c>
      <c r="F573" s="7" t="s">
        <v>16</v>
      </c>
    </row>
    <row r="574" ht="22.5" customHeight="1">
      <c r="A574" s="7" t="s">
        <v>3800</v>
      </c>
      <c r="B574" s="8" t="s">
        <v>4891</v>
      </c>
      <c r="C574" s="7" t="s">
        <v>4892</v>
      </c>
      <c r="D574" s="7" t="s">
        <v>16</v>
      </c>
      <c r="E574" s="7" t="s">
        <v>3799</v>
      </c>
      <c r="F574" s="7" t="s">
        <v>16</v>
      </c>
    </row>
    <row r="575" ht="22.5" customHeight="1">
      <c r="A575" s="7" t="s">
        <v>3807</v>
      </c>
      <c r="B575" s="8" t="s">
        <v>4893</v>
      </c>
      <c r="C575" s="7" t="s">
        <v>4894</v>
      </c>
      <c r="D575" s="7" t="s">
        <v>16</v>
      </c>
      <c r="E575" s="7" t="s">
        <v>3799</v>
      </c>
      <c r="F575" s="7" t="s">
        <v>16</v>
      </c>
    </row>
    <row r="576" ht="22.5" customHeight="1">
      <c r="A576" s="7" t="s">
        <v>3837</v>
      </c>
      <c r="B576" s="8" t="s">
        <v>4895</v>
      </c>
      <c r="C576" s="7" t="s">
        <v>4896</v>
      </c>
      <c r="D576" s="7" t="s">
        <v>4897</v>
      </c>
      <c r="E576" s="7" t="s">
        <v>3806</v>
      </c>
      <c r="F576" s="7" t="s">
        <v>3884</v>
      </c>
    </row>
    <row r="577" ht="22.5" customHeight="1">
      <c r="A577" s="7" t="s">
        <v>3837</v>
      </c>
      <c r="B577" s="8" t="s">
        <v>4898</v>
      </c>
      <c r="C577" s="7" t="s">
        <v>4899</v>
      </c>
      <c r="D577" s="7" t="s">
        <v>4900</v>
      </c>
      <c r="E577" s="7" t="s">
        <v>3803</v>
      </c>
      <c r="F577" s="7" t="s">
        <v>3993</v>
      </c>
    </row>
    <row r="578" ht="22.5" customHeight="1">
      <c r="A578" s="7" t="s">
        <v>2725</v>
      </c>
      <c r="B578" s="8" t="s">
        <v>4901</v>
      </c>
      <c r="C578" s="7" t="s">
        <v>4902</v>
      </c>
      <c r="D578" s="7" t="s">
        <v>4859</v>
      </c>
      <c r="E578" s="7" t="s">
        <v>3799</v>
      </c>
      <c r="F578" s="7" t="s">
        <v>16</v>
      </c>
    </row>
    <row r="579" ht="22.5" customHeight="1">
      <c r="A579" s="7" t="s">
        <v>3807</v>
      </c>
      <c r="B579" s="8" t="s">
        <v>4903</v>
      </c>
      <c r="C579" s="7" t="s">
        <v>4904</v>
      </c>
      <c r="D579" s="7" t="s">
        <v>16</v>
      </c>
      <c r="E579" s="7" t="s">
        <v>3799</v>
      </c>
      <c r="F579" s="7" t="s">
        <v>4671</v>
      </c>
    </row>
    <row r="580" ht="22.5" customHeight="1">
      <c r="A580" s="7" t="s">
        <v>3837</v>
      </c>
      <c r="B580" s="8" t="s">
        <v>4905</v>
      </c>
      <c r="C580" s="7" t="s">
        <v>4906</v>
      </c>
      <c r="D580" s="7" t="s">
        <v>4744</v>
      </c>
      <c r="E580" s="7" t="s">
        <v>3799</v>
      </c>
      <c r="F580" s="7" t="s">
        <v>16</v>
      </c>
    </row>
    <row r="581" ht="22.5" customHeight="1">
      <c r="A581" s="7" t="s">
        <v>3800</v>
      </c>
      <c r="B581" s="8" t="s">
        <v>4907</v>
      </c>
      <c r="C581" s="7" t="s">
        <v>4908</v>
      </c>
      <c r="D581" s="7" t="s">
        <v>4744</v>
      </c>
      <c r="E581" s="7" t="s">
        <v>3799</v>
      </c>
      <c r="F581" s="7" t="s">
        <v>16</v>
      </c>
    </row>
    <row r="582" ht="22.5" customHeight="1">
      <c r="A582" s="7" t="s">
        <v>3837</v>
      </c>
      <c r="B582" s="8" t="s">
        <v>4909</v>
      </c>
      <c r="C582" s="7" t="s">
        <v>4910</v>
      </c>
      <c r="D582" s="7" t="s">
        <v>16</v>
      </c>
      <c r="E582" s="7" t="s">
        <v>3803</v>
      </c>
      <c r="F582" s="7" t="s">
        <v>3850</v>
      </c>
    </row>
    <row r="583" ht="22.5" customHeight="1">
      <c r="A583" s="7" t="s">
        <v>3837</v>
      </c>
      <c r="B583" s="8" t="s">
        <v>4911</v>
      </c>
      <c r="C583" s="7" t="s">
        <v>4912</v>
      </c>
      <c r="D583" s="7" t="s">
        <v>16</v>
      </c>
      <c r="E583" s="7" t="s">
        <v>3806</v>
      </c>
      <c r="F583" s="7" t="s">
        <v>16</v>
      </c>
    </row>
    <row r="584" ht="22.5" customHeight="1">
      <c r="A584" s="7" t="s">
        <v>3837</v>
      </c>
      <c r="B584" s="8" t="s">
        <v>4913</v>
      </c>
      <c r="C584" s="7" t="s">
        <v>4914</v>
      </c>
      <c r="D584" s="7" t="s">
        <v>16</v>
      </c>
      <c r="E584" s="7" t="s">
        <v>3803</v>
      </c>
      <c r="F584" s="7" t="s">
        <v>3850</v>
      </c>
    </row>
    <row r="585" ht="22.5" customHeight="1">
      <c r="A585" s="7" t="s">
        <v>3837</v>
      </c>
      <c r="B585" s="8" t="s">
        <v>4913</v>
      </c>
      <c r="C585" s="7" t="s">
        <v>4915</v>
      </c>
      <c r="D585" s="7" t="s">
        <v>26</v>
      </c>
      <c r="E585" s="7" t="s">
        <v>16</v>
      </c>
      <c r="F585" s="7" t="s">
        <v>16</v>
      </c>
    </row>
    <row r="586" ht="22.5" customHeight="1">
      <c r="A586" s="7" t="s">
        <v>3807</v>
      </c>
      <c r="B586" s="8" t="s">
        <v>4916</v>
      </c>
      <c r="C586" s="7" t="s">
        <v>4917</v>
      </c>
      <c r="D586" s="7" t="s">
        <v>16</v>
      </c>
      <c r="E586" s="7" t="s">
        <v>3803</v>
      </c>
      <c r="F586" s="7" t="s">
        <v>3816</v>
      </c>
    </row>
    <row r="587" ht="22.5" customHeight="1">
      <c r="A587" s="7" t="s">
        <v>3807</v>
      </c>
      <c r="B587" s="8" t="s">
        <v>4918</v>
      </c>
      <c r="C587" s="7" t="s">
        <v>4919</v>
      </c>
      <c r="D587" s="7" t="s">
        <v>16</v>
      </c>
      <c r="E587" s="7" t="s">
        <v>3799</v>
      </c>
      <c r="F587" s="7" t="s">
        <v>3879</v>
      </c>
    </row>
    <row r="588" ht="22.5" customHeight="1">
      <c r="A588" s="7" t="s">
        <v>3807</v>
      </c>
      <c r="B588" s="8" t="s">
        <v>4920</v>
      </c>
      <c r="C588" s="7" t="s">
        <v>4921</v>
      </c>
      <c r="D588" s="7" t="s">
        <v>16</v>
      </c>
      <c r="E588" s="7" t="s">
        <v>3812</v>
      </c>
      <c r="F588" s="7" t="s">
        <v>4107</v>
      </c>
    </row>
    <row r="589" ht="22.5" customHeight="1">
      <c r="A589" s="7" t="s">
        <v>3837</v>
      </c>
      <c r="B589" s="8" t="s">
        <v>4922</v>
      </c>
      <c r="C589" s="7" t="s">
        <v>4923</v>
      </c>
      <c r="D589" s="7" t="s">
        <v>16</v>
      </c>
      <c r="E589" s="7" t="s">
        <v>3812</v>
      </c>
      <c r="F589" s="7" t="s">
        <v>16</v>
      </c>
    </row>
    <row r="590" ht="22.5" customHeight="1">
      <c r="A590" s="7" t="s">
        <v>3837</v>
      </c>
      <c r="B590" s="8" t="s">
        <v>4924</v>
      </c>
      <c r="C590" s="7" t="s">
        <v>4925</v>
      </c>
      <c r="D590" s="7" t="s">
        <v>16</v>
      </c>
      <c r="E590" s="7" t="s">
        <v>3799</v>
      </c>
      <c r="F590" s="7" t="s">
        <v>16</v>
      </c>
    </row>
    <row r="591" ht="22.5" customHeight="1">
      <c r="A591" s="7" t="s">
        <v>3837</v>
      </c>
      <c r="B591" s="8" t="s">
        <v>4926</v>
      </c>
      <c r="C591" s="7" t="s">
        <v>4927</v>
      </c>
      <c r="D591" s="7" t="s">
        <v>16</v>
      </c>
      <c r="E591" s="7" t="s">
        <v>3803</v>
      </c>
      <c r="F591" s="7" t="s">
        <v>3850</v>
      </c>
    </row>
    <row r="592" ht="22.5" customHeight="1">
      <c r="A592" s="7" t="s">
        <v>3800</v>
      </c>
      <c r="B592" s="8" t="s">
        <v>4928</v>
      </c>
      <c r="C592" s="7" t="s">
        <v>4929</v>
      </c>
      <c r="D592" s="7" t="s">
        <v>16</v>
      </c>
      <c r="E592" s="7" t="s">
        <v>3806</v>
      </c>
      <c r="F592" s="7" t="s">
        <v>16</v>
      </c>
    </row>
    <row r="593" ht="22.5" customHeight="1">
      <c r="A593" s="7" t="s">
        <v>3807</v>
      </c>
      <c r="B593" s="8" t="s">
        <v>4930</v>
      </c>
      <c r="C593" s="7" t="s">
        <v>4931</v>
      </c>
      <c r="D593" s="7" t="s">
        <v>16</v>
      </c>
      <c r="E593" s="7" t="s">
        <v>3806</v>
      </c>
      <c r="F593" s="7" t="s">
        <v>16</v>
      </c>
    </row>
    <row r="594" ht="22.5" customHeight="1">
      <c r="A594" s="7" t="s">
        <v>3837</v>
      </c>
      <c r="B594" s="8" t="s">
        <v>4932</v>
      </c>
      <c r="C594" s="7" t="s">
        <v>4933</v>
      </c>
      <c r="D594" s="7" t="s">
        <v>16</v>
      </c>
      <c r="E594" s="7" t="s">
        <v>3812</v>
      </c>
      <c r="F594" s="7" t="s">
        <v>16</v>
      </c>
    </row>
    <row r="595" ht="22.5" customHeight="1">
      <c r="A595" s="7" t="s">
        <v>3837</v>
      </c>
      <c r="B595" s="8" t="s">
        <v>4934</v>
      </c>
      <c r="C595" s="7" t="s">
        <v>4935</v>
      </c>
      <c r="D595" s="7" t="s">
        <v>4936</v>
      </c>
      <c r="E595" s="7" t="s">
        <v>3799</v>
      </c>
      <c r="F595" s="7" t="s">
        <v>16</v>
      </c>
    </row>
    <row r="596" ht="22.5" customHeight="1">
      <c r="A596" s="7" t="s">
        <v>3800</v>
      </c>
      <c r="B596" s="8" t="s">
        <v>4937</v>
      </c>
      <c r="C596" s="7" t="s">
        <v>4938</v>
      </c>
      <c r="D596" s="7" t="s">
        <v>16</v>
      </c>
      <c r="E596" s="7" t="s">
        <v>3806</v>
      </c>
      <c r="F596" s="7" t="s">
        <v>16</v>
      </c>
    </row>
    <row r="597" ht="22.5" customHeight="1">
      <c r="A597" s="7" t="s">
        <v>3827</v>
      </c>
      <c r="B597" s="8" t="s">
        <v>4939</v>
      </c>
      <c r="C597" s="7" t="s">
        <v>4940</v>
      </c>
      <c r="D597" s="7" t="s">
        <v>16</v>
      </c>
      <c r="E597" s="7" t="s">
        <v>3803</v>
      </c>
      <c r="F597" s="7" t="s">
        <v>3816</v>
      </c>
    </row>
    <row r="598" ht="22.5" customHeight="1">
      <c r="A598" s="7" t="s">
        <v>3807</v>
      </c>
      <c r="B598" s="8" t="s">
        <v>4941</v>
      </c>
      <c r="C598" s="7" t="s">
        <v>4942</v>
      </c>
      <c r="D598" s="7" t="s">
        <v>4897</v>
      </c>
      <c r="E598" s="7" t="s">
        <v>3806</v>
      </c>
      <c r="F598" s="7" t="s">
        <v>3884</v>
      </c>
    </row>
    <row r="599" ht="22.5" customHeight="1">
      <c r="A599" s="7" t="s">
        <v>3807</v>
      </c>
      <c r="B599" s="8" t="s">
        <v>4941</v>
      </c>
      <c r="C599" s="7" t="s">
        <v>4943</v>
      </c>
      <c r="D599" s="7" t="s">
        <v>4936</v>
      </c>
      <c r="E599" s="7" t="s">
        <v>3799</v>
      </c>
      <c r="F599" s="7" t="s">
        <v>16</v>
      </c>
    </row>
    <row r="600" ht="22.5" customHeight="1">
      <c r="A600" s="7" t="s">
        <v>3807</v>
      </c>
      <c r="B600" s="8" t="s">
        <v>4944</v>
      </c>
      <c r="C600" s="7" t="s">
        <v>4945</v>
      </c>
      <c r="D600" s="7" t="s">
        <v>16</v>
      </c>
      <c r="E600" s="7" t="s">
        <v>3806</v>
      </c>
      <c r="F600" s="7" t="s">
        <v>16</v>
      </c>
    </row>
    <row r="601" ht="22.5" customHeight="1">
      <c r="A601" s="7" t="s">
        <v>3837</v>
      </c>
      <c r="B601" s="8" t="s">
        <v>4946</v>
      </c>
      <c r="C601" s="7" t="s">
        <v>4947</v>
      </c>
      <c r="D601" s="7" t="s">
        <v>16</v>
      </c>
      <c r="E601" s="7" t="s">
        <v>3806</v>
      </c>
      <c r="F601" s="7" t="s">
        <v>3884</v>
      </c>
    </row>
    <row r="602" ht="22.5" customHeight="1">
      <c r="A602" s="7" t="s">
        <v>3807</v>
      </c>
      <c r="B602" s="8" t="s">
        <v>4948</v>
      </c>
      <c r="C602" s="7" t="s">
        <v>4949</v>
      </c>
      <c r="D602" s="7" t="s">
        <v>16</v>
      </c>
      <c r="E602" s="7" t="s">
        <v>3806</v>
      </c>
      <c r="F602" s="7" t="s">
        <v>16</v>
      </c>
    </row>
    <row r="603" ht="22.5" customHeight="1">
      <c r="A603" s="7" t="s">
        <v>3827</v>
      </c>
      <c r="B603" s="8" t="s">
        <v>4950</v>
      </c>
      <c r="C603" s="7" t="s">
        <v>4951</v>
      </c>
      <c r="D603" s="7" t="s">
        <v>16</v>
      </c>
      <c r="E603" s="7" t="s">
        <v>3799</v>
      </c>
      <c r="F603" s="7" t="s">
        <v>16</v>
      </c>
    </row>
    <row r="604" ht="22.5" customHeight="1">
      <c r="A604" s="7" t="s">
        <v>3837</v>
      </c>
      <c r="B604" s="8" t="s">
        <v>4952</v>
      </c>
      <c r="C604" s="7" t="s">
        <v>4953</v>
      </c>
      <c r="D604" s="7" t="s">
        <v>16</v>
      </c>
      <c r="E604" s="7" t="s">
        <v>3799</v>
      </c>
      <c r="F604" s="7" t="s">
        <v>16</v>
      </c>
    </row>
    <row r="605" ht="22.5" customHeight="1">
      <c r="A605" s="7" t="s">
        <v>3807</v>
      </c>
      <c r="B605" s="8" t="s">
        <v>4954</v>
      </c>
      <c r="C605" s="7" t="s">
        <v>4955</v>
      </c>
      <c r="D605" s="7" t="s">
        <v>16</v>
      </c>
      <c r="E605" s="7" t="s">
        <v>3799</v>
      </c>
      <c r="F605" s="7" t="s">
        <v>3879</v>
      </c>
    </row>
    <row r="606" ht="22.5" customHeight="1">
      <c r="A606" s="7" t="s">
        <v>3827</v>
      </c>
      <c r="B606" s="8" t="s">
        <v>4956</v>
      </c>
      <c r="C606" s="7" t="s">
        <v>4957</v>
      </c>
      <c r="D606" s="7" t="s">
        <v>26</v>
      </c>
      <c r="E606" s="7" t="s">
        <v>16</v>
      </c>
      <c r="F606" s="7" t="s">
        <v>16</v>
      </c>
    </row>
    <row r="607" ht="22.5" customHeight="1">
      <c r="A607" s="7" t="s">
        <v>2725</v>
      </c>
      <c r="B607" s="8" t="s">
        <v>4958</v>
      </c>
      <c r="C607" s="7" t="s">
        <v>4959</v>
      </c>
      <c r="D607" s="7" t="s">
        <v>26</v>
      </c>
      <c r="E607" s="7" t="s">
        <v>16</v>
      </c>
      <c r="F607" s="7" t="s">
        <v>16</v>
      </c>
    </row>
    <row r="608" ht="22.5" customHeight="1">
      <c r="A608" s="7" t="s">
        <v>3800</v>
      </c>
      <c r="B608" s="8" t="s">
        <v>4960</v>
      </c>
      <c r="C608" s="7" t="s">
        <v>4961</v>
      </c>
      <c r="D608" s="7" t="s">
        <v>26</v>
      </c>
      <c r="E608" s="7" t="s">
        <v>16</v>
      </c>
      <c r="F608" s="7" t="s">
        <v>16</v>
      </c>
    </row>
    <row r="609" ht="22.5" customHeight="1">
      <c r="A609" s="7" t="s">
        <v>3827</v>
      </c>
      <c r="B609" s="8" t="s">
        <v>4962</v>
      </c>
      <c r="C609" s="7" t="s">
        <v>4963</v>
      </c>
      <c r="D609" s="7" t="s">
        <v>26</v>
      </c>
      <c r="E609" s="7" t="s">
        <v>16</v>
      </c>
      <c r="F609" s="7" t="s">
        <v>16</v>
      </c>
    </row>
    <row r="610" ht="22.5" customHeight="1">
      <c r="A610" s="7" t="s">
        <v>3800</v>
      </c>
      <c r="B610" s="8" t="s">
        <v>4964</v>
      </c>
      <c r="C610" s="7" t="s">
        <v>4965</v>
      </c>
      <c r="D610" s="7" t="s">
        <v>16</v>
      </c>
      <c r="E610" s="7" t="s">
        <v>3803</v>
      </c>
      <c r="F610" s="7" t="s">
        <v>16</v>
      </c>
    </row>
    <row r="611" ht="22.5" customHeight="1">
      <c r="A611" s="7" t="s">
        <v>3800</v>
      </c>
      <c r="B611" s="8" t="s">
        <v>4966</v>
      </c>
      <c r="C611" s="7" t="s">
        <v>4967</v>
      </c>
      <c r="D611" s="7" t="s">
        <v>26</v>
      </c>
      <c r="E611" s="7" t="s">
        <v>16</v>
      </c>
      <c r="F611" s="7" t="s">
        <v>16</v>
      </c>
    </row>
    <row r="612" ht="22.5" customHeight="1">
      <c r="A612" s="7" t="s">
        <v>3827</v>
      </c>
      <c r="B612" s="8" t="s">
        <v>4968</v>
      </c>
      <c r="C612" s="7" t="s">
        <v>4969</v>
      </c>
      <c r="D612" s="7" t="s">
        <v>26</v>
      </c>
      <c r="E612" s="7" t="s">
        <v>16</v>
      </c>
      <c r="F612" s="7" t="s">
        <v>16</v>
      </c>
    </row>
    <row r="613" ht="22.5" customHeight="1">
      <c r="A613" s="7" t="s">
        <v>3800</v>
      </c>
      <c r="B613" s="8" t="s">
        <v>4970</v>
      </c>
      <c r="C613" s="7" t="s">
        <v>4971</v>
      </c>
      <c r="D613" s="7" t="s">
        <v>26</v>
      </c>
      <c r="E613" s="7" t="s">
        <v>16</v>
      </c>
      <c r="F613" s="7" t="s">
        <v>16</v>
      </c>
    </row>
    <row r="614" ht="22.5" customHeight="1">
      <c r="A614" s="7" t="s">
        <v>3827</v>
      </c>
      <c r="B614" s="8" t="s">
        <v>4972</v>
      </c>
      <c r="C614" s="7" t="s">
        <v>4973</v>
      </c>
      <c r="D614" s="7" t="s">
        <v>26</v>
      </c>
      <c r="E614" s="7" t="s">
        <v>16</v>
      </c>
      <c r="F614" s="7" t="s">
        <v>16</v>
      </c>
    </row>
    <row r="615" ht="22.5" customHeight="1">
      <c r="A615" s="7" t="s">
        <v>3800</v>
      </c>
      <c r="B615" s="8" t="s">
        <v>4974</v>
      </c>
      <c r="C615" s="7" t="s">
        <v>4975</v>
      </c>
      <c r="D615" s="7" t="s">
        <v>26</v>
      </c>
      <c r="E615" s="7" t="s">
        <v>16</v>
      </c>
      <c r="F615" s="7" t="s">
        <v>16</v>
      </c>
    </row>
    <row r="616" ht="22.5" customHeight="1">
      <c r="A616" s="7" t="s">
        <v>3800</v>
      </c>
      <c r="B616" s="8" t="s">
        <v>4976</v>
      </c>
      <c r="C616" s="7" t="s">
        <v>4977</v>
      </c>
      <c r="D616" s="7" t="s">
        <v>26</v>
      </c>
      <c r="E616" s="7" t="s">
        <v>16</v>
      </c>
      <c r="F616" s="7" t="s">
        <v>16</v>
      </c>
    </row>
    <row r="617" ht="22.5" customHeight="1">
      <c r="A617" s="7" t="s">
        <v>3800</v>
      </c>
      <c r="B617" s="8" t="s">
        <v>4978</v>
      </c>
      <c r="C617" s="7" t="s">
        <v>4979</v>
      </c>
      <c r="D617" s="7" t="s">
        <v>26</v>
      </c>
      <c r="E617" s="7" t="s">
        <v>16</v>
      </c>
      <c r="F617" s="7" t="s">
        <v>16</v>
      </c>
    </row>
    <row r="618" ht="22.5" customHeight="1">
      <c r="A618" s="7" t="s">
        <v>3800</v>
      </c>
      <c r="B618" s="8" t="s">
        <v>4980</v>
      </c>
      <c r="C618" s="7" t="s">
        <v>4981</v>
      </c>
      <c r="D618" s="7" t="s">
        <v>26</v>
      </c>
      <c r="E618" s="7" t="s">
        <v>16</v>
      </c>
      <c r="F618" s="7" t="s">
        <v>16</v>
      </c>
    </row>
    <row r="619" ht="22.5" customHeight="1">
      <c r="A619" s="7" t="s">
        <v>2725</v>
      </c>
      <c r="B619" s="8" t="s">
        <v>4982</v>
      </c>
      <c r="C619" s="7" t="s">
        <v>4983</v>
      </c>
      <c r="D619" s="7" t="s">
        <v>26</v>
      </c>
      <c r="E619" s="7" t="s">
        <v>16</v>
      </c>
      <c r="F619" s="7" t="s">
        <v>16</v>
      </c>
    </row>
    <row r="620" ht="22.5" customHeight="1">
      <c r="A620" s="7" t="s">
        <v>3800</v>
      </c>
      <c r="B620" s="8" t="s">
        <v>4984</v>
      </c>
      <c r="C620" s="7" t="s">
        <v>4985</v>
      </c>
      <c r="D620" s="7" t="s">
        <v>26</v>
      </c>
      <c r="E620" s="7" t="s">
        <v>16</v>
      </c>
      <c r="F620" s="7" t="s">
        <v>16</v>
      </c>
    </row>
    <row r="621" ht="22.5" customHeight="1">
      <c r="A621" s="7" t="s">
        <v>2725</v>
      </c>
      <c r="B621" s="8" t="s">
        <v>4986</v>
      </c>
      <c r="C621" s="7" t="s">
        <v>4987</v>
      </c>
      <c r="D621" s="7" t="s">
        <v>16</v>
      </c>
      <c r="E621" s="7" t="s">
        <v>3799</v>
      </c>
      <c r="F621" s="7" t="s">
        <v>16</v>
      </c>
    </row>
    <row r="622" ht="22.5" customHeight="1">
      <c r="A622" s="7" t="s">
        <v>3800</v>
      </c>
      <c r="B622" s="8" t="s">
        <v>4988</v>
      </c>
      <c r="C622" s="7" t="s">
        <v>4989</v>
      </c>
      <c r="D622" s="7" t="s">
        <v>26</v>
      </c>
      <c r="E622" s="7" t="s">
        <v>16</v>
      </c>
      <c r="F622" s="7" t="s">
        <v>16</v>
      </c>
    </row>
    <row r="623" ht="22.5" customHeight="1">
      <c r="A623" s="7" t="s">
        <v>3827</v>
      </c>
      <c r="B623" s="8" t="s">
        <v>4990</v>
      </c>
      <c r="C623" s="7" t="s">
        <v>4991</v>
      </c>
      <c r="D623" s="7" t="s">
        <v>16</v>
      </c>
      <c r="E623" s="7" t="s">
        <v>3799</v>
      </c>
      <c r="F623" s="7" t="s">
        <v>3879</v>
      </c>
    </row>
    <row r="624" ht="22.5" customHeight="1">
      <c r="A624" s="7" t="s">
        <v>3800</v>
      </c>
      <c r="B624" s="8" t="s">
        <v>4992</v>
      </c>
      <c r="C624" s="7" t="s">
        <v>4993</v>
      </c>
      <c r="D624" s="7" t="s">
        <v>16</v>
      </c>
      <c r="E624" s="7" t="s">
        <v>3799</v>
      </c>
      <c r="F624" s="7" t="s">
        <v>16</v>
      </c>
    </row>
    <row r="625" ht="22.5" customHeight="1">
      <c r="A625" s="7" t="s">
        <v>2725</v>
      </c>
      <c r="B625" s="8" t="s">
        <v>4994</v>
      </c>
      <c r="C625" s="7" t="s">
        <v>4995</v>
      </c>
      <c r="D625" s="7" t="s">
        <v>16</v>
      </c>
      <c r="E625" s="7" t="s">
        <v>3803</v>
      </c>
      <c r="F625" s="7" t="s">
        <v>16</v>
      </c>
    </row>
    <row r="626" ht="22.5" customHeight="1">
      <c r="A626" s="7" t="s">
        <v>3807</v>
      </c>
      <c r="B626" s="8" t="s">
        <v>4996</v>
      </c>
      <c r="C626" s="7" t="s">
        <v>4997</v>
      </c>
      <c r="D626" s="7" t="s">
        <v>16</v>
      </c>
      <c r="E626" s="7" t="s">
        <v>3799</v>
      </c>
      <c r="F626" s="7" t="s">
        <v>16</v>
      </c>
    </row>
    <row r="627" ht="22.5" customHeight="1">
      <c r="A627" s="7" t="s">
        <v>3800</v>
      </c>
      <c r="B627" s="8" t="s">
        <v>4998</v>
      </c>
      <c r="C627" s="7" t="s">
        <v>4999</v>
      </c>
      <c r="D627" s="7" t="s">
        <v>16</v>
      </c>
      <c r="E627" s="7" t="s">
        <v>3806</v>
      </c>
      <c r="F627" s="7" t="s">
        <v>16</v>
      </c>
    </row>
    <row r="628" ht="22.5" customHeight="1">
      <c r="A628" s="7" t="s">
        <v>2725</v>
      </c>
      <c r="B628" s="8" t="s">
        <v>5000</v>
      </c>
      <c r="C628" s="7" t="s">
        <v>5001</v>
      </c>
      <c r="D628" s="7" t="s">
        <v>16</v>
      </c>
      <c r="E628" s="7" t="s">
        <v>3799</v>
      </c>
      <c r="F628" s="7" t="s">
        <v>16</v>
      </c>
    </row>
    <row r="629" ht="22.5" customHeight="1">
      <c r="A629" s="7" t="s">
        <v>2725</v>
      </c>
      <c r="B629" s="8" t="s">
        <v>5002</v>
      </c>
      <c r="C629" s="7" t="s">
        <v>5003</v>
      </c>
      <c r="D629" s="7" t="s">
        <v>26</v>
      </c>
      <c r="E629" s="7" t="s">
        <v>16</v>
      </c>
      <c r="F629" s="7" t="s">
        <v>16</v>
      </c>
    </row>
    <row r="630" ht="22.5" customHeight="1">
      <c r="A630" s="7" t="s">
        <v>3800</v>
      </c>
      <c r="B630" s="8" t="s">
        <v>5004</v>
      </c>
      <c r="C630" s="7" t="s">
        <v>5005</v>
      </c>
      <c r="D630" s="7" t="s">
        <v>26</v>
      </c>
      <c r="E630" s="7" t="s">
        <v>16</v>
      </c>
      <c r="F630" s="7" t="s">
        <v>16</v>
      </c>
    </row>
    <row r="631" ht="22.5" customHeight="1">
      <c r="A631" s="7" t="s">
        <v>3800</v>
      </c>
      <c r="B631" s="8" t="s">
        <v>5006</v>
      </c>
      <c r="C631" s="7" t="s">
        <v>5007</v>
      </c>
      <c r="D631" s="7" t="s">
        <v>16</v>
      </c>
      <c r="E631" s="7" t="s">
        <v>3799</v>
      </c>
      <c r="F631" s="7" t="s">
        <v>16</v>
      </c>
    </row>
    <row r="632" ht="22.5" customHeight="1">
      <c r="A632" s="7" t="s">
        <v>3837</v>
      </c>
      <c r="B632" s="8" t="s">
        <v>5008</v>
      </c>
      <c r="C632" s="7" t="s">
        <v>5009</v>
      </c>
      <c r="D632" s="7" t="s">
        <v>16</v>
      </c>
      <c r="E632" s="7" t="s">
        <v>3806</v>
      </c>
      <c r="F632" s="7" t="s">
        <v>16</v>
      </c>
    </row>
    <row r="633" ht="22.5" customHeight="1">
      <c r="A633" s="7" t="s">
        <v>3827</v>
      </c>
      <c r="B633" s="8" t="s">
        <v>5010</v>
      </c>
      <c r="C633" s="7" t="s">
        <v>5011</v>
      </c>
      <c r="D633" s="7" t="s">
        <v>26</v>
      </c>
      <c r="E633" s="7" t="s">
        <v>16</v>
      </c>
      <c r="F633" s="7" t="s">
        <v>16</v>
      </c>
    </row>
    <row r="634" ht="22.5" customHeight="1">
      <c r="A634" s="7" t="s">
        <v>2725</v>
      </c>
      <c r="B634" s="8" t="s">
        <v>5012</v>
      </c>
      <c r="C634" s="7" t="s">
        <v>5013</v>
      </c>
      <c r="D634" s="7" t="s">
        <v>16</v>
      </c>
      <c r="E634" s="7" t="s">
        <v>3806</v>
      </c>
      <c r="F634" s="7" t="s">
        <v>16</v>
      </c>
    </row>
    <row r="635" ht="22.5" customHeight="1">
      <c r="A635" s="7" t="s">
        <v>2725</v>
      </c>
      <c r="B635" s="8" t="s">
        <v>5014</v>
      </c>
      <c r="C635" s="7" t="s">
        <v>5015</v>
      </c>
      <c r="D635" s="7" t="s">
        <v>16</v>
      </c>
      <c r="E635" s="7" t="s">
        <v>3803</v>
      </c>
      <c r="F635" s="7" t="s">
        <v>4671</v>
      </c>
    </row>
    <row r="636" ht="22.5" customHeight="1">
      <c r="A636" s="7" t="s">
        <v>3807</v>
      </c>
      <c r="B636" s="8" t="s">
        <v>5016</v>
      </c>
      <c r="C636" s="7" t="s">
        <v>5017</v>
      </c>
      <c r="D636" s="7" t="s">
        <v>16</v>
      </c>
      <c r="E636" s="7" t="s">
        <v>3806</v>
      </c>
      <c r="F636" s="7" t="s">
        <v>16</v>
      </c>
    </row>
    <row r="637" ht="22.5" customHeight="1">
      <c r="A637" s="7" t="s">
        <v>3800</v>
      </c>
      <c r="B637" s="8" t="s">
        <v>5018</v>
      </c>
      <c r="C637" s="7" t="s">
        <v>5019</v>
      </c>
      <c r="D637" s="7" t="s">
        <v>26</v>
      </c>
      <c r="E637" s="7" t="s">
        <v>16</v>
      </c>
      <c r="F637" s="7" t="s">
        <v>16</v>
      </c>
    </row>
    <row r="638" ht="22.5" customHeight="1">
      <c r="A638" s="7" t="s">
        <v>2725</v>
      </c>
      <c r="B638" s="8" t="s">
        <v>5020</v>
      </c>
      <c r="C638" s="7" t="s">
        <v>5021</v>
      </c>
      <c r="D638" s="7" t="s">
        <v>16</v>
      </c>
      <c r="E638" s="7" t="s">
        <v>3806</v>
      </c>
      <c r="F638" s="7" t="s">
        <v>16</v>
      </c>
    </row>
    <row r="639" ht="22.5" customHeight="1">
      <c r="A639" s="7" t="s">
        <v>3807</v>
      </c>
      <c r="B639" s="8" t="s">
        <v>5022</v>
      </c>
      <c r="C639" s="7" t="s">
        <v>5023</v>
      </c>
      <c r="D639" s="7" t="s">
        <v>16</v>
      </c>
      <c r="E639" s="7" t="s">
        <v>3799</v>
      </c>
      <c r="F639" s="7" t="s">
        <v>5024</v>
      </c>
    </row>
    <row r="640" ht="22.5" customHeight="1">
      <c r="A640" s="7" t="s">
        <v>3800</v>
      </c>
      <c r="B640" s="8" t="s">
        <v>5025</v>
      </c>
      <c r="C640" s="7" t="s">
        <v>5026</v>
      </c>
      <c r="D640" s="7" t="s">
        <v>26</v>
      </c>
      <c r="E640" s="7" t="s">
        <v>16</v>
      </c>
      <c r="F640" s="7" t="s">
        <v>16</v>
      </c>
    </row>
    <row r="641" ht="22.5" customHeight="1">
      <c r="A641" s="7" t="s">
        <v>3800</v>
      </c>
      <c r="B641" s="8" t="s">
        <v>5027</v>
      </c>
      <c r="C641" s="7" t="s">
        <v>5028</v>
      </c>
      <c r="D641" s="7" t="s">
        <v>151</v>
      </c>
      <c r="E641" s="7" t="s">
        <v>3803</v>
      </c>
      <c r="F641" s="7" t="s">
        <v>3816</v>
      </c>
    </row>
    <row r="642" ht="22.5" customHeight="1">
      <c r="A642" s="7" t="s">
        <v>3837</v>
      </c>
      <c r="B642" s="8" t="s">
        <v>5029</v>
      </c>
      <c r="C642" s="7" t="s">
        <v>5030</v>
      </c>
      <c r="D642" s="7" t="s">
        <v>16</v>
      </c>
      <c r="E642" s="7" t="s">
        <v>3799</v>
      </c>
      <c r="F642" s="7" t="s">
        <v>16</v>
      </c>
    </row>
    <row r="643" ht="22.5" customHeight="1">
      <c r="A643" s="7" t="s">
        <v>3837</v>
      </c>
      <c r="B643" s="8" t="s">
        <v>5029</v>
      </c>
      <c r="C643" s="7" t="s">
        <v>5031</v>
      </c>
      <c r="D643" s="7" t="s">
        <v>26</v>
      </c>
      <c r="E643" s="7" t="s">
        <v>16</v>
      </c>
      <c r="F643" s="7" t="s">
        <v>16</v>
      </c>
    </row>
    <row r="644" ht="22.5" customHeight="1">
      <c r="A644" s="7" t="s">
        <v>3837</v>
      </c>
      <c r="B644" s="8" t="s">
        <v>5029</v>
      </c>
      <c r="C644" s="7" t="s">
        <v>5032</v>
      </c>
      <c r="D644" s="7" t="s">
        <v>26</v>
      </c>
      <c r="E644" s="7" t="s">
        <v>16</v>
      </c>
      <c r="F644" s="7" t="s">
        <v>16</v>
      </c>
    </row>
    <row r="645" ht="22.5" customHeight="1">
      <c r="A645" s="7" t="s">
        <v>2725</v>
      </c>
      <c r="B645" s="8" t="s">
        <v>5033</v>
      </c>
      <c r="C645" s="7" t="s">
        <v>5034</v>
      </c>
      <c r="D645" s="7" t="s">
        <v>26</v>
      </c>
      <c r="E645" s="7" t="s">
        <v>16</v>
      </c>
      <c r="F645" s="7" t="s">
        <v>16</v>
      </c>
    </row>
    <row r="646" ht="22.5" customHeight="1">
      <c r="A646" s="7" t="s">
        <v>3807</v>
      </c>
      <c r="B646" s="8" t="s">
        <v>5035</v>
      </c>
      <c r="C646" s="7" t="s">
        <v>5036</v>
      </c>
      <c r="D646" s="7" t="s">
        <v>16</v>
      </c>
      <c r="E646" s="7" t="s">
        <v>3806</v>
      </c>
      <c r="F646" s="7" t="s">
        <v>4671</v>
      </c>
    </row>
    <row r="647" ht="22.5" customHeight="1">
      <c r="A647" s="7" t="s">
        <v>2327</v>
      </c>
      <c r="B647" s="8" t="s">
        <v>5037</v>
      </c>
      <c r="C647" s="7" t="s">
        <v>5038</v>
      </c>
      <c r="D647" s="7" t="s">
        <v>26</v>
      </c>
      <c r="E647" s="7" t="s">
        <v>16</v>
      </c>
      <c r="F647" s="7" t="s">
        <v>16</v>
      </c>
    </row>
    <row r="648" ht="22.5" customHeight="1">
      <c r="A648" s="7" t="s">
        <v>2327</v>
      </c>
      <c r="B648" s="8" t="s">
        <v>5037</v>
      </c>
      <c r="C648" s="7" t="s">
        <v>5039</v>
      </c>
      <c r="D648" s="7" t="s">
        <v>26</v>
      </c>
      <c r="E648" s="7" t="s">
        <v>16</v>
      </c>
      <c r="F648" s="7" t="s">
        <v>16</v>
      </c>
    </row>
    <row r="649" ht="22.5" customHeight="1">
      <c r="A649" s="7" t="s">
        <v>3827</v>
      </c>
      <c r="B649" s="8" t="s">
        <v>5040</v>
      </c>
      <c r="C649" s="7" t="s">
        <v>5041</v>
      </c>
      <c r="D649" s="7" t="s">
        <v>26</v>
      </c>
      <c r="E649" s="7" t="s">
        <v>16</v>
      </c>
      <c r="F649" s="7" t="s">
        <v>16</v>
      </c>
    </row>
    <row r="650" ht="22.5" customHeight="1">
      <c r="A650" s="7" t="s">
        <v>3800</v>
      </c>
      <c r="B650" s="8" t="s">
        <v>5042</v>
      </c>
      <c r="C650" s="7" t="s">
        <v>5043</v>
      </c>
      <c r="D650" s="7" t="s">
        <v>151</v>
      </c>
      <c r="E650" s="7" t="s">
        <v>3812</v>
      </c>
      <c r="F650" s="7" t="s">
        <v>16</v>
      </c>
    </row>
    <row r="651" ht="22.5" customHeight="1">
      <c r="A651" s="7" t="s">
        <v>3800</v>
      </c>
      <c r="B651" s="8" t="s">
        <v>5044</v>
      </c>
      <c r="C651" s="7" t="s">
        <v>5045</v>
      </c>
      <c r="D651" s="7" t="s">
        <v>26</v>
      </c>
      <c r="E651" s="7" t="s">
        <v>16</v>
      </c>
      <c r="F651" s="7" t="s">
        <v>16</v>
      </c>
    </row>
    <row r="652" ht="22.5" customHeight="1">
      <c r="A652" s="7" t="s">
        <v>3807</v>
      </c>
      <c r="B652" s="8" t="s">
        <v>5046</v>
      </c>
      <c r="C652" s="7" t="s">
        <v>5047</v>
      </c>
      <c r="D652" s="7" t="s">
        <v>26</v>
      </c>
      <c r="E652" s="7" t="s">
        <v>16</v>
      </c>
      <c r="F652" s="7" t="s">
        <v>16</v>
      </c>
    </row>
    <row r="653" ht="22.5" customHeight="1">
      <c r="A653" s="7" t="s">
        <v>3807</v>
      </c>
      <c r="B653" s="8" t="s">
        <v>5046</v>
      </c>
      <c r="C653" s="7" t="s">
        <v>5048</v>
      </c>
      <c r="D653" s="7" t="s">
        <v>5049</v>
      </c>
      <c r="E653" s="7" t="s">
        <v>3806</v>
      </c>
      <c r="F653" s="7" t="s">
        <v>16</v>
      </c>
    </row>
    <row r="654" ht="22.5" customHeight="1">
      <c r="A654" s="7" t="s">
        <v>3807</v>
      </c>
      <c r="B654" s="8" t="s">
        <v>5046</v>
      </c>
      <c r="C654" s="7" t="s">
        <v>5050</v>
      </c>
      <c r="D654" s="7" t="s">
        <v>5049</v>
      </c>
      <c r="E654" s="7" t="s">
        <v>3806</v>
      </c>
      <c r="F654" s="7" t="s">
        <v>16</v>
      </c>
    </row>
    <row r="655" ht="22.5" customHeight="1">
      <c r="A655" s="7" t="s">
        <v>3807</v>
      </c>
      <c r="B655" s="8" t="s">
        <v>5046</v>
      </c>
      <c r="C655" s="7" t="s">
        <v>5051</v>
      </c>
      <c r="D655" s="7" t="s">
        <v>5049</v>
      </c>
      <c r="E655" s="7" t="s">
        <v>3806</v>
      </c>
      <c r="F655" s="7" t="s">
        <v>16</v>
      </c>
    </row>
    <row r="656" ht="22.5" customHeight="1">
      <c r="A656" s="7" t="s">
        <v>3800</v>
      </c>
      <c r="B656" s="8" t="s">
        <v>5052</v>
      </c>
      <c r="C656" s="7" t="s">
        <v>5053</v>
      </c>
      <c r="D656" s="7" t="s">
        <v>16</v>
      </c>
      <c r="E656" s="7" t="s">
        <v>3803</v>
      </c>
      <c r="F656" s="7" t="s">
        <v>3850</v>
      </c>
    </row>
    <row r="657" ht="22.5" customHeight="1">
      <c r="A657" s="7" t="s">
        <v>2725</v>
      </c>
      <c r="B657" s="8" t="s">
        <v>5054</v>
      </c>
      <c r="C657" s="7" t="s">
        <v>5055</v>
      </c>
      <c r="D657" s="7" t="s">
        <v>16</v>
      </c>
      <c r="E657" s="7" t="s">
        <v>3799</v>
      </c>
      <c r="F657" s="7" t="s">
        <v>16</v>
      </c>
    </row>
    <row r="658" ht="22.5" customHeight="1">
      <c r="A658" s="7" t="s">
        <v>2725</v>
      </c>
      <c r="B658" s="8" t="s">
        <v>5054</v>
      </c>
      <c r="C658" s="7" t="s">
        <v>5056</v>
      </c>
      <c r="D658" s="7" t="s">
        <v>26</v>
      </c>
      <c r="E658" s="7" t="s">
        <v>16</v>
      </c>
      <c r="F658" s="7" t="s">
        <v>16</v>
      </c>
    </row>
    <row r="659" ht="22.5" customHeight="1">
      <c r="A659" s="7" t="s">
        <v>3807</v>
      </c>
      <c r="B659" s="8" t="s">
        <v>5057</v>
      </c>
      <c r="C659" s="7" t="s">
        <v>5058</v>
      </c>
      <c r="D659" s="7" t="s">
        <v>16</v>
      </c>
      <c r="E659" s="7" t="s">
        <v>3799</v>
      </c>
      <c r="F659" s="7" t="s">
        <v>16</v>
      </c>
    </row>
    <row r="660" ht="22.5" customHeight="1">
      <c r="A660" s="7" t="s">
        <v>2725</v>
      </c>
      <c r="B660" s="8" t="s">
        <v>5059</v>
      </c>
      <c r="C660" s="7" t="s">
        <v>5060</v>
      </c>
      <c r="D660" s="7" t="s">
        <v>16</v>
      </c>
      <c r="E660" s="7" t="s">
        <v>3799</v>
      </c>
      <c r="F660" s="7" t="s">
        <v>16</v>
      </c>
    </row>
    <row r="661" ht="22.5" customHeight="1">
      <c r="A661" s="7" t="s">
        <v>3837</v>
      </c>
      <c r="B661" s="8" t="s">
        <v>5061</v>
      </c>
      <c r="C661" s="7" t="s">
        <v>5062</v>
      </c>
      <c r="D661" s="7" t="s">
        <v>16</v>
      </c>
      <c r="E661" s="7" t="s">
        <v>3799</v>
      </c>
      <c r="F661" s="7" t="s">
        <v>16</v>
      </c>
    </row>
    <row r="662" ht="22.5" customHeight="1">
      <c r="A662" s="7" t="s">
        <v>3800</v>
      </c>
      <c r="B662" s="8" t="s">
        <v>5063</v>
      </c>
      <c r="C662" s="7" t="s">
        <v>5064</v>
      </c>
      <c r="D662" s="7" t="s">
        <v>26</v>
      </c>
      <c r="E662" s="7" t="s">
        <v>16</v>
      </c>
      <c r="F662" s="7" t="s">
        <v>16</v>
      </c>
    </row>
    <row r="663" ht="22.5" customHeight="1">
      <c r="A663" s="7" t="s">
        <v>3807</v>
      </c>
      <c r="B663" s="8" t="s">
        <v>5065</v>
      </c>
      <c r="C663" s="7" t="s">
        <v>5066</v>
      </c>
      <c r="D663" s="7" t="s">
        <v>16</v>
      </c>
      <c r="E663" s="7" t="s">
        <v>3799</v>
      </c>
      <c r="F663" s="7" t="s">
        <v>16</v>
      </c>
    </row>
    <row r="664" ht="22.5" customHeight="1">
      <c r="A664" s="7" t="s">
        <v>3837</v>
      </c>
      <c r="B664" s="8" t="s">
        <v>5067</v>
      </c>
      <c r="C664" s="7" t="s">
        <v>5068</v>
      </c>
      <c r="D664" s="7" t="s">
        <v>16</v>
      </c>
      <c r="E664" s="7" t="s">
        <v>3799</v>
      </c>
      <c r="F664" s="7" t="s">
        <v>16</v>
      </c>
    </row>
    <row r="665" ht="22.5" customHeight="1">
      <c r="A665" s="7" t="s">
        <v>3837</v>
      </c>
      <c r="B665" s="8" t="s">
        <v>5069</v>
      </c>
      <c r="C665" s="7" t="s">
        <v>5070</v>
      </c>
      <c r="D665" s="7" t="s">
        <v>16</v>
      </c>
      <c r="E665" s="7" t="s">
        <v>3799</v>
      </c>
      <c r="F665" s="7" t="s">
        <v>16</v>
      </c>
    </row>
    <row r="666" ht="22.5" customHeight="1">
      <c r="A666" s="7" t="s">
        <v>3837</v>
      </c>
      <c r="B666" s="8" t="s">
        <v>5069</v>
      </c>
      <c r="C666" s="7" t="s">
        <v>5071</v>
      </c>
      <c r="D666" s="7" t="s">
        <v>26</v>
      </c>
      <c r="E666" s="7" t="s">
        <v>16</v>
      </c>
      <c r="F666" s="7" t="s">
        <v>16</v>
      </c>
    </row>
    <row r="667" ht="22.5" customHeight="1">
      <c r="A667" s="7" t="s">
        <v>3827</v>
      </c>
      <c r="B667" s="8" t="s">
        <v>5072</v>
      </c>
      <c r="C667" s="7" t="s">
        <v>5073</v>
      </c>
      <c r="D667" s="7" t="s">
        <v>26</v>
      </c>
      <c r="E667" s="7" t="s">
        <v>16</v>
      </c>
      <c r="F667" s="7" t="s">
        <v>16</v>
      </c>
    </row>
    <row r="668" ht="22.5" customHeight="1">
      <c r="A668" s="7" t="s">
        <v>3800</v>
      </c>
      <c r="B668" s="8" t="s">
        <v>5074</v>
      </c>
      <c r="C668" s="7" t="s">
        <v>5075</v>
      </c>
      <c r="D668" s="7" t="s">
        <v>26</v>
      </c>
      <c r="E668" s="7" t="s">
        <v>16</v>
      </c>
      <c r="F668" s="7" t="s">
        <v>16</v>
      </c>
    </row>
    <row r="669" ht="22.5" customHeight="1">
      <c r="A669" s="7" t="s">
        <v>3800</v>
      </c>
      <c r="B669" s="8" t="s">
        <v>5074</v>
      </c>
      <c r="C669" s="7" t="s">
        <v>5076</v>
      </c>
      <c r="D669" s="7" t="s">
        <v>26</v>
      </c>
      <c r="E669" s="7" t="s">
        <v>16</v>
      </c>
      <c r="F669" s="7" t="s">
        <v>16</v>
      </c>
    </row>
    <row r="670" ht="22.5" customHeight="1">
      <c r="A670" s="7" t="s">
        <v>2725</v>
      </c>
      <c r="B670" s="8" t="s">
        <v>5077</v>
      </c>
      <c r="C670" s="7" t="s">
        <v>5078</v>
      </c>
      <c r="D670" s="7" t="s">
        <v>16</v>
      </c>
      <c r="E670" s="7" t="s">
        <v>3803</v>
      </c>
      <c r="F670" s="7" t="s">
        <v>16</v>
      </c>
    </row>
    <row r="671" ht="22.5" customHeight="1">
      <c r="A671" s="7" t="s">
        <v>2725</v>
      </c>
      <c r="B671" s="8" t="s">
        <v>5077</v>
      </c>
      <c r="C671" s="7" t="s">
        <v>5079</v>
      </c>
      <c r="D671" s="7" t="s">
        <v>26</v>
      </c>
      <c r="E671" s="7" t="s">
        <v>16</v>
      </c>
      <c r="F671" s="7" t="s">
        <v>16</v>
      </c>
    </row>
    <row r="672" ht="22.5" customHeight="1">
      <c r="A672" s="7" t="s">
        <v>2327</v>
      </c>
      <c r="B672" s="8" t="s">
        <v>5080</v>
      </c>
      <c r="C672" s="7" t="s">
        <v>5081</v>
      </c>
      <c r="D672" s="7" t="s">
        <v>16</v>
      </c>
      <c r="E672" s="7" t="s">
        <v>3812</v>
      </c>
      <c r="F672" s="7" t="s">
        <v>16</v>
      </c>
    </row>
    <row r="673" ht="22.5" customHeight="1">
      <c r="A673" s="7" t="s">
        <v>2327</v>
      </c>
      <c r="B673" s="8" t="s">
        <v>5080</v>
      </c>
      <c r="C673" s="7" t="s">
        <v>5082</v>
      </c>
      <c r="D673" s="7" t="s">
        <v>26</v>
      </c>
      <c r="E673" s="7" t="s">
        <v>16</v>
      </c>
      <c r="F673" s="7" t="s">
        <v>16</v>
      </c>
    </row>
    <row r="674" ht="22.5" customHeight="1">
      <c r="A674" s="7" t="s">
        <v>2327</v>
      </c>
      <c r="B674" s="8" t="s">
        <v>5080</v>
      </c>
      <c r="C674" s="7" t="s">
        <v>5083</v>
      </c>
      <c r="D674" s="7" t="s">
        <v>26</v>
      </c>
      <c r="E674" s="7" t="s">
        <v>16</v>
      </c>
      <c r="F674" s="7" t="s">
        <v>16</v>
      </c>
    </row>
    <row r="675" ht="22.5" customHeight="1">
      <c r="A675" s="7" t="s">
        <v>2327</v>
      </c>
      <c r="B675" s="8" t="s">
        <v>5080</v>
      </c>
      <c r="C675" s="7" t="s">
        <v>5084</v>
      </c>
      <c r="D675" s="7" t="s">
        <v>26</v>
      </c>
      <c r="E675" s="7" t="s">
        <v>16</v>
      </c>
      <c r="F675" s="7" t="s">
        <v>16</v>
      </c>
    </row>
    <row r="676" ht="22.5" customHeight="1">
      <c r="A676" s="7" t="s">
        <v>2327</v>
      </c>
      <c r="B676" s="8" t="s">
        <v>5080</v>
      </c>
      <c r="C676" s="7" t="s">
        <v>5085</v>
      </c>
      <c r="D676" s="7" t="s">
        <v>26</v>
      </c>
      <c r="E676" s="7" t="s">
        <v>16</v>
      </c>
      <c r="F676" s="7" t="s">
        <v>16</v>
      </c>
    </row>
    <row r="677" ht="22.5" customHeight="1">
      <c r="A677" s="7" t="s">
        <v>2327</v>
      </c>
      <c r="B677" s="8" t="s">
        <v>5080</v>
      </c>
      <c r="C677" s="7" t="s">
        <v>5086</v>
      </c>
      <c r="D677" s="7" t="s">
        <v>26</v>
      </c>
      <c r="E677" s="7" t="s">
        <v>16</v>
      </c>
      <c r="F677" s="7" t="s">
        <v>16</v>
      </c>
    </row>
    <row r="678" ht="22.5" customHeight="1">
      <c r="A678" s="7" t="s">
        <v>2327</v>
      </c>
      <c r="B678" s="8" t="s">
        <v>5080</v>
      </c>
      <c r="C678" s="7" t="s">
        <v>5087</v>
      </c>
      <c r="D678" s="7" t="s">
        <v>26</v>
      </c>
      <c r="E678" s="7" t="s">
        <v>16</v>
      </c>
      <c r="F678" s="7" t="s">
        <v>16</v>
      </c>
    </row>
    <row r="679" ht="22.5" customHeight="1">
      <c r="A679" s="7" t="s">
        <v>2327</v>
      </c>
      <c r="B679" s="8" t="s">
        <v>5080</v>
      </c>
      <c r="C679" s="7" t="s">
        <v>5088</v>
      </c>
      <c r="D679" s="7" t="s">
        <v>26</v>
      </c>
      <c r="E679" s="7" t="s">
        <v>16</v>
      </c>
      <c r="F679" s="7" t="s">
        <v>16</v>
      </c>
    </row>
    <row r="680" ht="22.5" customHeight="1">
      <c r="A680" s="7" t="s">
        <v>2725</v>
      </c>
      <c r="B680" s="8" t="s">
        <v>5089</v>
      </c>
      <c r="C680" s="7" t="s">
        <v>5090</v>
      </c>
      <c r="D680" s="7" t="s">
        <v>26</v>
      </c>
      <c r="E680" s="7" t="s">
        <v>16</v>
      </c>
      <c r="F680" s="7" t="s">
        <v>16</v>
      </c>
    </row>
    <row r="681" ht="22.5" customHeight="1">
      <c r="A681" s="7" t="s">
        <v>3837</v>
      </c>
      <c r="B681" s="8" t="s">
        <v>5091</v>
      </c>
      <c r="C681" s="7" t="s">
        <v>5092</v>
      </c>
      <c r="D681" s="7" t="s">
        <v>4033</v>
      </c>
      <c r="E681" s="7" t="s">
        <v>3803</v>
      </c>
      <c r="F681" s="7" t="s">
        <v>16</v>
      </c>
    </row>
    <row r="682" ht="22.5" customHeight="1">
      <c r="A682" s="7" t="s">
        <v>3800</v>
      </c>
      <c r="B682" s="8" t="s">
        <v>5093</v>
      </c>
      <c r="C682" s="7" t="s">
        <v>5094</v>
      </c>
      <c r="D682" s="7" t="s">
        <v>16</v>
      </c>
      <c r="E682" s="7" t="s">
        <v>3812</v>
      </c>
      <c r="F682" s="7" t="s">
        <v>16</v>
      </c>
    </row>
    <row r="683" ht="22.5" customHeight="1">
      <c r="A683" s="7" t="s">
        <v>3827</v>
      </c>
      <c r="B683" s="8" t="s">
        <v>5095</v>
      </c>
      <c r="C683" s="7" t="s">
        <v>5096</v>
      </c>
      <c r="D683" s="7" t="s">
        <v>16</v>
      </c>
      <c r="E683" s="7" t="s">
        <v>3812</v>
      </c>
      <c r="F683" s="7" t="s">
        <v>16</v>
      </c>
    </row>
    <row r="684" ht="22.5" customHeight="1">
      <c r="A684" s="7" t="s">
        <v>3800</v>
      </c>
      <c r="B684" s="8" t="s">
        <v>5097</v>
      </c>
      <c r="C684" s="7" t="s">
        <v>5098</v>
      </c>
      <c r="D684" s="7" t="s">
        <v>16</v>
      </c>
      <c r="E684" s="7" t="s">
        <v>3812</v>
      </c>
      <c r="F684" s="7" t="s">
        <v>16</v>
      </c>
    </row>
    <row r="685" ht="22.5" customHeight="1">
      <c r="A685" s="7" t="s">
        <v>2725</v>
      </c>
      <c r="B685" s="8" t="s">
        <v>5099</v>
      </c>
      <c r="C685" s="7" t="s">
        <v>5100</v>
      </c>
      <c r="D685" s="7" t="s">
        <v>16</v>
      </c>
      <c r="E685" s="7" t="s">
        <v>3812</v>
      </c>
      <c r="F685" s="7" t="s">
        <v>16</v>
      </c>
    </row>
    <row r="686" ht="22.5" customHeight="1">
      <c r="A686" s="7" t="s">
        <v>2725</v>
      </c>
      <c r="B686" s="8" t="s">
        <v>5101</v>
      </c>
      <c r="C686" s="7" t="s">
        <v>5102</v>
      </c>
      <c r="D686" s="7" t="s">
        <v>16</v>
      </c>
      <c r="E686" s="7" t="s">
        <v>3812</v>
      </c>
      <c r="F686" s="7" t="s">
        <v>16</v>
      </c>
    </row>
    <row r="687" ht="22.5" customHeight="1">
      <c r="A687" s="7" t="s">
        <v>2725</v>
      </c>
      <c r="B687" s="8" t="s">
        <v>5101</v>
      </c>
      <c r="C687" s="7" t="s">
        <v>5103</v>
      </c>
      <c r="D687" s="7" t="s">
        <v>26</v>
      </c>
      <c r="E687" s="7" t="s">
        <v>16</v>
      </c>
      <c r="F687" s="7" t="s">
        <v>16</v>
      </c>
    </row>
    <row r="688" ht="22.5" customHeight="1">
      <c r="A688" s="7" t="s">
        <v>3800</v>
      </c>
      <c r="B688" s="8" t="s">
        <v>5104</v>
      </c>
      <c r="C688" s="7" t="s">
        <v>5105</v>
      </c>
      <c r="D688" s="7" t="s">
        <v>16</v>
      </c>
      <c r="E688" s="7" t="s">
        <v>3799</v>
      </c>
      <c r="F688" s="7" t="s">
        <v>16</v>
      </c>
    </row>
    <row r="689" ht="22.5" customHeight="1">
      <c r="A689" s="7" t="s">
        <v>3800</v>
      </c>
      <c r="B689" s="8" t="s">
        <v>5106</v>
      </c>
      <c r="C689" s="7" t="s">
        <v>5107</v>
      </c>
      <c r="D689" s="7" t="s">
        <v>16</v>
      </c>
      <c r="E689" s="7" t="s">
        <v>3812</v>
      </c>
      <c r="F689" s="7" t="s">
        <v>16</v>
      </c>
    </row>
    <row r="690" ht="22.5" customHeight="1">
      <c r="A690" s="7" t="s">
        <v>2725</v>
      </c>
      <c r="B690" s="8" t="s">
        <v>5108</v>
      </c>
      <c r="C690" s="7" t="s">
        <v>5109</v>
      </c>
      <c r="D690" s="7" t="s">
        <v>16</v>
      </c>
      <c r="E690" s="7" t="s">
        <v>3812</v>
      </c>
      <c r="F690" s="7" t="s">
        <v>16</v>
      </c>
    </row>
    <row r="691" ht="22.5" customHeight="1">
      <c r="A691" s="7" t="s">
        <v>2725</v>
      </c>
      <c r="B691" s="8" t="s">
        <v>5110</v>
      </c>
      <c r="C691" s="7" t="s">
        <v>5111</v>
      </c>
      <c r="D691" s="7" t="s">
        <v>16</v>
      </c>
      <c r="E691" s="7" t="s">
        <v>3812</v>
      </c>
      <c r="F691" s="7" t="s">
        <v>16</v>
      </c>
    </row>
    <row r="692" ht="22.5" customHeight="1">
      <c r="A692" s="7" t="s">
        <v>2725</v>
      </c>
      <c r="B692" s="8" t="s">
        <v>5112</v>
      </c>
      <c r="C692" s="7" t="s">
        <v>5113</v>
      </c>
      <c r="D692" s="7" t="s">
        <v>16</v>
      </c>
      <c r="E692" s="7" t="s">
        <v>3799</v>
      </c>
      <c r="F692" s="7" t="s">
        <v>3945</v>
      </c>
    </row>
    <row r="693" ht="22.5" customHeight="1">
      <c r="A693" s="7" t="s">
        <v>2725</v>
      </c>
      <c r="B693" s="8" t="s">
        <v>5112</v>
      </c>
      <c r="C693" s="7" t="s">
        <v>5114</v>
      </c>
      <c r="D693" s="7" t="s">
        <v>26</v>
      </c>
      <c r="E693" s="7" t="s">
        <v>16</v>
      </c>
      <c r="F693" s="7" t="s">
        <v>16</v>
      </c>
    </row>
    <row r="694" ht="22.5" customHeight="1">
      <c r="A694" s="7" t="s">
        <v>3800</v>
      </c>
      <c r="B694" s="8" t="s">
        <v>5115</v>
      </c>
      <c r="C694" s="7" t="s">
        <v>5116</v>
      </c>
      <c r="D694" s="7" t="s">
        <v>16</v>
      </c>
      <c r="E694" s="7" t="s">
        <v>3806</v>
      </c>
      <c r="F694" s="7" t="s">
        <v>16</v>
      </c>
    </row>
    <row r="695" ht="22.5" customHeight="1">
      <c r="A695" s="7" t="s">
        <v>3800</v>
      </c>
      <c r="B695" s="8" t="s">
        <v>5115</v>
      </c>
      <c r="C695" s="7" t="s">
        <v>5117</v>
      </c>
      <c r="D695" s="7" t="s">
        <v>26</v>
      </c>
      <c r="E695" s="7" t="s">
        <v>16</v>
      </c>
      <c r="F695" s="7" t="s">
        <v>16</v>
      </c>
    </row>
    <row r="696" ht="22.5" customHeight="1">
      <c r="A696" s="7" t="s">
        <v>3800</v>
      </c>
      <c r="B696" s="8" t="s">
        <v>5115</v>
      </c>
      <c r="C696" s="7" t="s">
        <v>5118</v>
      </c>
      <c r="D696" s="7" t="s">
        <v>26</v>
      </c>
      <c r="E696" s="7" t="s">
        <v>16</v>
      </c>
      <c r="F696" s="7" t="s">
        <v>16</v>
      </c>
    </row>
    <row r="697" ht="22.5" customHeight="1">
      <c r="A697" s="7" t="s">
        <v>3800</v>
      </c>
      <c r="B697" s="8" t="s">
        <v>5119</v>
      </c>
      <c r="C697" s="7" t="s">
        <v>5120</v>
      </c>
      <c r="D697" s="7" t="s">
        <v>16</v>
      </c>
      <c r="E697" s="7" t="s">
        <v>3806</v>
      </c>
      <c r="F697" s="7" t="s">
        <v>16</v>
      </c>
    </row>
    <row r="698" ht="22.5" customHeight="1">
      <c r="A698" s="7" t="s">
        <v>2327</v>
      </c>
      <c r="B698" s="8" t="s">
        <v>5121</v>
      </c>
      <c r="C698" s="7" t="s">
        <v>5122</v>
      </c>
      <c r="D698" s="7" t="s">
        <v>16</v>
      </c>
      <c r="E698" s="7" t="s">
        <v>3806</v>
      </c>
      <c r="F698" s="7" t="s">
        <v>16</v>
      </c>
    </row>
    <row r="699" ht="22.5" customHeight="1">
      <c r="A699" s="7" t="s">
        <v>3827</v>
      </c>
      <c r="B699" s="8" t="s">
        <v>5123</v>
      </c>
      <c r="C699" s="7" t="s">
        <v>5124</v>
      </c>
      <c r="D699" s="7" t="s">
        <v>26</v>
      </c>
      <c r="E699" s="7" t="s">
        <v>16</v>
      </c>
      <c r="F699" s="7" t="s">
        <v>16</v>
      </c>
    </row>
    <row r="700" ht="22.5" customHeight="1">
      <c r="A700" s="7" t="s">
        <v>3800</v>
      </c>
      <c r="B700" s="8" t="s">
        <v>5125</v>
      </c>
      <c r="C700" s="7" t="s">
        <v>5126</v>
      </c>
      <c r="D700" s="7" t="s">
        <v>16</v>
      </c>
      <c r="E700" s="7" t="s">
        <v>3806</v>
      </c>
      <c r="F700" s="7" t="s">
        <v>16</v>
      </c>
    </row>
    <row r="701" ht="22.5" customHeight="1">
      <c r="A701" s="7" t="s">
        <v>3800</v>
      </c>
      <c r="B701" s="8" t="s">
        <v>5127</v>
      </c>
      <c r="C701" s="7" t="s">
        <v>5128</v>
      </c>
      <c r="D701" s="7" t="s">
        <v>16</v>
      </c>
      <c r="E701" s="7" t="s">
        <v>3806</v>
      </c>
      <c r="F701" s="7" t="s">
        <v>16</v>
      </c>
    </row>
    <row r="702" ht="22.5" customHeight="1">
      <c r="A702" s="7" t="s">
        <v>2725</v>
      </c>
      <c r="B702" s="8" t="s">
        <v>5129</v>
      </c>
      <c r="C702" s="7" t="s">
        <v>5130</v>
      </c>
      <c r="D702" s="7" t="s">
        <v>16</v>
      </c>
      <c r="E702" s="7" t="s">
        <v>3803</v>
      </c>
      <c r="F702" s="7" t="s">
        <v>3816</v>
      </c>
    </row>
    <row r="703" ht="22.5" customHeight="1">
      <c r="A703" s="7" t="s">
        <v>2725</v>
      </c>
      <c r="B703" s="8" t="s">
        <v>5131</v>
      </c>
      <c r="C703" s="7" t="s">
        <v>5132</v>
      </c>
      <c r="D703" s="7" t="s">
        <v>26</v>
      </c>
      <c r="E703" s="7" t="s">
        <v>16</v>
      </c>
      <c r="F703" s="7" t="s">
        <v>16</v>
      </c>
    </row>
    <row r="704" ht="22.5" customHeight="1">
      <c r="A704" s="7" t="s">
        <v>3800</v>
      </c>
      <c r="B704" s="8" t="s">
        <v>5133</v>
      </c>
      <c r="C704" s="7" t="s">
        <v>5134</v>
      </c>
      <c r="D704" s="7" t="s">
        <v>151</v>
      </c>
      <c r="E704" s="7" t="s">
        <v>3799</v>
      </c>
      <c r="F704" s="7" t="s">
        <v>16</v>
      </c>
    </row>
    <row r="705" ht="22.5" customHeight="1">
      <c r="A705" s="7" t="s">
        <v>3837</v>
      </c>
      <c r="B705" s="8" t="s">
        <v>5135</v>
      </c>
      <c r="C705" s="7" t="s">
        <v>5136</v>
      </c>
      <c r="D705" s="7" t="s">
        <v>16</v>
      </c>
      <c r="E705" s="7" t="s">
        <v>3799</v>
      </c>
      <c r="F705" s="7" t="s">
        <v>16</v>
      </c>
    </row>
    <row r="706" ht="22.5" customHeight="1">
      <c r="A706" s="7" t="s">
        <v>3837</v>
      </c>
      <c r="B706" s="8" t="s">
        <v>5135</v>
      </c>
      <c r="C706" s="7" t="s">
        <v>5137</v>
      </c>
      <c r="D706" s="7" t="s">
        <v>26</v>
      </c>
      <c r="E706" s="7" t="s">
        <v>16</v>
      </c>
      <c r="F706" s="7" t="s">
        <v>16</v>
      </c>
    </row>
    <row r="707" ht="22.5" customHeight="1">
      <c r="A707" s="7" t="s">
        <v>2725</v>
      </c>
      <c r="B707" s="8" t="s">
        <v>5138</v>
      </c>
      <c r="C707" s="7" t="s">
        <v>5139</v>
      </c>
      <c r="D707" s="7" t="s">
        <v>16</v>
      </c>
      <c r="E707" s="7" t="s">
        <v>3799</v>
      </c>
      <c r="F707" s="7" t="s">
        <v>16</v>
      </c>
    </row>
    <row r="708" ht="22.5" customHeight="1">
      <c r="A708" s="7" t="s">
        <v>3800</v>
      </c>
      <c r="B708" s="8" t="s">
        <v>5140</v>
      </c>
      <c r="C708" s="7" t="s">
        <v>5141</v>
      </c>
      <c r="D708" s="7" t="s">
        <v>16</v>
      </c>
      <c r="E708" s="7" t="s">
        <v>3799</v>
      </c>
      <c r="F708" s="7" t="s">
        <v>16</v>
      </c>
    </row>
    <row r="709" ht="22.5" customHeight="1">
      <c r="A709" s="7" t="s">
        <v>3800</v>
      </c>
      <c r="B709" s="8" t="s">
        <v>5140</v>
      </c>
      <c r="C709" s="7" t="s">
        <v>5142</v>
      </c>
      <c r="D709" s="7" t="s">
        <v>26</v>
      </c>
      <c r="E709" s="7" t="s">
        <v>16</v>
      </c>
      <c r="F709" s="7" t="s">
        <v>16</v>
      </c>
    </row>
    <row r="710" ht="22.5" customHeight="1">
      <c r="A710" s="7" t="s">
        <v>2327</v>
      </c>
      <c r="B710" s="8" t="s">
        <v>5143</v>
      </c>
      <c r="C710" s="7" t="s">
        <v>5144</v>
      </c>
      <c r="D710" s="7" t="s">
        <v>26</v>
      </c>
      <c r="E710" s="7" t="s">
        <v>16</v>
      </c>
      <c r="F710" s="7" t="s">
        <v>16</v>
      </c>
    </row>
    <row r="711" ht="22.5" customHeight="1">
      <c r="A711" s="7" t="s">
        <v>3827</v>
      </c>
      <c r="B711" s="8" t="s">
        <v>5145</v>
      </c>
      <c r="C711" s="7" t="s">
        <v>5146</v>
      </c>
      <c r="D711" s="7" t="s">
        <v>16</v>
      </c>
      <c r="E711" s="7" t="s">
        <v>3799</v>
      </c>
      <c r="F711" s="7" t="s">
        <v>16</v>
      </c>
    </row>
    <row r="712" ht="22.5" customHeight="1">
      <c r="A712" s="7" t="s">
        <v>3837</v>
      </c>
      <c r="B712" s="8" t="s">
        <v>5147</v>
      </c>
      <c r="C712" s="7" t="s">
        <v>5148</v>
      </c>
      <c r="D712" s="7" t="s">
        <v>16</v>
      </c>
      <c r="E712" s="7" t="s">
        <v>3806</v>
      </c>
      <c r="F712" s="7" t="s">
        <v>16</v>
      </c>
    </row>
    <row r="713" ht="22.5" customHeight="1">
      <c r="A713" s="7" t="s">
        <v>3807</v>
      </c>
      <c r="B713" s="8" t="s">
        <v>5149</v>
      </c>
      <c r="C713" s="7" t="s">
        <v>5150</v>
      </c>
      <c r="D713" s="7" t="s">
        <v>26</v>
      </c>
      <c r="E713" s="7" t="s">
        <v>16</v>
      </c>
      <c r="F713" s="7" t="s">
        <v>16</v>
      </c>
    </row>
    <row r="714" ht="22.5" customHeight="1">
      <c r="A714" s="7" t="s">
        <v>3800</v>
      </c>
      <c r="B714" s="8" t="s">
        <v>5151</v>
      </c>
      <c r="C714" s="7" t="s">
        <v>5152</v>
      </c>
      <c r="D714" s="7" t="s">
        <v>16</v>
      </c>
      <c r="E714" s="7" t="s">
        <v>3806</v>
      </c>
      <c r="F714" s="7" t="s">
        <v>16</v>
      </c>
    </row>
    <row r="715" ht="22.5" customHeight="1">
      <c r="A715" s="7" t="s">
        <v>3800</v>
      </c>
      <c r="B715" s="8" t="s">
        <v>5153</v>
      </c>
      <c r="C715" s="7" t="s">
        <v>5154</v>
      </c>
      <c r="D715" s="7" t="s">
        <v>26</v>
      </c>
      <c r="E715" s="7" t="s">
        <v>16</v>
      </c>
      <c r="F715" s="7" t="s">
        <v>16</v>
      </c>
    </row>
    <row r="716" ht="22.5" customHeight="1">
      <c r="A716" s="7" t="s">
        <v>3800</v>
      </c>
      <c r="B716" s="8" t="s">
        <v>5155</v>
      </c>
      <c r="C716" s="7" t="s">
        <v>5156</v>
      </c>
      <c r="D716" s="7" t="s">
        <v>26</v>
      </c>
      <c r="E716" s="7" t="s">
        <v>16</v>
      </c>
      <c r="F716" s="7" t="s">
        <v>16</v>
      </c>
    </row>
    <row r="717" ht="22.5" customHeight="1">
      <c r="A717" s="7" t="s">
        <v>3800</v>
      </c>
      <c r="B717" s="8" t="s">
        <v>5157</v>
      </c>
      <c r="C717" s="7" t="s">
        <v>5158</v>
      </c>
      <c r="D717" s="7" t="s">
        <v>26</v>
      </c>
      <c r="E717" s="7" t="s">
        <v>16</v>
      </c>
      <c r="F717" s="7" t="s">
        <v>16</v>
      </c>
    </row>
    <row r="718" ht="22.5" customHeight="1">
      <c r="A718" s="7" t="s">
        <v>3800</v>
      </c>
      <c r="B718" s="8" t="s">
        <v>5159</v>
      </c>
      <c r="C718" s="7" t="s">
        <v>5160</v>
      </c>
      <c r="D718" s="7" t="s">
        <v>16</v>
      </c>
      <c r="E718" s="7" t="s">
        <v>3806</v>
      </c>
      <c r="F718" s="7" t="s">
        <v>16</v>
      </c>
    </row>
    <row r="719" ht="22.5" customHeight="1">
      <c r="A719" s="7" t="s">
        <v>3837</v>
      </c>
      <c r="B719" s="8" t="s">
        <v>5161</v>
      </c>
      <c r="C719" s="7" t="s">
        <v>5162</v>
      </c>
      <c r="D719" s="7" t="s">
        <v>3963</v>
      </c>
      <c r="E719" s="7" t="s">
        <v>3803</v>
      </c>
      <c r="F719" s="7" t="s">
        <v>3964</v>
      </c>
    </row>
    <row r="720" ht="22.5" customHeight="1">
      <c r="A720" s="7" t="s">
        <v>2327</v>
      </c>
      <c r="B720" s="8" t="s">
        <v>5163</v>
      </c>
      <c r="C720" s="7" t="s">
        <v>5164</v>
      </c>
      <c r="D720" s="7" t="s">
        <v>16</v>
      </c>
      <c r="E720" s="7" t="s">
        <v>3806</v>
      </c>
      <c r="F720" s="7" t="s">
        <v>16</v>
      </c>
    </row>
    <row r="721" ht="22.5" customHeight="1">
      <c r="A721" s="7" t="s">
        <v>3800</v>
      </c>
      <c r="B721" s="8" t="s">
        <v>5165</v>
      </c>
      <c r="C721" s="7" t="s">
        <v>5166</v>
      </c>
      <c r="D721" s="7" t="s">
        <v>16</v>
      </c>
      <c r="E721" s="7" t="s">
        <v>3806</v>
      </c>
      <c r="F721" s="7" t="s">
        <v>16</v>
      </c>
    </row>
    <row r="722" ht="22.5" customHeight="1">
      <c r="A722" s="7" t="s">
        <v>3837</v>
      </c>
      <c r="B722" s="8" t="s">
        <v>5167</v>
      </c>
      <c r="C722" s="7" t="s">
        <v>5168</v>
      </c>
      <c r="D722" s="7" t="s">
        <v>16</v>
      </c>
      <c r="E722" s="7" t="s">
        <v>3806</v>
      </c>
      <c r="F722" s="7" t="s">
        <v>16</v>
      </c>
    </row>
    <row r="723" ht="22.5" customHeight="1">
      <c r="A723" s="7" t="s">
        <v>3800</v>
      </c>
      <c r="B723" s="8" t="s">
        <v>5169</v>
      </c>
      <c r="C723" s="7" t="s">
        <v>5170</v>
      </c>
      <c r="D723" s="7" t="s">
        <v>26</v>
      </c>
      <c r="E723" s="7" t="s">
        <v>16</v>
      </c>
      <c r="F723" s="7" t="s">
        <v>16</v>
      </c>
    </row>
    <row r="724" ht="22.5" customHeight="1">
      <c r="A724" s="7" t="s">
        <v>2725</v>
      </c>
      <c r="B724" s="8" t="s">
        <v>5171</v>
      </c>
      <c r="C724" s="7" t="s">
        <v>5172</v>
      </c>
      <c r="D724" s="7" t="s">
        <v>26</v>
      </c>
      <c r="E724" s="7" t="s">
        <v>16</v>
      </c>
      <c r="F724" s="7" t="s">
        <v>16</v>
      </c>
    </row>
    <row r="725" ht="22.5" customHeight="1">
      <c r="A725" s="7" t="s">
        <v>3800</v>
      </c>
      <c r="B725" s="8" t="s">
        <v>5173</v>
      </c>
      <c r="C725" s="7" t="s">
        <v>5174</v>
      </c>
      <c r="D725" s="7" t="s">
        <v>16</v>
      </c>
      <c r="E725" s="7" t="s">
        <v>3799</v>
      </c>
      <c r="F725" s="7" t="s">
        <v>16</v>
      </c>
    </row>
    <row r="726" ht="22.5" customHeight="1">
      <c r="A726" s="7" t="s">
        <v>3800</v>
      </c>
      <c r="B726" s="8" t="s">
        <v>5175</v>
      </c>
      <c r="C726" s="7" t="s">
        <v>5176</v>
      </c>
      <c r="D726" s="7" t="s">
        <v>26</v>
      </c>
      <c r="E726" s="7" t="s">
        <v>16</v>
      </c>
      <c r="F726" s="7" t="s">
        <v>16</v>
      </c>
    </row>
    <row r="727" ht="22.5" customHeight="1">
      <c r="A727" s="7" t="s">
        <v>3837</v>
      </c>
      <c r="B727" s="8" t="s">
        <v>5177</v>
      </c>
      <c r="C727" s="7" t="s">
        <v>5178</v>
      </c>
      <c r="D727" s="7" t="s">
        <v>16</v>
      </c>
      <c r="E727" s="7" t="s">
        <v>3799</v>
      </c>
      <c r="F727" s="7" t="s">
        <v>16</v>
      </c>
    </row>
    <row r="728" ht="22.5" customHeight="1">
      <c r="A728" s="7" t="s">
        <v>3800</v>
      </c>
      <c r="B728" s="8" t="s">
        <v>5179</v>
      </c>
      <c r="C728" s="7" t="s">
        <v>5180</v>
      </c>
      <c r="D728" s="7" t="s">
        <v>26</v>
      </c>
      <c r="E728" s="7" t="s">
        <v>16</v>
      </c>
      <c r="F728" s="7" t="s">
        <v>16</v>
      </c>
    </row>
    <row r="729" ht="22.5" customHeight="1">
      <c r="A729" s="7" t="s">
        <v>3807</v>
      </c>
      <c r="B729" s="8" t="s">
        <v>5181</v>
      </c>
      <c r="C729" s="7" t="s">
        <v>5182</v>
      </c>
      <c r="D729" s="7" t="s">
        <v>3963</v>
      </c>
      <c r="E729" s="7" t="s">
        <v>3803</v>
      </c>
      <c r="F729" s="7" t="s">
        <v>3964</v>
      </c>
    </row>
    <row r="730" ht="22.5" customHeight="1">
      <c r="A730" s="7" t="s">
        <v>2725</v>
      </c>
      <c r="B730" s="8" t="s">
        <v>5183</v>
      </c>
      <c r="C730" s="7" t="s">
        <v>5184</v>
      </c>
      <c r="D730" s="7" t="s">
        <v>16</v>
      </c>
      <c r="E730" s="7" t="s">
        <v>3799</v>
      </c>
      <c r="F730" s="7" t="s">
        <v>16</v>
      </c>
    </row>
    <row r="731" ht="22.5" customHeight="1">
      <c r="A731" s="7" t="s">
        <v>3800</v>
      </c>
      <c r="B731" s="8" t="s">
        <v>5185</v>
      </c>
      <c r="C731" s="7" t="s">
        <v>5186</v>
      </c>
      <c r="D731" s="7" t="s">
        <v>16</v>
      </c>
      <c r="E731" s="7" t="s">
        <v>3799</v>
      </c>
      <c r="F731" s="7" t="s">
        <v>16</v>
      </c>
    </row>
    <row r="732" ht="22.5" customHeight="1">
      <c r="A732" s="7" t="s">
        <v>3837</v>
      </c>
      <c r="B732" s="8" t="s">
        <v>5187</v>
      </c>
      <c r="C732" s="7" t="s">
        <v>5188</v>
      </c>
      <c r="D732" s="7" t="s">
        <v>16</v>
      </c>
      <c r="E732" s="7" t="s">
        <v>3803</v>
      </c>
      <c r="F732" s="7" t="s">
        <v>3850</v>
      </c>
    </row>
    <row r="733" ht="22.5" customHeight="1">
      <c r="A733" s="7" t="s">
        <v>3807</v>
      </c>
      <c r="B733" s="8" t="s">
        <v>5189</v>
      </c>
      <c r="C733" s="7" t="s">
        <v>5190</v>
      </c>
      <c r="D733" s="7" t="s">
        <v>3934</v>
      </c>
      <c r="E733" s="7" t="s">
        <v>3803</v>
      </c>
      <c r="F733" s="7" t="s">
        <v>3934</v>
      </c>
    </row>
    <row r="734" ht="22.5" customHeight="1">
      <c r="A734" s="7" t="s">
        <v>2725</v>
      </c>
      <c r="B734" s="8" t="s">
        <v>5191</v>
      </c>
      <c r="C734" s="7" t="s">
        <v>5192</v>
      </c>
      <c r="D734" s="7" t="s">
        <v>16</v>
      </c>
      <c r="E734" s="7" t="s">
        <v>3803</v>
      </c>
      <c r="F734" s="7" t="s">
        <v>16</v>
      </c>
    </row>
    <row r="735" ht="22.5" customHeight="1">
      <c r="A735" s="7" t="s">
        <v>3807</v>
      </c>
      <c r="B735" s="8" t="s">
        <v>5193</v>
      </c>
      <c r="C735" s="7" t="s">
        <v>5194</v>
      </c>
      <c r="D735" s="7" t="s">
        <v>16</v>
      </c>
      <c r="E735" s="7" t="s">
        <v>3806</v>
      </c>
      <c r="F735" s="7" t="s">
        <v>16</v>
      </c>
    </row>
    <row r="736" ht="22.5" customHeight="1">
      <c r="A736" s="7" t="s">
        <v>2725</v>
      </c>
      <c r="B736" s="8" t="s">
        <v>5195</v>
      </c>
      <c r="C736" s="7" t="s">
        <v>5196</v>
      </c>
      <c r="D736" s="7" t="s">
        <v>26</v>
      </c>
      <c r="E736" s="7" t="s">
        <v>16</v>
      </c>
      <c r="F736" s="7" t="s">
        <v>16</v>
      </c>
    </row>
    <row r="737" ht="22.5" customHeight="1">
      <c r="A737" s="7" t="s">
        <v>3800</v>
      </c>
      <c r="B737" s="8" t="s">
        <v>5197</v>
      </c>
      <c r="C737" s="7" t="s">
        <v>5198</v>
      </c>
      <c r="D737" s="7" t="s">
        <v>26</v>
      </c>
      <c r="E737" s="7" t="s">
        <v>16</v>
      </c>
      <c r="F737" s="7" t="s">
        <v>16</v>
      </c>
    </row>
    <row r="738" ht="22.5" customHeight="1">
      <c r="A738" s="7" t="s">
        <v>3800</v>
      </c>
      <c r="B738" s="8" t="s">
        <v>5199</v>
      </c>
      <c r="C738" s="7" t="s">
        <v>5200</v>
      </c>
      <c r="D738" s="7" t="s">
        <v>16</v>
      </c>
      <c r="E738" s="7" t="s">
        <v>3799</v>
      </c>
      <c r="F738" s="7" t="s">
        <v>16</v>
      </c>
    </row>
    <row r="739" ht="22.5" customHeight="1">
      <c r="A739" s="7" t="s">
        <v>3800</v>
      </c>
      <c r="B739" s="8" t="s">
        <v>5201</v>
      </c>
      <c r="C739" s="7" t="s">
        <v>5202</v>
      </c>
      <c r="D739" s="7" t="s">
        <v>4033</v>
      </c>
      <c r="E739" s="7" t="s">
        <v>3803</v>
      </c>
      <c r="F739" s="7" t="s">
        <v>16</v>
      </c>
    </row>
    <row r="740" ht="22.5" customHeight="1">
      <c r="A740" s="7" t="s">
        <v>2327</v>
      </c>
      <c r="B740" s="8" t="s">
        <v>5203</v>
      </c>
      <c r="C740" s="7" t="s">
        <v>5204</v>
      </c>
      <c r="D740" s="7" t="s">
        <v>26</v>
      </c>
      <c r="E740" s="7" t="s">
        <v>16</v>
      </c>
      <c r="F740" s="7" t="s">
        <v>16</v>
      </c>
    </row>
    <row r="741" ht="22.5" customHeight="1">
      <c r="A741" s="7" t="s">
        <v>3800</v>
      </c>
      <c r="B741" s="8" t="s">
        <v>5205</v>
      </c>
      <c r="C741" s="7" t="s">
        <v>5206</v>
      </c>
      <c r="D741" s="7" t="s">
        <v>3951</v>
      </c>
      <c r="E741" s="7" t="s">
        <v>3803</v>
      </c>
      <c r="F741" s="7" t="s">
        <v>3952</v>
      </c>
    </row>
    <row r="742" ht="22.5" customHeight="1">
      <c r="A742" s="7" t="s">
        <v>3800</v>
      </c>
      <c r="B742" s="8" t="s">
        <v>5207</v>
      </c>
      <c r="C742" s="7" t="s">
        <v>5208</v>
      </c>
      <c r="D742" s="7" t="s">
        <v>26</v>
      </c>
      <c r="E742" s="7" t="s">
        <v>16</v>
      </c>
      <c r="F742" s="7" t="s">
        <v>16</v>
      </c>
    </row>
    <row r="743" ht="22.5" customHeight="1">
      <c r="A743" s="7" t="s">
        <v>3837</v>
      </c>
      <c r="B743" s="8" t="s">
        <v>5209</v>
      </c>
      <c r="C743" s="7" t="s">
        <v>5210</v>
      </c>
      <c r="D743" s="7" t="s">
        <v>16</v>
      </c>
      <c r="E743" s="7" t="s">
        <v>3806</v>
      </c>
      <c r="F743" s="7" t="s">
        <v>16</v>
      </c>
    </row>
    <row r="744" ht="22.5" customHeight="1">
      <c r="A744" s="7" t="s">
        <v>3837</v>
      </c>
      <c r="B744" s="8" t="s">
        <v>5211</v>
      </c>
      <c r="C744" s="7" t="s">
        <v>5212</v>
      </c>
      <c r="D744" s="7" t="s">
        <v>16</v>
      </c>
      <c r="E744" s="7" t="s">
        <v>3803</v>
      </c>
      <c r="F744" s="7" t="s">
        <v>16</v>
      </c>
    </row>
    <row r="745" ht="22.5" customHeight="1">
      <c r="A745" s="7" t="s">
        <v>3837</v>
      </c>
      <c r="B745" s="8" t="s">
        <v>5211</v>
      </c>
      <c r="C745" s="7" t="s">
        <v>5213</v>
      </c>
      <c r="D745" s="7" t="s">
        <v>26</v>
      </c>
      <c r="E745" s="7" t="s">
        <v>16</v>
      </c>
      <c r="F745" s="7" t="s">
        <v>16</v>
      </c>
    </row>
    <row r="746" ht="22.5" customHeight="1">
      <c r="A746" s="7" t="s">
        <v>2725</v>
      </c>
      <c r="B746" s="8" t="s">
        <v>5214</v>
      </c>
      <c r="C746" s="7" t="s">
        <v>5215</v>
      </c>
      <c r="D746" s="7" t="s">
        <v>16</v>
      </c>
      <c r="E746" s="7" t="s">
        <v>3799</v>
      </c>
      <c r="F746" s="7" t="s">
        <v>16</v>
      </c>
    </row>
    <row r="747" ht="22.5" customHeight="1">
      <c r="A747" s="7" t="s">
        <v>2725</v>
      </c>
      <c r="B747" s="8" t="s">
        <v>5216</v>
      </c>
      <c r="C747" s="7" t="s">
        <v>5217</v>
      </c>
      <c r="D747" s="7" t="s">
        <v>26</v>
      </c>
      <c r="E747" s="7" t="s">
        <v>16</v>
      </c>
      <c r="F747" s="7" t="s">
        <v>16</v>
      </c>
    </row>
    <row r="748" ht="22.5" customHeight="1">
      <c r="A748" s="7" t="s">
        <v>2725</v>
      </c>
      <c r="B748" s="8" t="s">
        <v>5216</v>
      </c>
      <c r="C748" s="7" t="s">
        <v>5218</v>
      </c>
      <c r="D748" s="7" t="s">
        <v>5219</v>
      </c>
      <c r="E748" s="7" t="s">
        <v>3803</v>
      </c>
      <c r="F748" s="7" t="s">
        <v>3952</v>
      </c>
    </row>
    <row r="749" ht="22.5" customHeight="1">
      <c r="A749" s="7" t="s">
        <v>3837</v>
      </c>
      <c r="B749" s="8" t="s">
        <v>5220</v>
      </c>
      <c r="C749" s="7" t="s">
        <v>5221</v>
      </c>
      <c r="D749" s="7" t="s">
        <v>16</v>
      </c>
      <c r="E749" s="7" t="s">
        <v>3806</v>
      </c>
      <c r="F749" s="7" t="s">
        <v>3816</v>
      </c>
    </row>
    <row r="750" ht="22.5" customHeight="1">
      <c r="A750" s="7" t="s">
        <v>2725</v>
      </c>
      <c r="B750" s="8" t="s">
        <v>5222</v>
      </c>
      <c r="C750" s="7" t="s">
        <v>5223</v>
      </c>
      <c r="D750" s="7" t="s">
        <v>16</v>
      </c>
      <c r="E750" s="7" t="s">
        <v>3803</v>
      </c>
      <c r="F750" s="7" t="s">
        <v>4107</v>
      </c>
    </row>
    <row r="751" ht="22.5" customHeight="1">
      <c r="A751" s="7" t="s">
        <v>2725</v>
      </c>
      <c r="B751" s="8" t="s">
        <v>5222</v>
      </c>
      <c r="C751" s="7" t="s">
        <v>5224</v>
      </c>
      <c r="D751" s="7" t="s">
        <v>26</v>
      </c>
      <c r="E751" s="7" t="s">
        <v>16</v>
      </c>
      <c r="F751" s="7" t="s">
        <v>16</v>
      </c>
    </row>
    <row r="752" ht="22.5" customHeight="1">
      <c r="A752" s="7" t="s">
        <v>3837</v>
      </c>
      <c r="B752" s="8" t="s">
        <v>5225</v>
      </c>
      <c r="C752" s="7" t="s">
        <v>5226</v>
      </c>
      <c r="D752" s="7" t="s">
        <v>16</v>
      </c>
      <c r="E752" s="7" t="s">
        <v>3806</v>
      </c>
      <c r="F752" s="7" t="s">
        <v>16</v>
      </c>
    </row>
    <row r="753" ht="22.5" customHeight="1">
      <c r="A753" s="7" t="s">
        <v>3800</v>
      </c>
      <c r="B753" s="8" t="s">
        <v>5227</v>
      </c>
      <c r="C753" s="7" t="s">
        <v>5228</v>
      </c>
      <c r="D753" s="7" t="s">
        <v>16</v>
      </c>
      <c r="E753" s="7" t="s">
        <v>3799</v>
      </c>
      <c r="F753" s="7" t="s">
        <v>16</v>
      </c>
    </row>
    <row r="754" ht="22.5" customHeight="1">
      <c r="A754" s="7" t="s">
        <v>3800</v>
      </c>
      <c r="B754" s="8" t="s">
        <v>5227</v>
      </c>
      <c r="C754" s="7" t="s">
        <v>5229</v>
      </c>
      <c r="D754" s="7" t="s">
        <v>26</v>
      </c>
      <c r="E754" s="7" t="s">
        <v>16</v>
      </c>
      <c r="F754" s="7" t="s">
        <v>16</v>
      </c>
    </row>
    <row r="755" ht="22.5" customHeight="1">
      <c r="A755" s="7" t="s">
        <v>2725</v>
      </c>
      <c r="B755" s="8" t="s">
        <v>5230</v>
      </c>
      <c r="C755" s="7" t="s">
        <v>5231</v>
      </c>
      <c r="D755" s="7" t="s">
        <v>16</v>
      </c>
      <c r="E755" s="7" t="s">
        <v>3803</v>
      </c>
      <c r="F755" s="7" t="s">
        <v>16</v>
      </c>
    </row>
    <row r="756" ht="22.5" customHeight="1">
      <c r="A756" s="7" t="s">
        <v>2725</v>
      </c>
      <c r="B756" s="8" t="s">
        <v>5230</v>
      </c>
      <c r="C756" s="7" t="s">
        <v>5232</v>
      </c>
      <c r="D756" s="7" t="s">
        <v>16</v>
      </c>
      <c r="E756" s="7" t="s">
        <v>3803</v>
      </c>
      <c r="F756" s="7" t="s">
        <v>16</v>
      </c>
    </row>
    <row r="757" ht="22.5" customHeight="1">
      <c r="A757" s="7" t="s">
        <v>3827</v>
      </c>
      <c r="B757" s="8" t="s">
        <v>5233</v>
      </c>
      <c r="C757" s="7" t="s">
        <v>5234</v>
      </c>
      <c r="D757" s="7" t="s">
        <v>26</v>
      </c>
      <c r="E757" s="7" t="s">
        <v>16</v>
      </c>
      <c r="F757" s="7" t="s">
        <v>16</v>
      </c>
    </row>
    <row r="758" ht="22.5" customHeight="1">
      <c r="A758" s="7" t="s">
        <v>3827</v>
      </c>
      <c r="B758" s="8" t="s">
        <v>5235</v>
      </c>
      <c r="C758" s="7" t="s">
        <v>5236</v>
      </c>
      <c r="D758" s="7" t="s">
        <v>26</v>
      </c>
      <c r="E758" s="7" t="s">
        <v>16</v>
      </c>
      <c r="F758" s="7" t="s">
        <v>16</v>
      </c>
    </row>
    <row r="759" ht="22.5" customHeight="1">
      <c r="A759" s="7" t="s">
        <v>3827</v>
      </c>
      <c r="B759" s="8" t="s">
        <v>5237</v>
      </c>
      <c r="C759" s="7" t="s">
        <v>5238</v>
      </c>
      <c r="D759" s="7" t="s">
        <v>26</v>
      </c>
      <c r="E759" s="7" t="s">
        <v>16</v>
      </c>
      <c r="F759" s="7" t="s">
        <v>16</v>
      </c>
    </row>
    <row r="760" ht="22.5" customHeight="1">
      <c r="A760" s="7" t="s">
        <v>3827</v>
      </c>
      <c r="B760" s="8" t="s">
        <v>5239</v>
      </c>
      <c r="C760" s="7" t="s">
        <v>5240</v>
      </c>
      <c r="D760" s="7" t="s">
        <v>26</v>
      </c>
      <c r="E760" s="7" t="s">
        <v>16</v>
      </c>
      <c r="F760" s="7" t="s">
        <v>16</v>
      </c>
    </row>
    <row r="761" ht="22.5" customHeight="1">
      <c r="A761" s="7" t="s">
        <v>3827</v>
      </c>
      <c r="B761" s="8" t="s">
        <v>5239</v>
      </c>
      <c r="C761" s="7" t="s">
        <v>5241</v>
      </c>
      <c r="D761" s="7" t="s">
        <v>26</v>
      </c>
      <c r="E761" s="7" t="s">
        <v>16</v>
      </c>
      <c r="F761" s="7" t="s">
        <v>16</v>
      </c>
    </row>
    <row r="762" ht="22.5" customHeight="1">
      <c r="A762" s="7" t="s">
        <v>3827</v>
      </c>
      <c r="B762" s="8" t="s">
        <v>5242</v>
      </c>
      <c r="C762" s="7" t="s">
        <v>5243</v>
      </c>
      <c r="D762" s="7" t="s">
        <v>26</v>
      </c>
      <c r="E762" s="7" t="s">
        <v>16</v>
      </c>
      <c r="F762" s="7" t="s">
        <v>16</v>
      </c>
    </row>
    <row r="763" ht="22.5" customHeight="1">
      <c r="A763" s="7" t="s">
        <v>3800</v>
      </c>
      <c r="B763" s="8" t="s">
        <v>5244</v>
      </c>
      <c r="C763" s="7" t="s">
        <v>5245</v>
      </c>
      <c r="D763" s="7" t="s">
        <v>26</v>
      </c>
      <c r="E763" s="7" t="s">
        <v>16</v>
      </c>
      <c r="F763" s="7" t="s">
        <v>16</v>
      </c>
    </row>
    <row r="764" ht="22.5" customHeight="1">
      <c r="A764" s="7" t="s">
        <v>3807</v>
      </c>
      <c r="B764" s="8" t="s">
        <v>5246</v>
      </c>
      <c r="C764" s="7" t="s">
        <v>5247</v>
      </c>
      <c r="D764" s="7" t="s">
        <v>16</v>
      </c>
      <c r="E764" s="7" t="s">
        <v>3806</v>
      </c>
      <c r="F764" s="7" t="s">
        <v>16</v>
      </c>
    </row>
    <row r="765" ht="22.5" customHeight="1">
      <c r="A765" s="7" t="s">
        <v>3800</v>
      </c>
      <c r="B765" s="8" t="s">
        <v>5248</v>
      </c>
      <c r="C765" s="7" t="s">
        <v>5249</v>
      </c>
      <c r="D765" s="7" t="s">
        <v>26</v>
      </c>
      <c r="E765" s="7" t="s">
        <v>16</v>
      </c>
      <c r="F765" s="7" t="s">
        <v>16</v>
      </c>
    </row>
    <row r="766" ht="22.5" customHeight="1">
      <c r="A766" s="7" t="s">
        <v>3800</v>
      </c>
      <c r="B766" s="8" t="s">
        <v>5250</v>
      </c>
      <c r="C766" s="7" t="s">
        <v>5251</v>
      </c>
      <c r="D766" s="7" t="s">
        <v>26</v>
      </c>
      <c r="E766" s="7" t="s">
        <v>16</v>
      </c>
      <c r="F766" s="7" t="s">
        <v>16</v>
      </c>
    </row>
    <row r="767" ht="22.5" customHeight="1">
      <c r="A767" s="7" t="s">
        <v>3837</v>
      </c>
      <c r="B767" s="8" t="s">
        <v>5252</v>
      </c>
      <c r="C767" s="7" t="s">
        <v>5253</v>
      </c>
      <c r="D767" s="7" t="s">
        <v>26</v>
      </c>
      <c r="E767" s="7" t="s">
        <v>16</v>
      </c>
      <c r="F767" s="7" t="s">
        <v>16</v>
      </c>
    </row>
    <row r="768" ht="22.5" customHeight="1">
      <c r="A768" s="7" t="s">
        <v>3837</v>
      </c>
      <c r="B768" s="8" t="s">
        <v>5252</v>
      </c>
      <c r="C768" s="7" t="s">
        <v>5254</v>
      </c>
      <c r="D768" s="7" t="s">
        <v>26</v>
      </c>
      <c r="E768" s="7" t="s">
        <v>16</v>
      </c>
      <c r="F768" s="7" t="s">
        <v>16</v>
      </c>
    </row>
    <row r="769" ht="22.5" customHeight="1">
      <c r="A769" s="7" t="s">
        <v>3827</v>
      </c>
      <c r="B769" s="8" t="s">
        <v>5255</v>
      </c>
      <c r="C769" s="7" t="s">
        <v>5256</v>
      </c>
      <c r="D769" s="7" t="s">
        <v>16</v>
      </c>
      <c r="E769" s="7" t="s">
        <v>3799</v>
      </c>
      <c r="F769" s="7" t="s">
        <v>3879</v>
      </c>
    </row>
    <row r="770" ht="22.5" customHeight="1">
      <c r="A770" s="7" t="s">
        <v>3800</v>
      </c>
      <c r="B770" s="8" t="s">
        <v>5257</v>
      </c>
      <c r="C770" s="7" t="s">
        <v>5258</v>
      </c>
      <c r="D770" s="7" t="s">
        <v>16</v>
      </c>
      <c r="E770" s="7" t="s">
        <v>3799</v>
      </c>
      <c r="F770" s="7" t="s">
        <v>16</v>
      </c>
    </row>
    <row r="771" ht="22.5" customHeight="1">
      <c r="A771" s="7" t="s">
        <v>2327</v>
      </c>
      <c r="B771" s="8" t="s">
        <v>5259</v>
      </c>
      <c r="C771" s="7" t="s">
        <v>5260</v>
      </c>
      <c r="D771" s="7" t="s">
        <v>3951</v>
      </c>
      <c r="E771" s="7" t="s">
        <v>3803</v>
      </c>
      <c r="F771" s="7" t="s">
        <v>3952</v>
      </c>
    </row>
    <row r="772" ht="22.5" customHeight="1">
      <c r="A772" s="7" t="s">
        <v>2725</v>
      </c>
      <c r="B772" s="8" t="s">
        <v>5261</v>
      </c>
      <c r="C772" s="7" t="s">
        <v>5262</v>
      </c>
      <c r="D772" s="7" t="s">
        <v>16</v>
      </c>
      <c r="E772" s="7" t="s">
        <v>3812</v>
      </c>
      <c r="F772" s="7" t="s">
        <v>4107</v>
      </c>
    </row>
    <row r="773" ht="22.5" customHeight="1">
      <c r="A773" s="7" t="s">
        <v>2725</v>
      </c>
      <c r="B773" s="8" t="s">
        <v>5261</v>
      </c>
      <c r="C773" s="7" t="s">
        <v>5263</v>
      </c>
      <c r="D773" s="7" t="s">
        <v>26</v>
      </c>
      <c r="E773" s="7" t="s">
        <v>16</v>
      </c>
      <c r="F773" s="7" t="s">
        <v>16</v>
      </c>
    </row>
    <row r="774" ht="22.5" customHeight="1">
      <c r="A774" s="7" t="s">
        <v>3800</v>
      </c>
      <c r="B774" s="8" t="s">
        <v>5264</v>
      </c>
      <c r="C774" s="7" t="s">
        <v>5265</v>
      </c>
      <c r="D774" s="7" t="s">
        <v>16</v>
      </c>
      <c r="E774" s="7" t="s">
        <v>3799</v>
      </c>
      <c r="F774" s="7" t="s">
        <v>4107</v>
      </c>
    </row>
    <row r="775" ht="22.5" customHeight="1">
      <c r="A775" s="7" t="s">
        <v>3800</v>
      </c>
      <c r="B775" s="8" t="s">
        <v>5266</v>
      </c>
      <c r="C775" s="7" t="s">
        <v>5267</v>
      </c>
      <c r="D775" s="7" t="s">
        <v>26</v>
      </c>
      <c r="E775" s="7" t="s">
        <v>16</v>
      </c>
      <c r="F775" s="7" t="s">
        <v>16</v>
      </c>
    </row>
    <row r="776" ht="22.5" customHeight="1">
      <c r="A776" s="7" t="s">
        <v>3871</v>
      </c>
      <c r="B776" s="8" t="s">
        <v>5268</v>
      </c>
      <c r="C776" s="7" t="s">
        <v>5269</v>
      </c>
      <c r="D776" s="7" t="s">
        <v>26</v>
      </c>
      <c r="E776" s="7" t="s">
        <v>16</v>
      </c>
      <c r="F776" s="7" t="s">
        <v>16</v>
      </c>
    </row>
    <row r="777" ht="22.5" customHeight="1">
      <c r="A777" s="7" t="s">
        <v>2725</v>
      </c>
      <c r="B777" s="8" t="s">
        <v>5270</v>
      </c>
      <c r="C777" s="7" t="s">
        <v>5271</v>
      </c>
      <c r="D777" s="7" t="s">
        <v>16</v>
      </c>
      <c r="E777" s="7" t="s">
        <v>3803</v>
      </c>
      <c r="F777" s="7" t="s">
        <v>16</v>
      </c>
    </row>
    <row r="778" ht="22.5" customHeight="1">
      <c r="A778" s="7" t="s">
        <v>2725</v>
      </c>
      <c r="B778" s="8" t="s">
        <v>5270</v>
      </c>
      <c r="C778" s="7" t="s">
        <v>5272</v>
      </c>
      <c r="D778" s="7" t="s">
        <v>26</v>
      </c>
      <c r="E778" s="7" t="s">
        <v>16</v>
      </c>
      <c r="F778" s="7" t="s">
        <v>16</v>
      </c>
    </row>
    <row r="779" ht="22.5" customHeight="1">
      <c r="A779" s="7" t="s">
        <v>3807</v>
      </c>
      <c r="B779" s="8" t="s">
        <v>5273</v>
      </c>
      <c r="C779" s="7" t="s">
        <v>5274</v>
      </c>
      <c r="D779" s="7" t="s">
        <v>16</v>
      </c>
      <c r="E779" s="7" t="s">
        <v>3803</v>
      </c>
      <c r="F779" s="7" t="s">
        <v>16</v>
      </c>
    </row>
    <row r="780" ht="22.5" customHeight="1">
      <c r="A780" s="7" t="s">
        <v>3827</v>
      </c>
      <c r="B780" s="8" t="s">
        <v>5275</v>
      </c>
      <c r="C780" s="7" t="s">
        <v>5276</v>
      </c>
      <c r="D780" s="7" t="s">
        <v>26</v>
      </c>
      <c r="E780" s="7" t="s">
        <v>16</v>
      </c>
      <c r="F780" s="7" t="s">
        <v>16</v>
      </c>
    </row>
    <row r="781" ht="22.5" customHeight="1">
      <c r="A781" s="7" t="s">
        <v>3800</v>
      </c>
      <c r="B781" s="8" t="s">
        <v>5277</v>
      </c>
      <c r="C781" s="7" t="s">
        <v>5278</v>
      </c>
      <c r="D781" s="7" t="s">
        <v>26</v>
      </c>
      <c r="E781" s="7" t="s">
        <v>16</v>
      </c>
      <c r="F781" s="7" t="s">
        <v>16</v>
      </c>
    </row>
    <row r="782" ht="22.5" customHeight="1">
      <c r="A782" s="7" t="s">
        <v>2725</v>
      </c>
      <c r="B782" s="8" t="s">
        <v>5279</v>
      </c>
      <c r="C782" s="7" t="s">
        <v>5280</v>
      </c>
      <c r="D782" s="7" t="s">
        <v>26</v>
      </c>
      <c r="E782" s="7" t="s">
        <v>16</v>
      </c>
      <c r="F782" s="7" t="s">
        <v>16</v>
      </c>
    </row>
    <row r="783" ht="22.5" customHeight="1">
      <c r="A783" s="7" t="s">
        <v>3837</v>
      </c>
      <c r="B783" s="8" t="s">
        <v>5281</v>
      </c>
      <c r="C783" s="7" t="s">
        <v>5282</v>
      </c>
      <c r="D783" s="7" t="s">
        <v>26</v>
      </c>
      <c r="E783" s="7" t="s">
        <v>16</v>
      </c>
      <c r="F783" s="7" t="s">
        <v>16</v>
      </c>
    </row>
    <row r="784" ht="22.5" customHeight="1">
      <c r="A784" s="7" t="s">
        <v>3800</v>
      </c>
      <c r="B784" s="8" t="s">
        <v>5283</v>
      </c>
      <c r="C784" s="7" t="s">
        <v>5284</v>
      </c>
      <c r="D784" s="7" t="s">
        <v>26</v>
      </c>
      <c r="E784" s="7" t="s">
        <v>16</v>
      </c>
      <c r="F784" s="7" t="s">
        <v>16</v>
      </c>
    </row>
    <row r="785" ht="22.5" customHeight="1">
      <c r="A785" s="7" t="s">
        <v>3807</v>
      </c>
      <c r="B785" s="8" t="s">
        <v>5285</v>
      </c>
      <c r="C785" s="7" t="s">
        <v>5286</v>
      </c>
      <c r="D785" s="7" t="s">
        <v>26</v>
      </c>
      <c r="E785" s="7" t="s">
        <v>16</v>
      </c>
      <c r="F785" s="7" t="s">
        <v>16</v>
      </c>
    </row>
    <row r="786" ht="22.5" customHeight="1">
      <c r="A786" s="7" t="s">
        <v>3827</v>
      </c>
      <c r="B786" s="8" t="s">
        <v>5287</v>
      </c>
      <c r="C786" s="7" t="s">
        <v>5288</v>
      </c>
      <c r="D786" s="7" t="s">
        <v>26</v>
      </c>
      <c r="E786" s="7" t="s">
        <v>16</v>
      </c>
      <c r="F786" s="7" t="s">
        <v>16</v>
      </c>
    </row>
    <row r="787" ht="22.5" customHeight="1">
      <c r="A787" s="7" t="s">
        <v>3827</v>
      </c>
      <c r="B787" s="8" t="s">
        <v>5289</v>
      </c>
      <c r="C787" s="7" t="s">
        <v>5290</v>
      </c>
      <c r="D787" s="7" t="s">
        <v>26</v>
      </c>
      <c r="E787" s="7" t="s">
        <v>16</v>
      </c>
      <c r="F787" s="7" t="s">
        <v>16</v>
      </c>
    </row>
    <row r="788" ht="22.5" customHeight="1">
      <c r="A788" s="7" t="s">
        <v>3800</v>
      </c>
      <c r="B788" s="8" t="s">
        <v>5291</v>
      </c>
      <c r="C788" s="7" t="s">
        <v>5292</v>
      </c>
      <c r="D788" s="7" t="s">
        <v>26</v>
      </c>
      <c r="E788" s="7" t="s">
        <v>16</v>
      </c>
      <c r="F788" s="7" t="s">
        <v>16</v>
      </c>
    </row>
    <row r="789" ht="22.5" customHeight="1">
      <c r="A789" s="7" t="s">
        <v>3800</v>
      </c>
      <c r="B789" s="8" t="s">
        <v>5293</v>
      </c>
      <c r="C789" s="7" t="s">
        <v>5294</v>
      </c>
      <c r="D789" s="7" t="s">
        <v>26</v>
      </c>
      <c r="E789" s="7" t="s">
        <v>16</v>
      </c>
      <c r="F789" s="7" t="s">
        <v>16</v>
      </c>
    </row>
    <row r="790" ht="22.5" customHeight="1">
      <c r="A790" s="7" t="s">
        <v>3800</v>
      </c>
      <c r="B790" s="8" t="s">
        <v>5295</v>
      </c>
      <c r="C790" s="7" t="s">
        <v>5296</v>
      </c>
      <c r="D790" s="7" t="s">
        <v>26</v>
      </c>
      <c r="E790" s="7" t="s">
        <v>16</v>
      </c>
      <c r="F790" s="7" t="s">
        <v>16</v>
      </c>
    </row>
    <row r="791" ht="22.5" customHeight="1">
      <c r="A791" s="7" t="s">
        <v>3800</v>
      </c>
      <c r="B791" s="8" t="s">
        <v>5297</v>
      </c>
      <c r="C791" s="7" t="s">
        <v>5298</v>
      </c>
      <c r="D791" s="7" t="s">
        <v>26</v>
      </c>
      <c r="E791" s="7" t="s">
        <v>16</v>
      </c>
      <c r="F791" s="7" t="s">
        <v>16</v>
      </c>
    </row>
    <row r="792" ht="22.5" customHeight="1">
      <c r="A792" s="7" t="s">
        <v>3800</v>
      </c>
      <c r="B792" s="8" t="s">
        <v>5299</v>
      </c>
      <c r="C792" s="7" t="s">
        <v>5300</v>
      </c>
      <c r="D792" s="7" t="s">
        <v>16</v>
      </c>
      <c r="E792" s="7" t="s">
        <v>3806</v>
      </c>
      <c r="F792" s="7" t="s">
        <v>16</v>
      </c>
    </row>
    <row r="793" ht="22.5" customHeight="1">
      <c r="A793" s="7" t="s">
        <v>3837</v>
      </c>
      <c r="B793" s="8" t="s">
        <v>5301</v>
      </c>
      <c r="C793" s="7" t="s">
        <v>5302</v>
      </c>
      <c r="D793" s="7" t="s">
        <v>16</v>
      </c>
      <c r="E793" s="7" t="s">
        <v>3806</v>
      </c>
      <c r="F793" s="7" t="s">
        <v>16</v>
      </c>
    </row>
    <row r="794" ht="22.5" customHeight="1">
      <c r="A794" s="7" t="s">
        <v>3827</v>
      </c>
      <c r="B794" s="8" t="s">
        <v>5303</v>
      </c>
      <c r="C794" s="7" t="s">
        <v>5304</v>
      </c>
      <c r="D794" s="7" t="s">
        <v>16</v>
      </c>
      <c r="E794" s="7" t="s">
        <v>3806</v>
      </c>
      <c r="F794" s="7" t="s">
        <v>3884</v>
      </c>
    </row>
    <row r="795" ht="22.5" customHeight="1">
      <c r="A795" s="7" t="s">
        <v>2327</v>
      </c>
      <c r="B795" s="8" t="s">
        <v>5305</v>
      </c>
      <c r="C795" s="7" t="s">
        <v>5306</v>
      </c>
      <c r="D795" s="7" t="s">
        <v>16</v>
      </c>
      <c r="E795" s="7" t="s">
        <v>3803</v>
      </c>
      <c r="F795" s="7" t="s">
        <v>3850</v>
      </c>
    </row>
    <row r="796" ht="22.5" customHeight="1">
      <c r="A796" s="7" t="s">
        <v>2327</v>
      </c>
      <c r="B796" s="8" t="s">
        <v>5305</v>
      </c>
      <c r="C796" s="7" t="s">
        <v>5307</v>
      </c>
      <c r="D796" s="7" t="s">
        <v>26</v>
      </c>
      <c r="E796" s="7" t="s">
        <v>16</v>
      </c>
      <c r="F796" s="7" t="s">
        <v>16</v>
      </c>
    </row>
    <row r="797" ht="22.5" customHeight="1">
      <c r="A797" s="7" t="s">
        <v>3800</v>
      </c>
      <c r="B797" s="8" t="s">
        <v>5308</v>
      </c>
      <c r="C797" s="7" t="s">
        <v>5309</v>
      </c>
      <c r="D797" s="7" t="s">
        <v>16</v>
      </c>
      <c r="E797" s="7" t="s">
        <v>3806</v>
      </c>
      <c r="F797" s="7" t="s">
        <v>16</v>
      </c>
    </row>
    <row r="798" ht="22.5" customHeight="1">
      <c r="A798" s="7" t="s">
        <v>3827</v>
      </c>
      <c r="B798" s="8" t="s">
        <v>5310</v>
      </c>
      <c r="C798" s="7" t="s">
        <v>5311</v>
      </c>
      <c r="D798" s="7" t="s">
        <v>26</v>
      </c>
      <c r="E798" s="7" t="s">
        <v>16</v>
      </c>
      <c r="F798" s="7" t="s">
        <v>16</v>
      </c>
    </row>
    <row r="799" ht="22.5" customHeight="1">
      <c r="A799" s="7" t="s">
        <v>2327</v>
      </c>
      <c r="B799" s="8" t="s">
        <v>5312</v>
      </c>
      <c r="C799" s="7" t="s">
        <v>5313</v>
      </c>
      <c r="D799" s="7" t="s">
        <v>16</v>
      </c>
      <c r="E799" s="7" t="s">
        <v>3812</v>
      </c>
      <c r="F799" s="7" t="s">
        <v>16</v>
      </c>
    </row>
    <row r="800" ht="22.5" customHeight="1">
      <c r="A800" s="7" t="s">
        <v>2327</v>
      </c>
      <c r="B800" s="8" t="s">
        <v>5312</v>
      </c>
      <c r="C800" s="7" t="s">
        <v>5314</v>
      </c>
      <c r="D800" s="7" t="s">
        <v>26</v>
      </c>
      <c r="E800" s="7" t="s">
        <v>16</v>
      </c>
      <c r="F800" s="7" t="s">
        <v>16</v>
      </c>
    </row>
    <row r="801" ht="22.5" customHeight="1">
      <c r="A801" s="7" t="s">
        <v>2327</v>
      </c>
      <c r="B801" s="8" t="s">
        <v>5312</v>
      </c>
      <c r="C801" s="7" t="s">
        <v>5315</v>
      </c>
      <c r="D801" s="7" t="s">
        <v>26</v>
      </c>
      <c r="E801" s="7" t="s">
        <v>16</v>
      </c>
      <c r="F801" s="7" t="s">
        <v>16</v>
      </c>
    </row>
    <row r="802" ht="22.5" customHeight="1">
      <c r="A802" s="7" t="s">
        <v>2725</v>
      </c>
      <c r="B802" s="8" t="s">
        <v>5316</v>
      </c>
      <c r="C802" s="7" t="s">
        <v>5317</v>
      </c>
      <c r="D802" s="7" t="s">
        <v>16</v>
      </c>
      <c r="E802" s="7" t="s">
        <v>3812</v>
      </c>
      <c r="F802" s="7" t="s">
        <v>16</v>
      </c>
    </row>
    <row r="803" ht="22.5" customHeight="1">
      <c r="A803" s="7" t="s">
        <v>3827</v>
      </c>
      <c r="B803" s="8" t="s">
        <v>5318</v>
      </c>
      <c r="C803" s="7" t="s">
        <v>5319</v>
      </c>
      <c r="D803" s="7" t="s">
        <v>26</v>
      </c>
      <c r="E803" s="7" t="s">
        <v>16</v>
      </c>
      <c r="F803" s="7" t="s">
        <v>16</v>
      </c>
    </row>
    <row r="804" ht="22.5" customHeight="1">
      <c r="A804" s="7" t="s">
        <v>3800</v>
      </c>
      <c r="B804" s="8" t="s">
        <v>5320</v>
      </c>
      <c r="C804" s="7" t="s">
        <v>5321</v>
      </c>
      <c r="D804" s="7" t="s">
        <v>16</v>
      </c>
      <c r="E804" s="7" t="s">
        <v>3806</v>
      </c>
      <c r="F804" s="7" t="s">
        <v>16</v>
      </c>
    </row>
    <row r="805" ht="22.5" customHeight="1">
      <c r="A805" s="7" t="s">
        <v>3800</v>
      </c>
      <c r="B805" s="8" t="s">
        <v>5320</v>
      </c>
      <c r="C805" s="7" t="s">
        <v>5322</v>
      </c>
      <c r="D805" s="7" t="s">
        <v>16</v>
      </c>
      <c r="E805" s="7" t="s">
        <v>3806</v>
      </c>
      <c r="F805" s="7" t="s">
        <v>16</v>
      </c>
    </row>
    <row r="806" ht="22.5" customHeight="1">
      <c r="A806" s="7" t="s">
        <v>3827</v>
      </c>
      <c r="B806" s="8" t="s">
        <v>5323</v>
      </c>
      <c r="C806" s="7" t="s">
        <v>5324</v>
      </c>
      <c r="D806" s="7" t="s">
        <v>16</v>
      </c>
      <c r="E806" s="7" t="s">
        <v>3799</v>
      </c>
      <c r="F806" s="7" t="s">
        <v>16</v>
      </c>
    </row>
    <row r="807" ht="22.5" customHeight="1">
      <c r="A807" s="7" t="s">
        <v>3800</v>
      </c>
      <c r="B807" s="8" t="s">
        <v>5325</v>
      </c>
      <c r="C807" s="7" t="s">
        <v>5326</v>
      </c>
      <c r="D807" s="7" t="s">
        <v>151</v>
      </c>
      <c r="E807" s="7" t="s">
        <v>3799</v>
      </c>
      <c r="F807" s="7" t="s">
        <v>16</v>
      </c>
    </row>
    <row r="808" ht="22.5" customHeight="1">
      <c r="A808" s="7" t="s">
        <v>2327</v>
      </c>
      <c r="B808" s="8" t="s">
        <v>5327</v>
      </c>
      <c r="C808" s="7" t="s">
        <v>5328</v>
      </c>
      <c r="D808" s="7" t="s">
        <v>16</v>
      </c>
      <c r="E808" s="7" t="s">
        <v>3799</v>
      </c>
      <c r="F808" s="7" t="s">
        <v>16</v>
      </c>
    </row>
    <row r="809" ht="22.5" customHeight="1">
      <c r="A809" s="7" t="s">
        <v>2327</v>
      </c>
      <c r="B809" s="8" t="s">
        <v>5329</v>
      </c>
      <c r="C809" s="7" t="s">
        <v>5330</v>
      </c>
      <c r="D809" s="7" t="s">
        <v>5331</v>
      </c>
      <c r="E809" s="7" t="s">
        <v>16</v>
      </c>
      <c r="F809" s="7" t="s">
        <v>16</v>
      </c>
    </row>
    <row r="810" ht="22.5" customHeight="1">
      <c r="A810" s="7" t="s">
        <v>2327</v>
      </c>
      <c r="B810" s="8" t="s">
        <v>5329</v>
      </c>
      <c r="C810" s="7" t="s">
        <v>5332</v>
      </c>
      <c r="D810" s="7" t="s">
        <v>5331</v>
      </c>
      <c r="E810" s="7" t="s">
        <v>16</v>
      </c>
      <c r="F810" s="7" t="s">
        <v>16</v>
      </c>
    </row>
    <row r="811" ht="22.5" customHeight="1">
      <c r="A811" s="7" t="s">
        <v>2327</v>
      </c>
      <c r="B811" s="8" t="s">
        <v>5329</v>
      </c>
      <c r="C811" s="7" t="s">
        <v>5333</v>
      </c>
      <c r="D811" s="7" t="s">
        <v>5331</v>
      </c>
      <c r="E811" s="7" t="s">
        <v>16</v>
      </c>
      <c r="F811" s="7" t="s">
        <v>16</v>
      </c>
    </row>
    <row r="812" ht="22.5" customHeight="1">
      <c r="A812" s="7" t="s">
        <v>3837</v>
      </c>
      <c r="B812" s="8" t="s">
        <v>5334</v>
      </c>
      <c r="C812" s="7" t="s">
        <v>5335</v>
      </c>
      <c r="D812" s="7" t="s">
        <v>5331</v>
      </c>
      <c r="E812" s="7" t="s">
        <v>3806</v>
      </c>
      <c r="F812" s="7" t="s">
        <v>16</v>
      </c>
    </row>
    <row r="813" ht="22.5" customHeight="1">
      <c r="A813" s="7" t="s">
        <v>3800</v>
      </c>
      <c r="B813" s="8" t="s">
        <v>5336</v>
      </c>
      <c r="C813" s="7" t="s">
        <v>5337</v>
      </c>
      <c r="D813" s="7" t="s">
        <v>5331</v>
      </c>
      <c r="E813" s="7" t="s">
        <v>16</v>
      </c>
      <c r="F813" s="7" t="s">
        <v>16</v>
      </c>
    </row>
    <row r="814" ht="22.5" customHeight="1">
      <c r="A814" s="7" t="s">
        <v>2725</v>
      </c>
      <c r="B814" s="8" t="s">
        <v>5338</v>
      </c>
      <c r="C814" s="7" t="s">
        <v>5339</v>
      </c>
      <c r="D814" s="7" t="s">
        <v>5331</v>
      </c>
      <c r="E814" s="7" t="s">
        <v>3806</v>
      </c>
      <c r="F814" s="7" t="s">
        <v>16</v>
      </c>
    </row>
    <row r="815" ht="22.5" customHeight="1">
      <c r="A815" s="7" t="s">
        <v>2725</v>
      </c>
      <c r="B815" s="8" t="s">
        <v>5338</v>
      </c>
      <c r="C815" s="7" t="s">
        <v>5340</v>
      </c>
      <c r="D815" s="7" t="s">
        <v>5331</v>
      </c>
      <c r="E815" s="7" t="s">
        <v>3806</v>
      </c>
      <c r="F815" s="7" t="s">
        <v>16</v>
      </c>
    </row>
    <row r="816" ht="22.5" customHeight="1">
      <c r="A816" s="7" t="s">
        <v>2725</v>
      </c>
      <c r="B816" s="8" t="s">
        <v>5338</v>
      </c>
      <c r="C816" s="7" t="s">
        <v>5341</v>
      </c>
      <c r="D816" s="7" t="s">
        <v>5331</v>
      </c>
      <c r="E816" s="7" t="s">
        <v>3806</v>
      </c>
      <c r="F816" s="7" t="s">
        <v>16</v>
      </c>
    </row>
    <row r="817" ht="22.5" customHeight="1">
      <c r="A817" s="7" t="s">
        <v>2725</v>
      </c>
      <c r="B817" s="8" t="s">
        <v>5338</v>
      </c>
      <c r="C817" s="7" t="s">
        <v>5342</v>
      </c>
      <c r="D817" s="7" t="s">
        <v>5331</v>
      </c>
      <c r="E817" s="7" t="s">
        <v>3806</v>
      </c>
      <c r="F817" s="7" t="s">
        <v>16</v>
      </c>
    </row>
    <row r="818" ht="22.5" customHeight="1">
      <c r="A818" s="7" t="s">
        <v>3807</v>
      </c>
      <c r="B818" s="8" t="s">
        <v>5343</v>
      </c>
      <c r="C818" s="7" t="s">
        <v>5344</v>
      </c>
      <c r="D818" s="7" t="s">
        <v>5331</v>
      </c>
      <c r="E818" s="7" t="s">
        <v>3806</v>
      </c>
      <c r="F818" s="7" t="s">
        <v>16</v>
      </c>
    </row>
    <row r="819" ht="22.5" customHeight="1">
      <c r="A819" s="7" t="s">
        <v>3837</v>
      </c>
      <c r="B819" s="8" t="s">
        <v>5345</v>
      </c>
      <c r="C819" s="7" t="s">
        <v>5346</v>
      </c>
      <c r="D819" s="7" t="s">
        <v>5331</v>
      </c>
      <c r="E819" s="7" t="s">
        <v>3806</v>
      </c>
      <c r="F819" s="7" t="s">
        <v>16</v>
      </c>
    </row>
    <row r="820" ht="22.5" customHeight="1">
      <c r="A820" s="7" t="s">
        <v>3837</v>
      </c>
      <c r="B820" s="8" t="s">
        <v>5345</v>
      </c>
      <c r="C820" s="7" t="s">
        <v>5347</v>
      </c>
      <c r="D820" s="7" t="s">
        <v>5331</v>
      </c>
      <c r="E820" s="7" t="s">
        <v>3806</v>
      </c>
      <c r="F820" s="7" t="s">
        <v>16</v>
      </c>
    </row>
    <row r="821" ht="22.5" customHeight="1">
      <c r="A821" s="7" t="s">
        <v>3837</v>
      </c>
      <c r="B821" s="8" t="s">
        <v>5345</v>
      </c>
      <c r="C821" s="7" t="s">
        <v>5348</v>
      </c>
      <c r="D821" s="7" t="s">
        <v>5331</v>
      </c>
      <c r="E821" s="7" t="s">
        <v>3806</v>
      </c>
      <c r="F821" s="7" t="s">
        <v>16</v>
      </c>
    </row>
    <row r="822" ht="22.5" customHeight="1">
      <c r="A822" s="7" t="s">
        <v>3807</v>
      </c>
      <c r="B822" s="8" t="s">
        <v>5349</v>
      </c>
      <c r="C822" s="7" t="s">
        <v>5350</v>
      </c>
      <c r="D822" s="7" t="s">
        <v>5331</v>
      </c>
      <c r="E822" s="7" t="s">
        <v>3806</v>
      </c>
      <c r="F822" s="7" t="s">
        <v>16</v>
      </c>
    </row>
    <row r="823" ht="22.5" customHeight="1">
      <c r="A823" s="7" t="s">
        <v>3807</v>
      </c>
      <c r="B823" s="8" t="s">
        <v>5349</v>
      </c>
      <c r="C823" s="7" t="s">
        <v>5351</v>
      </c>
      <c r="D823" s="7" t="s">
        <v>5331</v>
      </c>
      <c r="E823" s="7" t="s">
        <v>3806</v>
      </c>
      <c r="F823" s="7" t="s">
        <v>16</v>
      </c>
    </row>
    <row r="824" ht="22.5" customHeight="1">
      <c r="A824" s="7" t="s">
        <v>3807</v>
      </c>
      <c r="B824" s="8" t="s">
        <v>5349</v>
      </c>
      <c r="C824" s="7" t="s">
        <v>5352</v>
      </c>
      <c r="D824" s="7" t="s">
        <v>5331</v>
      </c>
      <c r="E824" s="7" t="s">
        <v>3806</v>
      </c>
      <c r="F824" s="7" t="s">
        <v>16</v>
      </c>
    </row>
    <row r="825" ht="22.5" customHeight="1">
      <c r="A825" s="7" t="s">
        <v>3871</v>
      </c>
      <c r="B825" s="8" t="s">
        <v>5353</v>
      </c>
      <c r="C825" s="7" t="s">
        <v>5354</v>
      </c>
      <c r="D825" s="7" t="s">
        <v>3871</v>
      </c>
      <c r="E825" s="7" t="s">
        <v>3806</v>
      </c>
      <c r="F825" s="7" t="s">
        <v>16</v>
      </c>
    </row>
    <row r="826" ht="22.5" customHeight="1">
      <c r="A826" s="7" t="s">
        <v>3800</v>
      </c>
      <c r="B826" s="8" t="s">
        <v>5355</v>
      </c>
      <c r="C826" s="7" t="s">
        <v>5356</v>
      </c>
      <c r="D826" s="7" t="s">
        <v>16</v>
      </c>
      <c r="E826" s="7" t="s">
        <v>3799</v>
      </c>
      <c r="F826" s="7" t="s">
        <v>16</v>
      </c>
    </row>
    <row r="827" ht="22.5" customHeight="1">
      <c r="A827" s="7" t="s">
        <v>2725</v>
      </c>
      <c r="B827" s="8" t="s">
        <v>5357</v>
      </c>
      <c r="C827" s="7" t="s">
        <v>5358</v>
      </c>
      <c r="D827" s="7" t="s">
        <v>16</v>
      </c>
      <c r="E827" s="7" t="s">
        <v>3799</v>
      </c>
      <c r="F827" s="7" t="s">
        <v>16</v>
      </c>
    </row>
    <row r="828" ht="22.5" customHeight="1">
      <c r="A828" s="7" t="s">
        <v>3827</v>
      </c>
      <c r="B828" s="8" t="s">
        <v>5359</v>
      </c>
      <c r="C828" s="7" t="s">
        <v>5360</v>
      </c>
      <c r="D828" s="7" t="s">
        <v>16</v>
      </c>
      <c r="E828" s="7" t="s">
        <v>3803</v>
      </c>
      <c r="F828" s="7" t="s">
        <v>4339</v>
      </c>
    </row>
    <row r="829" ht="22.5" customHeight="1">
      <c r="A829" s="7" t="s">
        <v>3871</v>
      </c>
      <c r="B829" s="8" t="s">
        <v>5361</v>
      </c>
      <c r="C829" s="7" t="s">
        <v>5362</v>
      </c>
      <c r="D829" s="7" t="s">
        <v>3871</v>
      </c>
      <c r="E829" s="7" t="s">
        <v>3806</v>
      </c>
      <c r="F829" s="7" t="s">
        <v>4339</v>
      </c>
    </row>
    <row r="830" ht="22.5" customHeight="1">
      <c r="A830" s="7" t="s">
        <v>2327</v>
      </c>
      <c r="B830" s="8" t="s">
        <v>5363</v>
      </c>
      <c r="C830" s="7" t="s">
        <v>5364</v>
      </c>
      <c r="D830" s="7" t="s">
        <v>16</v>
      </c>
      <c r="E830" s="7" t="s">
        <v>3803</v>
      </c>
      <c r="F830" s="7" t="s">
        <v>4339</v>
      </c>
    </row>
    <row r="831" ht="22.5" customHeight="1">
      <c r="A831" s="7" t="s">
        <v>3800</v>
      </c>
      <c r="B831" s="8" t="s">
        <v>5365</v>
      </c>
      <c r="C831" s="7" t="s">
        <v>5366</v>
      </c>
      <c r="D831" s="7" t="s">
        <v>16</v>
      </c>
      <c r="E831" s="7" t="s">
        <v>3803</v>
      </c>
      <c r="F831" s="7" t="s">
        <v>4339</v>
      </c>
    </row>
    <row r="832" ht="22.5" customHeight="1">
      <c r="A832" s="7" t="s">
        <v>3800</v>
      </c>
      <c r="B832" s="8" t="s">
        <v>5367</v>
      </c>
      <c r="C832" s="7" t="s">
        <v>5368</v>
      </c>
      <c r="D832" s="7" t="s">
        <v>16</v>
      </c>
      <c r="E832" s="7" t="s">
        <v>3806</v>
      </c>
      <c r="F832" s="7" t="s">
        <v>4339</v>
      </c>
    </row>
    <row r="833" ht="22.5" customHeight="1">
      <c r="A833" s="7" t="s">
        <v>3800</v>
      </c>
      <c r="B833" s="8" t="s">
        <v>5369</v>
      </c>
      <c r="C833" s="7" t="s">
        <v>5370</v>
      </c>
      <c r="D833" s="7" t="s">
        <v>16</v>
      </c>
      <c r="E833" s="7" t="s">
        <v>3803</v>
      </c>
      <c r="F833" s="7" t="s">
        <v>4339</v>
      </c>
    </row>
    <row r="834" ht="22.5" customHeight="1">
      <c r="A834" s="7" t="s">
        <v>3800</v>
      </c>
      <c r="B834" s="8" t="s">
        <v>5371</v>
      </c>
      <c r="C834" s="7" t="s">
        <v>5372</v>
      </c>
      <c r="D834" s="7" t="s">
        <v>16</v>
      </c>
      <c r="E834" s="7" t="s">
        <v>3803</v>
      </c>
      <c r="F834" s="7" t="s">
        <v>4339</v>
      </c>
    </row>
    <row r="835" ht="22.5" customHeight="1">
      <c r="A835" s="7" t="s">
        <v>3800</v>
      </c>
      <c r="B835" s="8" t="s">
        <v>5373</v>
      </c>
      <c r="C835" s="7" t="s">
        <v>5374</v>
      </c>
      <c r="D835" s="7" t="s">
        <v>16</v>
      </c>
      <c r="E835" s="7" t="s">
        <v>3812</v>
      </c>
      <c r="F835" s="7" t="s">
        <v>3879</v>
      </c>
    </row>
    <row r="836" ht="22.5" customHeight="1">
      <c r="A836" s="7" t="s">
        <v>3837</v>
      </c>
      <c r="B836" s="8" t="s">
        <v>5375</v>
      </c>
      <c r="C836" s="7" t="s">
        <v>5376</v>
      </c>
      <c r="D836" s="7" t="s">
        <v>16</v>
      </c>
      <c r="E836" s="7" t="s">
        <v>3799</v>
      </c>
      <c r="F836" s="7" t="s">
        <v>3879</v>
      </c>
    </row>
    <row r="837" ht="22.5" customHeight="1">
      <c r="A837" s="7" t="s">
        <v>3800</v>
      </c>
      <c r="B837" s="8" t="s">
        <v>5377</v>
      </c>
      <c r="C837" s="7" t="s">
        <v>5378</v>
      </c>
      <c r="D837" s="7" t="s">
        <v>151</v>
      </c>
      <c r="E837" s="7" t="s">
        <v>3799</v>
      </c>
      <c r="F837" s="7" t="s">
        <v>16</v>
      </c>
    </row>
    <row r="838" ht="22.5" customHeight="1">
      <c r="A838" s="7" t="s">
        <v>3827</v>
      </c>
      <c r="B838" s="8" t="s">
        <v>5379</v>
      </c>
      <c r="C838" s="7" t="s">
        <v>5380</v>
      </c>
      <c r="D838" s="7" t="s">
        <v>16</v>
      </c>
      <c r="E838" s="7" t="s">
        <v>3812</v>
      </c>
      <c r="F838" s="7" t="s">
        <v>16</v>
      </c>
    </row>
    <row r="839" ht="22.5" customHeight="1">
      <c r="A839" s="7" t="s">
        <v>3800</v>
      </c>
      <c r="B839" s="8" t="s">
        <v>5381</v>
      </c>
      <c r="C839" s="7" t="s">
        <v>5382</v>
      </c>
      <c r="D839" s="7" t="s">
        <v>151</v>
      </c>
      <c r="E839" s="7" t="s">
        <v>3812</v>
      </c>
      <c r="F839" s="7" t="s">
        <v>16</v>
      </c>
    </row>
    <row r="840" ht="22.5" customHeight="1">
      <c r="A840" s="7" t="s">
        <v>3807</v>
      </c>
      <c r="B840" s="8" t="s">
        <v>5383</v>
      </c>
      <c r="C840" s="7" t="s">
        <v>5384</v>
      </c>
      <c r="D840" s="7" t="s">
        <v>16</v>
      </c>
      <c r="E840" s="7" t="s">
        <v>3806</v>
      </c>
      <c r="F840" s="7" t="s">
        <v>16</v>
      </c>
    </row>
    <row r="841" ht="22.5" customHeight="1">
      <c r="A841" s="7" t="s">
        <v>2327</v>
      </c>
      <c r="B841" s="8" t="s">
        <v>5385</v>
      </c>
      <c r="C841" s="7" t="s">
        <v>5386</v>
      </c>
      <c r="D841" s="7" t="s">
        <v>16</v>
      </c>
      <c r="E841" s="7" t="s">
        <v>3803</v>
      </c>
      <c r="F841" s="7" t="s">
        <v>3850</v>
      </c>
    </row>
    <row r="842" ht="22.5" customHeight="1">
      <c r="A842" s="7" t="s">
        <v>3800</v>
      </c>
      <c r="B842" s="8" t="s">
        <v>5387</v>
      </c>
      <c r="C842" s="7" t="s">
        <v>5388</v>
      </c>
      <c r="D842" s="7" t="s">
        <v>16</v>
      </c>
      <c r="E842" s="7" t="s">
        <v>3803</v>
      </c>
      <c r="F842" s="7" t="s">
        <v>16</v>
      </c>
    </row>
    <row r="843" ht="22.5" customHeight="1">
      <c r="A843" s="7" t="s">
        <v>3800</v>
      </c>
      <c r="B843" s="8" t="s">
        <v>5389</v>
      </c>
      <c r="C843" s="7" t="s">
        <v>5390</v>
      </c>
      <c r="D843" s="7" t="s">
        <v>16</v>
      </c>
      <c r="E843" s="7" t="s">
        <v>3799</v>
      </c>
      <c r="F843" s="7" t="s">
        <v>16</v>
      </c>
    </row>
    <row r="844" ht="22.5" customHeight="1">
      <c r="A844" s="7" t="s">
        <v>3800</v>
      </c>
      <c r="B844" s="8" t="s">
        <v>5391</v>
      </c>
      <c r="C844" s="7" t="s">
        <v>5392</v>
      </c>
      <c r="D844" s="7" t="s">
        <v>151</v>
      </c>
      <c r="E844" s="7" t="s">
        <v>3803</v>
      </c>
      <c r="F844" s="7" t="s">
        <v>16</v>
      </c>
    </row>
    <row r="845" ht="22.5" customHeight="1">
      <c r="A845" s="7" t="s">
        <v>3800</v>
      </c>
      <c r="B845" s="8" t="s">
        <v>5393</v>
      </c>
      <c r="C845" s="7" t="s">
        <v>5394</v>
      </c>
      <c r="D845" s="7" t="s">
        <v>16</v>
      </c>
      <c r="E845" s="7" t="s">
        <v>3803</v>
      </c>
      <c r="F845" s="7" t="s">
        <v>16</v>
      </c>
    </row>
    <row r="846" ht="22.5" customHeight="1">
      <c r="A846" s="7" t="s">
        <v>3800</v>
      </c>
      <c r="B846" s="8" t="s">
        <v>5395</v>
      </c>
      <c r="C846" s="7" t="s">
        <v>5396</v>
      </c>
      <c r="D846" s="7" t="s">
        <v>151</v>
      </c>
      <c r="E846" s="7" t="s">
        <v>3799</v>
      </c>
      <c r="F846" s="7" t="s">
        <v>16</v>
      </c>
    </row>
    <row r="847" ht="22.5" customHeight="1">
      <c r="A847" s="7" t="s">
        <v>3800</v>
      </c>
      <c r="B847" s="8" t="s">
        <v>5397</v>
      </c>
      <c r="C847" s="7" t="s">
        <v>5398</v>
      </c>
      <c r="D847" s="7" t="s">
        <v>16</v>
      </c>
      <c r="E847" s="7" t="s">
        <v>3806</v>
      </c>
      <c r="F847" s="7" t="s">
        <v>16</v>
      </c>
    </row>
    <row r="848" ht="22.5" customHeight="1">
      <c r="A848" s="7" t="s">
        <v>3800</v>
      </c>
      <c r="B848" s="8" t="s">
        <v>5399</v>
      </c>
      <c r="C848" s="7" t="s">
        <v>5400</v>
      </c>
      <c r="D848" s="7" t="s">
        <v>16</v>
      </c>
      <c r="E848" s="7" t="s">
        <v>3812</v>
      </c>
      <c r="F848" s="7" t="s">
        <v>16</v>
      </c>
    </row>
    <row r="849" ht="22.5" customHeight="1">
      <c r="A849" s="7" t="s">
        <v>3800</v>
      </c>
      <c r="B849" s="8" t="s">
        <v>5401</v>
      </c>
      <c r="C849" s="7" t="s">
        <v>5402</v>
      </c>
      <c r="D849" s="7" t="s">
        <v>3934</v>
      </c>
      <c r="E849" s="7" t="s">
        <v>3803</v>
      </c>
      <c r="F849" s="7" t="s">
        <v>3934</v>
      </c>
    </row>
    <row r="850" ht="22.5" customHeight="1">
      <c r="A850" s="7" t="s">
        <v>2327</v>
      </c>
      <c r="B850" s="8" t="s">
        <v>5403</v>
      </c>
      <c r="C850" s="7" t="s">
        <v>5404</v>
      </c>
      <c r="D850" s="7" t="s">
        <v>4510</v>
      </c>
      <c r="E850" s="7" t="s">
        <v>3806</v>
      </c>
      <c r="F850" s="7" t="s">
        <v>16</v>
      </c>
    </row>
    <row r="851" ht="22.5" customHeight="1">
      <c r="A851" s="7" t="s">
        <v>3827</v>
      </c>
      <c r="B851" s="8" t="s">
        <v>5405</v>
      </c>
      <c r="C851" s="7" t="s">
        <v>5406</v>
      </c>
      <c r="D851" s="7" t="s">
        <v>16</v>
      </c>
      <c r="E851" s="7" t="s">
        <v>3806</v>
      </c>
      <c r="F851" s="7" t="s">
        <v>3884</v>
      </c>
    </row>
    <row r="852" ht="22.5" customHeight="1">
      <c r="A852" s="7" t="s">
        <v>3827</v>
      </c>
      <c r="B852" s="8" t="s">
        <v>5407</v>
      </c>
      <c r="C852" s="7" t="s">
        <v>5408</v>
      </c>
      <c r="D852" s="7" t="s">
        <v>16</v>
      </c>
      <c r="E852" s="7" t="s">
        <v>3799</v>
      </c>
      <c r="F852" s="7" t="s">
        <v>16</v>
      </c>
    </row>
    <row r="853" ht="22.5" customHeight="1">
      <c r="A853" s="7" t="s">
        <v>3827</v>
      </c>
      <c r="B853" s="8" t="s">
        <v>5407</v>
      </c>
      <c r="C853" s="7" t="s">
        <v>5409</v>
      </c>
      <c r="D853" s="7" t="s">
        <v>26</v>
      </c>
      <c r="E853" s="7" t="s">
        <v>16</v>
      </c>
      <c r="F853" s="7" t="s">
        <v>16</v>
      </c>
    </row>
    <row r="854" ht="22.5" customHeight="1">
      <c r="A854" s="7" t="s">
        <v>2725</v>
      </c>
      <c r="B854" s="8" t="s">
        <v>5410</v>
      </c>
      <c r="C854" s="7" t="s">
        <v>5411</v>
      </c>
      <c r="D854" s="7" t="s">
        <v>26</v>
      </c>
      <c r="E854" s="7" t="s">
        <v>16</v>
      </c>
      <c r="F854" s="7" t="s">
        <v>16</v>
      </c>
    </row>
    <row r="855" ht="22.5" customHeight="1">
      <c r="A855" s="7" t="s">
        <v>3800</v>
      </c>
      <c r="B855" s="8" t="s">
        <v>5412</v>
      </c>
      <c r="C855" s="7" t="s">
        <v>5413</v>
      </c>
      <c r="D855" s="7" t="s">
        <v>26</v>
      </c>
      <c r="E855" s="7" t="s">
        <v>16</v>
      </c>
      <c r="F855" s="7" t="s">
        <v>16</v>
      </c>
    </row>
    <row r="856" ht="22.5" customHeight="1">
      <c r="A856" s="7" t="s">
        <v>3800</v>
      </c>
      <c r="B856" s="8" t="s">
        <v>5414</v>
      </c>
      <c r="C856" s="7" t="s">
        <v>5415</v>
      </c>
      <c r="D856" s="7" t="s">
        <v>26</v>
      </c>
      <c r="E856" s="7" t="s">
        <v>16</v>
      </c>
      <c r="F856" s="7" t="s">
        <v>16</v>
      </c>
    </row>
    <row r="857" ht="22.5" customHeight="1">
      <c r="A857" s="7" t="s">
        <v>3807</v>
      </c>
      <c r="B857" s="8" t="s">
        <v>5416</v>
      </c>
      <c r="C857" s="7" t="s">
        <v>5417</v>
      </c>
      <c r="D857" s="7" t="s">
        <v>26</v>
      </c>
      <c r="E857" s="7" t="s">
        <v>16</v>
      </c>
      <c r="F857" s="7" t="s">
        <v>16</v>
      </c>
    </row>
    <row r="858" ht="22.5" customHeight="1">
      <c r="A858" s="7" t="s">
        <v>3800</v>
      </c>
      <c r="B858" s="8" t="s">
        <v>5418</v>
      </c>
      <c r="C858" s="7" t="s">
        <v>5419</v>
      </c>
      <c r="D858" s="7" t="s">
        <v>26</v>
      </c>
      <c r="E858" s="7" t="s">
        <v>16</v>
      </c>
      <c r="F858" s="7" t="s">
        <v>16</v>
      </c>
    </row>
    <row r="859" ht="22.5" customHeight="1">
      <c r="A859" s="7" t="s">
        <v>3800</v>
      </c>
      <c r="B859" s="8" t="s">
        <v>5420</v>
      </c>
      <c r="C859" s="7" t="s">
        <v>5421</v>
      </c>
      <c r="D859" s="7" t="s">
        <v>16</v>
      </c>
      <c r="E859" s="7" t="s">
        <v>3799</v>
      </c>
      <c r="F859" s="7" t="s">
        <v>16</v>
      </c>
    </row>
    <row r="860" ht="22.5" customHeight="1">
      <c r="A860" s="7" t="s">
        <v>3800</v>
      </c>
      <c r="B860" s="8" t="s">
        <v>5422</v>
      </c>
      <c r="C860" s="7" t="s">
        <v>5423</v>
      </c>
      <c r="D860" s="7" t="s">
        <v>16</v>
      </c>
      <c r="E860" s="7" t="s">
        <v>3799</v>
      </c>
      <c r="F860" s="7" t="s">
        <v>16</v>
      </c>
    </row>
    <row r="861" ht="22.5" customHeight="1">
      <c r="A861" s="7" t="s">
        <v>3800</v>
      </c>
      <c r="B861" s="8" t="s">
        <v>5424</v>
      </c>
      <c r="C861" s="7" t="s">
        <v>5425</v>
      </c>
      <c r="D861" s="7" t="s">
        <v>16</v>
      </c>
      <c r="E861" s="7" t="s">
        <v>3799</v>
      </c>
      <c r="F861" s="7" t="s">
        <v>16</v>
      </c>
    </row>
    <row r="862" ht="22.5" customHeight="1">
      <c r="A862" s="7" t="s">
        <v>3800</v>
      </c>
      <c r="B862" s="8" t="s">
        <v>5426</v>
      </c>
      <c r="C862" s="7" t="s">
        <v>5427</v>
      </c>
      <c r="D862" s="7" t="s">
        <v>16</v>
      </c>
      <c r="E862" s="7" t="s">
        <v>3799</v>
      </c>
      <c r="F862" s="7" t="s">
        <v>16</v>
      </c>
    </row>
    <row r="863" ht="22.5" customHeight="1">
      <c r="A863" s="7" t="s">
        <v>3800</v>
      </c>
      <c r="B863" s="8" t="s">
        <v>5428</v>
      </c>
      <c r="C863" s="7" t="s">
        <v>5429</v>
      </c>
      <c r="D863" s="7" t="s">
        <v>151</v>
      </c>
      <c r="E863" s="7" t="s">
        <v>3803</v>
      </c>
      <c r="F863" s="7" t="s">
        <v>3952</v>
      </c>
    </row>
    <row r="864" ht="22.5" customHeight="1">
      <c r="A864" s="7" t="s">
        <v>3837</v>
      </c>
      <c r="B864" s="8" t="s">
        <v>5430</v>
      </c>
      <c r="C864" s="7" t="s">
        <v>5431</v>
      </c>
      <c r="D864" s="7" t="s">
        <v>26</v>
      </c>
      <c r="E864" s="7" t="s">
        <v>16</v>
      </c>
      <c r="F864" s="7" t="s">
        <v>16</v>
      </c>
    </row>
    <row r="865" ht="22.5" customHeight="1">
      <c r="A865" s="7" t="s">
        <v>3837</v>
      </c>
      <c r="B865" s="8" t="s">
        <v>5432</v>
      </c>
      <c r="C865" s="7" t="s">
        <v>5433</v>
      </c>
      <c r="D865" s="7" t="s">
        <v>16</v>
      </c>
      <c r="E865" s="7" t="s">
        <v>3799</v>
      </c>
      <c r="F865" s="7" t="s">
        <v>16</v>
      </c>
    </row>
    <row r="866" ht="22.5" customHeight="1">
      <c r="A866" s="7" t="s">
        <v>2725</v>
      </c>
      <c r="B866" s="8" t="s">
        <v>5434</v>
      </c>
      <c r="C866" s="7" t="s">
        <v>5435</v>
      </c>
      <c r="D866" s="7" t="s">
        <v>16</v>
      </c>
      <c r="E866" s="7" t="s">
        <v>3799</v>
      </c>
      <c r="F866" s="7" t="s">
        <v>16</v>
      </c>
    </row>
    <row r="867" ht="22.5" customHeight="1">
      <c r="A867" s="7" t="s">
        <v>3800</v>
      </c>
      <c r="B867" s="8" t="s">
        <v>5436</v>
      </c>
      <c r="C867" s="7" t="s">
        <v>5437</v>
      </c>
      <c r="D867" s="7" t="s">
        <v>16</v>
      </c>
      <c r="E867" s="7" t="s">
        <v>3806</v>
      </c>
      <c r="F867" s="7" t="s">
        <v>16</v>
      </c>
    </row>
    <row r="868" ht="22.5" customHeight="1">
      <c r="A868" s="7" t="s">
        <v>3800</v>
      </c>
      <c r="B868" s="8" t="s">
        <v>5436</v>
      </c>
      <c r="C868" s="7" t="s">
        <v>5438</v>
      </c>
      <c r="D868" s="7" t="s">
        <v>26</v>
      </c>
      <c r="E868" s="7" t="s">
        <v>16</v>
      </c>
      <c r="F868" s="7" t="s">
        <v>16</v>
      </c>
    </row>
    <row r="869" ht="22.5" customHeight="1">
      <c r="A869" s="7" t="s">
        <v>3807</v>
      </c>
      <c r="B869" s="8" t="s">
        <v>5439</v>
      </c>
      <c r="C869" s="7" t="s">
        <v>5440</v>
      </c>
      <c r="D869" s="7" t="s">
        <v>16</v>
      </c>
      <c r="E869" s="7" t="s">
        <v>3803</v>
      </c>
      <c r="F869" s="7" t="s">
        <v>3964</v>
      </c>
    </row>
    <row r="870" ht="22.5" customHeight="1">
      <c r="A870" s="7" t="s">
        <v>2725</v>
      </c>
      <c r="B870" s="8" t="s">
        <v>5441</v>
      </c>
      <c r="C870" s="7" t="s">
        <v>5442</v>
      </c>
      <c r="D870" s="7" t="s">
        <v>16</v>
      </c>
      <c r="E870" s="7" t="s">
        <v>3799</v>
      </c>
      <c r="F870" s="7" t="s">
        <v>16</v>
      </c>
    </row>
    <row r="871" ht="22.5" customHeight="1">
      <c r="A871" s="7" t="s">
        <v>3827</v>
      </c>
      <c r="B871" s="8" t="s">
        <v>5443</v>
      </c>
      <c r="C871" s="7" t="s">
        <v>5444</v>
      </c>
      <c r="D871" s="7" t="s">
        <v>26</v>
      </c>
      <c r="E871" s="7" t="s">
        <v>16</v>
      </c>
      <c r="F871" s="7" t="s">
        <v>16</v>
      </c>
    </row>
    <row r="872" ht="22.5" customHeight="1">
      <c r="A872" s="7" t="s">
        <v>2725</v>
      </c>
      <c r="B872" s="8" t="s">
        <v>5445</v>
      </c>
      <c r="C872" s="7" t="s">
        <v>5446</v>
      </c>
      <c r="D872" s="7" t="s">
        <v>16</v>
      </c>
      <c r="E872" s="7" t="s">
        <v>3799</v>
      </c>
      <c r="F872" s="7" t="s">
        <v>16</v>
      </c>
    </row>
    <row r="873" ht="22.5" customHeight="1">
      <c r="A873" s="7" t="s">
        <v>3837</v>
      </c>
      <c r="B873" s="8" t="s">
        <v>5447</v>
      </c>
      <c r="C873" s="7" t="s">
        <v>5448</v>
      </c>
      <c r="D873" s="7" t="s">
        <v>16</v>
      </c>
      <c r="E873" s="7" t="s">
        <v>3799</v>
      </c>
      <c r="F873" s="7" t="s">
        <v>16</v>
      </c>
    </row>
    <row r="874" ht="22.5" customHeight="1">
      <c r="A874" s="7" t="s">
        <v>2725</v>
      </c>
      <c r="B874" s="8" t="s">
        <v>5449</v>
      </c>
      <c r="C874" s="7" t="s">
        <v>5450</v>
      </c>
      <c r="D874" s="7" t="s">
        <v>16</v>
      </c>
      <c r="E874" s="7" t="s">
        <v>3806</v>
      </c>
      <c r="F874" s="7" t="s">
        <v>4671</v>
      </c>
    </row>
    <row r="875" ht="22.5" customHeight="1">
      <c r="A875" s="7" t="s">
        <v>2725</v>
      </c>
      <c r="B875" s="8" t="s">
        <v>5451</v>
      </c>
      <c r="C875" s="7" t="s">
        <v>5452</v>
      </c>
      <c r="D875" s="7" t="s">
        <v>16</v>
      </c>
      <c r="E875" s="7" t="s">
        <v>3812</v>
      </c>
      <c r="F875" s="7" t="s">
        <v>16</v>
      </c>
    </row>
    <row r="876" ht="22.5" customHeight="1">
      <c r="A876" s="7" t="s">
        <v>3837</v>
      </c>
      <c r="B876" s="8" t="s">
        <v>5453</v>
      </c>
      <c r="C876" s="7" t="s">
        <v>5454</v>
      </c>
      <c r="D876" s="7" t="s">
        <v>26</v>
      </c>
      <c r="E876" s="7" t="s">
        <v>16</v>
      </c>
      <c r="F876" s="7" t="s">
        <v>16</v>
      </c>
    </row>
    <row r="877" ht="22.5" customHeight="1">
      <c r="A877" s="7" t="s">
        <v>3837</v>
      </c>
      <c r="B877" s="8" t="s">
        <v>5455</v>
      </c>
      <c r="C877" s="7" t="s">
        <v>5456</v>
      </c>
      <c r="D877" s="7" t="s">
        <v>16</v>
      </c>
      <c r="E877" s="7" t="s">
        <v>3799</v>
      </c>
      <c r="F877" s="7" t="s">
        <v>16</v>
      </c>
    </row>
    <row r="878" ht="22.5" customHeight="1">
      <c r="A878" s="7" t="s">
        <v>3800</v>
      </c>
      <c r="B878" s="8" t="s">
        <v>5457</v>
      </c>
      <c r="C878" s="7" t="s">
        <v>5458</v>
      </c>
      <c r="D878" s="7" t="s">
        <v>16</v>
      </c>
      <c r="E878" s="7" t="s">
        <v>3799</v>
      </c>
      <c r="F878" s="7" t="s">
        <v>3904</v>
      </c>
    </row>
    <row r="879" ht="22.5" customHeight="1">
      <c r="A879" s="7" t="s">
        <v>3837</v>
      </c>
      <c r="B879" s="8" t="s">
        <v>5459</v>
      </c>
      <c r="C879" s="7" t="s">
        <v>5460</v>
      </c>
      <c r="D879" s="7" t="s">
        <v>16</v>
      </c>
      <c r="E879" s="7" t="s">
        <v>3799</v>
      </c>
      <c r="F879" s="7" t="s">
        <v>16</v>
      </c>
    </row>
    <row r="880" ht="22.5" customHeight="1">
      <c r="A880" s="7" t="s">
        <v>3800</v>
      </c>
      <c r="B880" s="8" t="s">
        <v>5461</v>
      </c>
      <c r="C880" s="7" t="s">
        <v>5462</v>
      </c>
      <c r="D880" s="7" t="s">
        <v>16</v>
      </c>
      <c r="E880" s="7" t="s">
        <v>3799</v>
      </c>
      <c r="F880" s="7" t="s">
        <v>16</v>
      </c>
    </row>
    <row r="881" ht="22.5" customHeight="1">
      <c r="A881" s="7" t="s">
        <v>3827</v>
      </c>
      <c r="B881" s="8" t="s">
        <v>5463</v>
      </c>
      <c r="C881" s="7" t="s">
        <v>5464</v>
      </c>
      <c r="D881" s="7" t="s">
        <v>16</v>
      </c>
      <c r="E881" s="7" t="s">
        <v>3799</v>
      </c>
      <c r="F881" s="7" t="s">
        <v>16</v>
      </c>
    </row>
    <row r="882" ht="22.5" customHeight="1">
      <c r="A882" s="7" t="s">
        <v>3807</v>
      </c>
      <c r="B882" s="8" t="s">
        <v>5465</v>
      </c>
      <c r="C882" s="7" t="s">
        <v>5466</v>
      </c>
      <c r="D882" s="7" t="s">
        <v>16</v>
      </c>
      <c r="E882" s="7" t="s">
        <v>3799</v>
      </c>
      <c r="F882" s="7" t="s">
        <v>3945</v>
      </c>
    </row>
    <row r="883" ht="22.5" customHeight="1">
      <c r="A883" s="7" t="s">
        <v>3800</v>
      </c>
      <c r="B883" s="8" t="s">
        <v>5467</v>
      </c>
      <c r="C883" s="7" t="s">
        <v>5468</v>
      </c>
      <c r="D883" s="7" t="s">
        <v>16</v>
      </c>
      <c r="E883" s="7" t="s">
        <v>3799</v>
      </c>
      <c r="F883" s="7" t="s">
        <v>16</v>
      </c>
    </row>
    <row r="884" ht="22.5" customHeight="1">
      <c r="A884" s="7" t="s">
        <v>3800</v>
      </c>
      <c r="B884" s="8" t="s">
        <v>5467</v>
      </c>
      <c r="C884" s="7" t="s">
        <v>5469</v>
      </c>
      <c r="D884" s="7" t="s">
        <v>16</v>
      </c>
      <c r="E884" s="7" t="s">
        <v>3799</v>
      </c>
      <c r="F884" s="7" t="s">
        <v>16</v>
      </c>
    </row>
    <row r="885" ht="22.5" customHeight="1">
      <c r="A885" s="7" t="s">
        <v>3837</v>
      </c>
      <c r="B885" s="8" t="s">
        <v>5470</v>
      </c>
      <c r="C885" s="7" t="s">
        <v>5471</v>
      </c>
      <c r="D885" s="7" t="s">
        <v>3934</v>
      </c>
      <c r="E885" s="7" t="s">
        <v>3803</v>
      </c>
      <c r="F885" s="7" t="s">
        <v>3934</v>
      </c>
    </row>
    <row r="886" ht="22.5" customHeight="1">
      <c r="A886" s="7" t="s">
        <v>3827</v>
      </c>
      <c r="B886" s="8" t="s">
        <v>5472</v>
      </c>
      <c r="C886" s="7" t="s">
        <v>5473</v>
      </c>
      <c r="D886" s="7" t="s">
        <v>26</v>
      </c>
      <c r="E886" s="7" t="s">
        <v>16</v>
      </c>
      <c r="F886" s="7" t="s">
        <v>16</v>
      </c>
    </row>
    <row r="887" ht="22.5" customHeight="1">
      <c r="A887" s="7" t="s">
        <v>2725</v>
      </c>
      <c r="B887" s="8" t="s">
        <v>5474</v>
      </c>
      <c r="C887" s="7" t="s">
        <v>5475</v>
      </c>
      <c r="D887" s="7" t="s">
        <v>16</v>
      </c>
      <c r="E887" s="7" t="s">
        <v>3803</v>
      </c>
      <c r="F887" s="7" t="s">
        <v>3816</v>
      </c>
    </row>
    <row r="888" ht="22.5" customHeight="1">
      <c r="A888" s="7" t="s">
        <v>3800</v>
      </c>
      <c r="B888" s="8" t="s">
        <v>5476</v>
      </c>
      <c r="C888" s="7" t="s">
        <v>5477</v>
      </c>
      <c r="D888" s="7" t="s">
        <v>26</v>
      </c>
      <c r="E888" s="7" t="s">
        <v>16</v>
      </c>
      <c r="F888" s="7" t="s">
        <v>16</v>
      </c>
    </row>
    <row r="889" ht="22.5" customHeight="1">
      <c r="A889" s="7" t="s">
        <v>3800</v>
      </c>
      <c r="B889" s="8" t="s">
        <v>5478</v>
      </c>
      <c r="C889" s="7" t="s">
        <v>5479</v>
      </c>
      <c r="D889" s="7" t="s">
        <v>26</v>
      </c>
      <c r="E889" s="7" t="s">
        <v>16</v>
      </c>
      <c r="F889" s="7" t="s">
        <v>16</v>
      </c>
    </row>
    <row r="890" ht="22.5" customHeight="1">
      <c r="A890" s="7" t="s">
        <v>2327</v>
      </c>
      <c r="B890" s="8" t="s">
        <v>5480</v>
      </c>
      <c r="C890" s="7" t="s">
        <v>5481</v>
      </c>
      <c r="D890" s="7" t="s">
        <v>16</v>
      </c>
      <c r="E890" s="7" t="s">
        <v>3806</v>
      </c>
      <c r="F890" s="7" t="s">
        <v>16</v>
      </c>
    </row>
    <row r="891" ht="22.5" customHeight="1">
      <c r="A891" s="7" t="s">
        <v>2327</v>
      </c>
      <c r="B891" s="8" t="s">
        <v>5480</v>
      </c>
      <c r="C891" s="7" t="s">
        <v>5482</v>
      </c>
      <c r="D891" s="7" t="s">
        <v>16</v>
      </c>
      <c r="E891" s="7" t="s">
        <v>3806</v>
      </c>
      <c r="F891" s="7" t="s">
        <v>16</v>
      </c>
    </row>
    <row r="892" ht="22.5" customHeight="1">
      <c r="A892" s="7" t="s">
        <v>2327</v>
      </c>
      <c r="B892" s="8" t="s">
        <v>5480</v>
      </c>
      <c r="C892" s="7" t="s">
        <v>5483</v>
      </c>
      <c r="D892" s="7" t="s">
        <v>26</v>
      </c>
      <c r="E892" s="7" t="s">
        <v>16</v>
      </c>
      <c r="F892" s="7" t="s">
        <v>16</v>
      </c>
    </row>
    <row r="893" ht="22.5" customHeight="1">
      <c r="A893" s="7" t="s">
        <v>2327</v>
      </c>
      <c r="B893" s="8" t="s">
        <v>5480</v>
      </c>
      <c r="C893" s="7" t="s">
        <v>5484</v>
      </c>
      <c r="D893" s="7" t="s">
        <v>26</v>
      </c>
      <c r="E893" s="7" t="s">
        <v>16</v>
      </c>
      <c r="F893" s="7" t="s">
        <v>16</v>
      </c>
    </row>
    <row r="894" ht="22.5" customHeight="1">
      <c r="A894" s="7" t="s">
        <v>3800</v>
      </c>
      <c r="B894" s="8" t="s">
        <v>5485</v>
      </c>
      <c r="C894" s="7" t="s">
        <v>5486</v>
      </c>
      <c r="D894" s="7" t="s">
        <v>16</v>
      </c>
      <c r="E894" s="7" t="s">
        <v>3803</v>
      </c>
      <c r="F894" s="7" t="s">
        <v>16</v>
      </c>
    </row>
    <row r="895" ht="22.5" customHeight="1">
      <c r="A895" s="7" t="s">
        <v>3800</v>
      </c>
      <c r="B895" s="8" t="s">
        <v>5487</v>
      </c>
      <c r="C895" s="7" t="s">
        <v>5488</v>
      </c>
      <c r="D895" s="7" t="s">
        <v>16</v>
      </c>
      <c r="E895" s="7" t="s">
        <v>3806</v>
      </c>
      <c r="F895" s="7" t="s">
        <v>16</v>
      </c>
    </row>
    <row r="896" ht="22.5" customHeight="1">
      <c r="A896" s="7" t="s">
        <v>3800</v>
      </c>
      <c r="B896" s="8" t="s">
        <v>5489</v>
      </c>
      <c r="C896" s="7" t="s">
        <v>5490</v>
      </c>
      <c r="D896" s="7" t="s">
        <v>26</v>
      </c>
      <c r="E896" s="7" t="s">
        <v>16</v>
      </c>
      <c r="F896" s="7" t="s">
        <v>16</v>
      </c>
    </row>
    <row r="897" ht="22.5" customHeight="1">
      <c r="A897" s="7" t="s">
        <v>3827</v>
      </c>
      <c r="B897" s="8" t="s">
        <v>5491</v>
      </c>
      <c r="C897" s="7" t="s">
        <v>5492</v>
      </c>
      <c r="D897" s="7" t="s">
        <v>16</v>
      </c>
      <c r="E897" s="7" t="s">
        <v>3799</v>
      </c>
      <c r="F897" s="7" t="s">
        <v>16</v>
      </c>
    </row>
    <row r="898" ht="22.5" customHeight="1">
      <c r="A898" s="7" t="s">
        <v>3807</v>
      </c>
      <c r="B898" s="8" t="s">
        <v>5493</v>
      </c>
      <c r="C898" s="7" t="s">
        <v>5494</v>
      </c>
      <c r="D898" s="7" t="s">
        <v>26</v>
      </c>
      <c r="E898" s="7" t="s">
        <v>16</v>
      </c>
      <c r="F898" s="7" t="s">
        <v>16</v>
      </c>
    </row>
    <row r="899" ht="22.5" customHeight="1">
      <c r="A899" s="7" t="s">
        <v>3807</v>
      </c>
      <c r="B899" s="8" t="s">
        <v>5495</v>
      </c>
      <c r="C899" s="7" t="s">
        <v>5496</v>
      </c>
      <c r="D899" s="7" t="s">
        <v>16</v>
      </c>
      <c r="E899" s="7" t="s">
        <v>3806</v>
      </c>
      <c r="F899" s="7" t="s">
        <v>16</v>
      </c>
    </row>
    <row r="900" ht="22.5" customHeight="1">
      <c r="A900" s="7" t="s">
        <v>3800</v>
      </c>
      <c r="B900" s="8" t="s">
        <v>5497</v>
      </c>
      <c r="C900" s="7" t="s">
        <v>5498</v>
      </c>
      <c r="D900" s="7" t="s">
        <v>26</v>
      </c>
      <c r="E900" s="7" t="s">
        <v>16</v>
      </c>
      <c r="F900" s="7" t="s">
        <v>16</v>
      </c>
    </row>
    <row r="901" ht="22.5" customHeight="1">
      <c r="A901" s="7" t="s">
        <v>3807</v>
      </c>
      <c r="B901" s="8" t="s">
        <v>5499</v>
      </c>
      <c r="C901" s="7" t="s">
        <v>5500</v>
      </c>
      <c r="D901" s="7" t="s">
        <v>16</v>
      </c>
      <c r="E901" s="7" t="s">
        <v>3812</v>
      </c>
      <c r="F901" s="7" t="s">
        <v>16</v>
      </c>
    </row>
    <row r="902" ht="22.5" customHeight="1">
      <c r="A902" s="7" t="s">
        <v>3807</v>
      </c>
      <c r="B902" s="8" t="s">
        <v>5501</v>
      </c>
      <c r="C902" s="7" t="s">
        <v>5502</v>
      </c>
      <c r="D902" s="7" t="s">
        <v>16</v>
      </c>
      <c r="E902" s="7" t="s">
        <v>3803</v>
      </c>
      <c r="F902" s="7" t="s">
        <v>3850</v>
      </c>
    </row>
    <row r="903" ht="22.5" customHeight="1">
      <c r="A903" s="7" t="s">
        <v>2725</v>
      </c>
      <c r="B903" s="8" t="s">
        <v>5503</v>
      </c>
      <c r="C903" s="7" t="s">
        <v>5504</v>
      </c>
      <c r="D903" s="7" t="s">
        <v>16</v>
      </c>
      <c r="E903" s="7" t="s">
        <v>3806</v>
      </c>
      <c r="F903" s="7" t="s">
        <v>16</v>
      </c>
    </row>
    <row r="904" ht="22.5" customHeight="1">
      <c r="A904" s="7" t="s">
        <v>3800</v>
      </c>
      <c r="B904" s="8" t="s">
        <v>5505</v>
      </c>
      <c r="C904" s="7" t="s">
        <v>5506</v>
      </c>
      <c r="D904" s="7" t="s">
        <v>26</v>
      </c>
      <c r="E904" s="7" t="s">
        <v>16</v>
      </c>
      <c r="F904" s="7" t="s">
        <v>16</v>
      </c>
    </row>
    <row r="905" ht="22.5" customHeight="1">
      <c r="A905" s="7" t="s">
        <v>3800</v>
      </c>
      <c r="B905" s="8" t="s">
        <v>5507</v>
      </c>
      <c r="C905" s="7" t="s">
        <v>5508</v>
      </c>
      <c r="D905" s="7" t="s">
        <v>26</v>
      </c>
      <c r="E905" s="7" t="s">
        <v>16</v>
      </c>
      <c r="F905" s="7" t="s">
        <v>16</v>
      </c>
    </row>
    <row r="906" ht="22.5" customHeight="1">
      <c r="A906" s="7" t="s">
        <v>3800</v>
      </c>
      <c r="B906" s="8" t="s">
        <v>5509</v>
      </c>
      <c r="C906" s="7" t="s">
        <v>5510</v>
      </c>
      <c r="D906" s="7" t="s">
        <v>151</v>
      </c>
      <c r="E906" s="7" t="s">
        <v>3799</v>
      </c>
      <c r="F906" s="7" t="s">
        <v>16</v>
      </c>
    </row>
    <row r="907" ht="22.5" customHeight="1">
      <c r="A907" s="7" t="s">
        <v>3800</v>
      </c>
      <c r="B907" s="8" t="s">
        <v>5509</v>
      </c>
      <c r="C907" s="7" t="s">
        <v>5511</v>
      </c>
      <c r="D907" s="7" t="s">
        <v>151</v>
      </c>
      <c r="E907" s="7" t="s">
        <v>3799</v>
      </c>
      <c r="F907" s="7" t="s">
        <v>16</v>
      </c>
    </row>
    <row r="908" ht="22.5" customHeight="1">
      <c r="A908" s="7" t="s">
        <v>3800</v>
      </c>
      <c r="B908" s="8" t="s">
        <v>5509</v>
      </c>
      <c r="C908" s="7" t="s">
        <v>5512</v>
      </c>
      <c r="D908" s="7" t="s">
        <v>151</v>
      </c>
      <c r="E908" s="7" t="s">
        <v>3799</v>
      </c>
      <c r="F908" s="7" t="s">
        <v>16</v>
      </c>
    </row>
    <row r="909" ht="22.5" customHeight="1">
      <c r="A909" s="7" t="s">
        <v>3800</v>
      </c>
      <c r="B909" s="8" t="s">
        <v>5509</v>
      </c>
      <c r="C909" s="7" t="s">
        <v>5513</v>
      </c>
      <c r="D909" s="7" t="s">
        <v>26</v>
      </c>
      <c r="E909" s="7" t="s">
        <v>16</v>
      </c>
      <c r="F909" s="7" t="s">
        <v>16</v>
      </c>
    </row>
    <row r="910" ht="22.5" customHeight="1">
      <c r="A910" s="7" t="s">
        <v>3800</v>
      </c>
      <c r="B910" s="8" t="s">
        <v>5514</v>
      </c>
      <c r="C910" s="7" t="s">
        <v>5515</v>
      </c>
      <c r="D910" s="7" t="s">
        <v>26</v>
      </c>
      <c r="E910" s="7" t="s">
        <v>16</v>
      </c>
      <c r="F910" s="7" t="s">
        <v>16</v>
      </c>
    </row>
    <row r="911" ht="22.5" customHeight="1">
      <c r="A911" s="7" t="s">
        <v>3800</v>
      </c>
      <c r="B911" s="8" t="s">
        <v>5516</v>
      </c>
      <c r="C911" s="7" t="s">
        <v>5517</v>
      </c>
      <c r="D911" s="7" t="s">
        <v>26</v>
      </c>
      <c r="E911" s="7" t="s">
        <v>16</v>
      </c>
      <c r="F911" s="7" t="s">
        <v>16</v>
      </c>
    </row>
    <row r="912" ht="22.5" customHeight="1">
      <c r="A912" s="7" t="s">
        <v>3800</v>
      </c>
      <c r="B912" s="8" t="s">
        <v>5518</v>
      </c>
      <c r="C912" s="7" t="s">
        <v>5519</v>
      </c>
      <c r="D912" s="7" t="s">
        <v>16</v>
      </c>
      <c r="E912" s="7" t="s">
        <v>3803</v>
      </c>
      <c r="F912" s="7" t="s">
        <v>16</v>
      </c>
    </row>
    <row r="913" ht="22.5" customHeight="1">
      <c r="A913" s="7" t="s">
        <v>3827</v>
      </c>
      <c r="B913" s="8" t="s">
        <v>5520</v>
      </c>
      <c r="C913" s="7" t="s">
        <v>5521</v>
      </c>
      <c r="D913" s="7" t="s">
        <v>16</v>
      </c>
      <c r="E913" s="7" t="s">
        <v>3806</v>
      </c>
      <c r="F913" s="7" t="s">
        <v>4671</v>
      </c>
    </row>
    <row r="914" ht="22.5" customHeight="1">
      <c r="A914" s="7" t="s">
        <v>3800</v>
      </c>
      <c r="B914" s="8" t="s">
        <v>5522</v>
      </c>
      <c r="C914" s="7" t="s">
        <v>5523</v>
      </c>
      <c r="D914" s="7" t="s">
        <v>16</v>
      </c>
      <c r="E914" s="7" t="s">
        <v>3799</v>
      </c>
      <c r="F914" s="7" t="s">
        <v>16</v>
      </c>
    </row>
    <row r="915" ht="22.5" customHeight="1">
      <c r="A915" s="7" t="s">
        <v>2725</v>
      </c>
      <c r="B915" s="8" t="s">
        <v>5524</v>
      </c>
      <c r="C915" s="7" t="s">
        <v>5525</v>
      </c>
      <c r="D915" s="7" t="s">
        <v>16</v>
      </c>
      <c r="E915" s="7" t="s">
        <v>3799</v>
      </c>
      <c r="F915" s="7" t="s">
        <v>16</v>
      </c>
    </row>
    <row r="916" ht="22.5" customHeight="1">
      <c r="A916" s="7" t="s">
        <v>3837</v>
      </c>
      <c r="B916" s="8" t="s">
        <v>5526</v>
      </c>
      <c r="C916" s="7" t="s">
        <v>5527</v>
      </c>
      <c r="D916" s="7" t="s">
        <v>16</v>
      </c>
      <c r="E916" s="7" t="s">
        <v>3799</v>
      </c>
      <c r="F916" s="7" t="s">
        <v>16</v>
      </c>
    </row>
    <row r="917" ht="22.5" customHeight="1">
      <c r="A917" s="7" t="s">
        <v>3800</v>
      </c>
      <c r="B917" s="8" t="s">
        <v>5528</v>
      </c>
      <c r="C917" s="7" t="s">
        <v>5529</v>
      </c>
      <c r="D917" s="7" t="s">
        <v>16</v>
      </c>
      <c r="E917" s="7" t="s">
        <v>3799</v>
      </c>
      <c r="F917" s="7" t="s">
        <v>16</v>
      </c>
    </row>
    <row r="918" ht="22.5" customHeight="1">
      <c r="A918" s="7" t="s">
        <v>3827</v>
      </c>
      <c r="B918" s="8" t="s">
        <v>5530</v>
      </c>
      <c r="C918" s="7" t="s">
        <v>5531</v>
      </c>
      <c r="D918" s="7" t="s">
        <v>16</v>
      </c>
      <c r="E918" s="7" t="s">
        <v>3799</v>
      </c>
      <c r="F918" s="7" t="s">
        <v>16</v>
      </c>
    </row>
    <row r="919" ht="22.5" customHeight="1">
      <c r="A919" s="7" t="s">
        <v>2327</v>
      </c>
      <c r="B919" s="8" t="s">
        <v>5532</v>
      </c>
      <c r="C919" s="7" t="s">
        <v>5533</v>
      </c>
      <c r="D919" s="7" t="s">
        <v>16</v>
      </c>
      <c r="E919" s="7" t="s">
        <v>3806</v>
      </c>
      <c r="F919" s="7" t="s">
        <v>4671</v>
      </c>
    </row>
    <row r="920" ht="22.5" customHeight="1">
      <c r="A920" s="7" t="s">
        <v>2327</v>
      </c>
      <c r="B920" s="8" t="s">
        <v>5532</v>
      </c>
      <c r="C920" s="7" t="s">
        <v>5534</v>
      </c>
      <c r="D920" s="7" t="s">
        <v>26</v>
      </c>
      <c r="E920" s="7" t="s">
        <v>16</v>
      </c>
      <c r="F920" s="7" t="s">
        <v>16</v>
      </c>
    </row>
    <row r="921" ht="22.5" customHeight="1">
      <c r="A921" s="7" t="s">
        <v>2327</v>
      </c>
      <c r="B921" s="8" t="s">
        <v>5535</v>
      </c>
      <c r="C921" s="7" t="s">
        <v>5536</v>
      </c>
      <c r="D921" s="7" t="s">
        <v>16</v>
      </c>
      <c r="E921" s="7" t="s">
        <v>3806</v>
      </c>
      <c r="F921" s="7" t="s">
        <v>16</v>
      </c>
    </row>
    <row r="922" ht="22.5" customHeight="1">
      <c r="A922" s="7" t="s">
        <v>3827</v>
      </c>
      <c r="B922" s="8" t="s">
        <v>5537</v>
      </c>
      <c r="C922" s="7" t="s">
        <v>5538</v>
      </c>
      <c r="D922" s="7" t="s">
        <v>16</v>
      </c>
      <c r="E922" s="7" t="s">
        <v>3799</v>
      </c>
      <c r="F922" s="7" t="s">
        <v>16</v>
      </c>
    </row>
    <row r="923" ht="22.5" customHeight="1">
      <c r="A923" s="7" t="s">
        <v>3807</v>
      </c>
      <c r="B923" s="8" t="s">
        <v>5539</v>
      </c>
      <c r="C923" s="7" t="s">
        <v>5540</v>
      </c>
      <c r="D923" s="7" t="s">
        <v>16</v>
      </c>
      <c r="E923" s="7" t="s">
        <v>3799</v>
      </c>
      <c r="F923" s="7" t="s">
        <v>16</v>
      </c>
    </row>
    <row r="924" ht="22.5" customHeight="1">
      <c r="A924" s="7" t="s">
        <v>2725</v>
      </c>
      <c r="B924" s="8" t="s">
        <v>5541</v>
      </c>
      <c r="C924" s="7" t="s">
        <v>5542</v>
      </c>
      <c r="D924" s="7" t="s">
        <v>16</v>
      </c>
      <c r="E924" s="7" t="s">
        <v>3806</v>
      </c>
      <c r="F924" s="7" t="s">
        <v>16</v>
      </c>
    </row>
    <row r="925" ht="22.5" customHeight="1">
      <c r="A925" s="7" t="s">
        <v>2327</v>
      </c>
      <c r="B925" s="8" t="s">
        <v>5543</v>
      </c>
      <c r="C925" s="7" t="s">
        <v>5544</v>
      </c>
      <c r="D925" s="7" t="s">
        <v>3884</v>
      </c>
      <c r="E925" s="7" t="s">
        <v>3806</v>
      </c>
      <c r="F925" s="7" t="s">
        <v>3884</v>
      </c>
    </row>
    <row r="926" ht="22.5" customHeight="1">
      <c r="A926" s="7" t="s">
        <v>3800</v>
      </c>
      <c r="B926" s="8" t="s">
        <v>5545</v>
      </c>
      <c r="C926" s="7" t="s">
        <v>5546</v>
      </c>
      <c r="D926" s="7" t="s">
        <v>16</v>
      </c>
      <c r="E926" s="7" t="s">
        <v>3812</v>
      </c>
      <c r="F926" s="7" t="s">
        <v>16</v>
      </c>
    </row>
    <row r="927" ht="22.5" customHeight="1">
      <c r="A927" s="7" t="s">
        <v>3800</v>
      </c>
      <c r="B927" s="8" t="s">
        <v>5547</v>
      </c>
      <c r="C927" s="7" t="s">
        <v>5548</v>
      </c>
      <c r="D927" s="7" t="s">
        <v>26</v>
      </c>
      <c r="E927" s="7" t="s">
        <v>16</v>
      </c>
      <c r="F927" s="7" t="s">
        <v>16</v>
      </c>
    </row>
    <row r="928" ht="22.5" customHeight="1">
      <c r="A928" s="7" t="s">
        <v>3800</v>
      </c>
      <c r="B928" s="8" t="s">
        <v>5549</v>
      </c>
      <c r="C928" s="7" t="s">
        <v>5550</v>
      </c>
      <c r="D928" s="7" t="s">
        <v>16</v>
      </c>
      <c r="E928" s="7" t="s">
        <v>3803</v>
      </c>
      <c r="F928" s="7" t="s">
        <v>16</v>
      </c>
    </row>
    <row r="929" ht="22.5" customHeight="1">
      <c r="A929" s="7" t="s">
        <v>2725</v>
      </c>
      <c r="B929" s="8" t="s">
        <v>5551</v>
      </c>
      <c r="C929" s="7" t="s">
        <v>5552</v>
      </c>
      <c r="D929" s="7" t="s">
        <v>16</v>
      </c>
      <c r="E929" s="7" t="s">
        <v>3806</v>
      </c>
      <c r="F929" s="7" t="s">
        <v>3904</v>
      </c>
    </row>
    <row r="930" ht="22.5" customHeight="1">
      <c r="A930" s="7" t="s">
        <v>3800</v>
      </c>
      <c r="B930" s="8" t="s">
        <v>5553</v>
      </c>
      <c r="C930" s="7" t="s">
        <v>5554</v>
      </c>
      <c r="D930" s="7" t="s">
        <v>5219</v>
      </c>
      <c r="E930" s="7" t="s">
        <v>3803</v>
      </c>
      <c r="F930" s="7" t="s">
        <v>3952</v>
      </c>
    </row>
    <row r="931" ht="22.5" customHeight="1">
      <c r="A931" s="7" t="s">
        <v>3827</v>
      </c>
      <c r="B931" s="8" t="s">
        <v>5555</v>
      </c>
      <c r="C931" s="7" t="s">
        <v>5556</v>
      </c>
      <c r="D931" s="7" t="s">
        <v>5219</v>
      </c>
      <c r="E931" s="7" t="s">
        <v>3803</v>
      </c>
      <c r="F931" s="7" t="s">
        <v>3952</v>
      </c>
    </row>
    <row r="932" ht="22.5" customHeight="1">
      <c r="A932" s="7" t="s">
        <v>3827</v>
      </c>
      <c r="B932" s="8" t="s">
        <v>5557</v>
      </c>
      <c r="C932" s="7" t="s">
        <v>5558</v>
      </c>
      <c r="D932" s="7" t="s">
        <v>3934</v>
      </c>
      <c r="E932" s="7" t="s">
        <v>3803</v>
      </c>
      <c r="F932" s="7" t="s">
        <v>3934</v>
      </c>
    </row>
    <row r="933" ht="22.5" customHeight="1">
      <c r="A933" s="7" t="s">
        <v>3800</v>
      </c>
      <c r="B933" s="8" t="s">
        <v>5559</v>
      </c>
      <c r="C933" s="7" t="s">
        <v>5560</v>
      </c>
      <c r="D933" s="7" t="s">
        <v>16</v>
      </c>
      <c r="E933" s="7" t="s">
        <v>3806</v>
      </c>
      <c r="F933" s="7" t="s">
        <v>16</v>
      </c>
    </row>
    <row r="934" ht="22.5" customHeight="1">
      <c r="A934" s="7" t="s">
        <v>3807</v>
      </c>
      <c r="B934" s="8" t="s">
        <v>5561</v>
      </c>
      <c r="C934" s="7" t="s">
        <v>5562</v>
      </c>
      <c r="D934" s="7" t="s">
        <v>16</v>
      </c>
      <c r="E934" s="7" t="s">
        <v>3806</v>
      </c>
      <c r="F934" s="7" t="s">
        <v>16</v>
      </c>
    </row>
    <row r="935" ht="22.5" customHeight="1">
      <c r="A935" s="7" t="s">
        <v>3800</v>
      </c>
      <c r="B935" s="8" t="s">
        <v>5563</v>
      </c>
      <c r="C935" s="7" t="s">
        <v>5564</v>
      </c>
      <c r="D935" s="7" t="s">
        <v>16</v>
      </c>
      <c r="E935" s="7" t="s">
        <v>3806</v>
      </c>
      <c r="F935" s="7" t="s">
        <v>16</v>
      </c>
    </row>
    <row r="936" ht="22.5" customHeight="1">
      <c r="A936" s="7" t="s">
        <v>2327</v>
      </c>
      <c r="B936" s="8" t="s">
        <v>5565</v>
      </c>
      <c r="C936" s="7" t="s">
        <v>5566</v>
      </c>
      <c r="D936" s="7" t="s">
        <v>16</v>
      </c>
      <c r="E936" s="7" t="s">
        <v>3812</v>
      </c>
      <c r="F936" s="7" t="s">
        <v>16</v>
      </c>
    </row>
    <row r="937" ht="22.5" customHeight="1">
      <c r="A937" s="7" t="s">
        <v>2327</v>
      </c>
      <c r="B937" s="8" t="s">
        <v>5567</v>
      </c>
      <c r="C937" s="7" t="s">
        <v>5568</v>
      </c>
      <c r="D937" s="7" t="s">
        <v>16</v>
      </c>
      <c r="E937" s="7" t="s">
        <v>3799</v>
      </c>
      <c r="F937" s="7" t="s">
        <v>16</v>
      </c>
    </row>
    <row r="938" ht="22.5" customHeight="1">
      <c r="A938" s="7" t="s">
        <v>2327</v>
      </c>
      <c r="B938" s="8" t="s">
        <v>5569</v>
      </c>
      <c r="C938" s="7" t="s">
        <v>5570</v>
      </c>
      <c r="D938" s="7" t="s">
        <v>26</v>
      </c>
      <c r="E938" s="7" t="s">
        <v>16</v>
      </c>
      <c r="F938" s="7" t="s">
        <v>16</v>
      </c>
    </row>
    <row r="939" ht="22.5" customHeight="1">
      <c r="A939" s="7" t="s">
        <v>2327</v>
      </c>
      <c r="B939" s="8" t="s">
        <v>5571</v>
      </c>
      <c r="C939" s="7" t="s">
        <v>5572</v>
      </c>
      <c r="D939" s="7" t="s">
        <v>16</v>
      </c>
      <c r="E939" s="7" t="s">
        <v>3799</v>
      </c>
      <c r="F939" s="7" t="s">
        <v>16</v>
      </c>
    </row>
    <row r="940" ht="22.5" customHeight="1">
      <c r="A940" s="7" t="s">
        <v>3800</v>
      </c>
      <c r="B940" s="8" t="s">
        <v>5573</v>
      </c>
      <c r="C940" s="7" t="s">
        <v>5574</v>
      </c>
      <c r="D940" s="7" t="s">
        <v>16</v>
      </c>
      <c r="E940" s="7" t="s">
        <v>3806</v>
      </c>
      <c r="F940" s="7" t="s">
        <v>16</v>
      </c>
    </row>
    <row r="941" ht="22.5" customHeight="1">
      <c r="A941" s="7" t="s">
        <v>3800</v>
      </c>
      <c r="B941" s="8" t="s">
        <v>5575</v>
      </c>
      <c r="C941" s="7" t="s">
        <v>5576</v>
      </c>
      <c r="D941" s="7" t="s">
        <v>16</v>
      </c>
      <c r="E941" s="7" t="s">
        <v>3806</v>
      </c>
      <c r="F941" s="7" t="s">
        <v>16</v>
      </c>
    </row>
    <row r="942" ht="22.5" customHeight="1">
      <c r="A942" s="7" t="s">
        <v>3837</v>
      </c>
      <c r="B942" s="8" t="s">
        <v>5577</v>
      </c>
      <c r="C942" s="7" t="s">
        <v>5578</v>
      </c>
      <c r="D942" s="7" t="s">
        <v>26</v>
      </c>
      <c r="E942" s="7" t="s">
        <v>16</v>
      </c>
      <c r="F942" s="7" t="s">
        <v>16</v>
      </c>
    </row>
    <row r="943" ht="22.5" customHeight="1">
      <c r="A943" s="7" t="s">
        <v>2725</v>
      </c>
      <c r="B943" s="8" t="s">
        <v>5579</v>
      </c>
      <c r="C943" s="7" t="s">
        <v>5580</v>
      </c>
      <c r="D943" s="7" t="s">
        <v>16</v>
      </c>
      <c r="E943" s="7" t="s">
        <v>3812</v>
      </c>
      <c r="F943" s="7" t="s">
        <v>16</v>
      </c>
    </row>
    <row r="944" ht="22.5" customHeight="1">
      <c r="A944" s="7" t="s">
        <v>2725</v>
      </c>
      <c r="B944" s="8" t="s">
        <v>5581</v>
      </c>
      <c r="C944" s="7" t="s">
        <v>5582</v>
      </c>
      <c r="D944" s="7" t="s">
        <v>16</v>
      </c>
      <c r="E944" s="7" t="s">
        <v>3799</v>
      </c>
      <c r="F944" s="7" t="s">
        <v>16</v>
      </c>
    </row>
    <row r="945" ht="22.5" customHeight="1">
      <c r="A945" s="7" t="s">
        <v>3800</v>
      </c>
      <c r="B945" s="8" t="s">
        <v>5583</v>
      </c>
      <c r="C945" s="7" t="s">
        <v>5584</v>
      </c>
      <c r="D945" s="7" t="s">
        <v>16</v>
      </c>
      <c r="E945" s="7" t="s">
        <v>3799</v>
      </c>
      <c r="F945" s="7" t="s">
        <v>3879</v>
      </c>
    </row>
    <row r="946" ht="22.5" customHeight="1">
      <c r="A946" s="7" t="s">
        <v>3800</v>
      </c>
      <c r="B946" s="8" t="s">
        <v>5583</v>
      </c>
      <c r="C946" s="7" t="s">
        <v>5585</v>
      </c>
      <c r="D946" s="7" t="s">
        <v>26</v>
      </c>
      <c r="E946" s="7" t="s">
        <v>16</v>
      </c>
      <c r="F946" s="7" t="s">
        <v>16</v>
      </c>
    </row>
    <row r="947" ht="22.5" customHeight="1">
      <c r="A947" s="7" t="s">
        <v>3800</v>
      </c>
      <c r="B947" s="8" t="s">
        <v>5586</v>
      </c>
      <c r="C947" s="7" t="s">
        <v>5587</v>
      </c>
      <c r="D947" s="7" t="s">
        <v>151</v>
      </c>
      <c r="E947" s="7" t="s">
        <v>3799</v>
      </c>
      <c r="F947" s="7" t="s">
        <v>16</v>
      </c>
    </row>
    <row r="948" ht="22.5" customHeight="1">
      <c r="A948" s="7" t="s">
        <v>3800</v>
      </c>
      <c r="B948" s="8" t="s">
        <v>5588</v>
      </c>
      <c r="C948" s="7" t="s">
        <v>5589</v>
      </c>
      <c r="D948" s="7" t="s">
        <v>16</v>
      </c>
      <c r="E948" s="7" t="s">
        <v>3803</v>
      </c>
      <c r="F948" s="7" t="s">
        <v>3816</v>
      </c>
    </row>
    <row r="949" ht="22.5" customHeight="1">
      <c r="A949" s="7" t="s">
        <v>3800</v>
      </c>
      <c r="B949" s="8" t="s">
        <v>5590</v>
      </c>
      <c r="C949" s="7" t="s">
        <v>5591</v>
      </c>
      <c r="D949" s="7" t="s">
        <v>16</v>
      </c>
      <c r="E949" s="7" t="s">
        <v>3806</v>
      </c>
      <c r="F949" s="7" t="s">
        <v>16</v>
      </c>
    </row>
    <row r="950" ht="22.5" customHeight="1">
      <c r="A950" s="7" t="s">
        <v>2725</v>
      </c>
      <c r="B950" s="8" t="s">
        <v>5592</v>
      </c>
      <c r="C950" s="7" t="s">
        <v>5593</v>
      </c>
      <c r="D950" s="7" t="s">
        <v>16</v>
      </c>
      <c r="E950" s="7" t="s">
        <v>3803</v>
      </c>
      <c r="F950" s="7" t="s">
        <v>3816</v>
      </c>
    </row>
    <row r="951" ht="22.5" customHeight="1">
      <c r="A951" s="7" t="s">
        <v>3800</v>
      </c>
      <c r="B951" s="8" t="s">
        <v>5594</v>
      </c>
      <c r="C951" s="7" t="s">
        <v>5595</v>
      </c>
      <c r="D951" s="7" t="s">
        <v>151</v>
      </c>
      <c r="E951" s="7" t="s">
        <v>3803</v>
      </c>
      <c r="F951" s="7" t="s">
        <v>16</v>
      </c>
    </row>
    <row r="952" ht="22.5" customHeight="1">
      <c r="A952" s="7" t="s">
        <v>2327</v>
      </c>
      <c r="B952" s="8" t="s">
        <v>5596</v>
      </c>
      <c r="C952" s="7" t="s">
        <v>5597</v>
      </c>
      <c r="D952" s="7" t="s">
        <v>16</v>
      </c>
      <c r="E952" s="7" t="s">
        <v>3803</v>
      </c>
      <c r="F952" s="7" t="s">
        <v>3816</v>
      </c>
    </row>
    <row r="953" ht="22.5" customHeight="1">
      <c r="A953" s="7" t="s">
        <v>2725</v>
      </c>
      <c r="B953" s="8" t="s">
        <v>5598</v>
      </c>
      <c r="C953" s="7" t="s">
        <v>5599</v>
      </c>
      <c r="D953" s="7" t="s">
        <v>26</v>
      </c>
      <c r="E953" s="7" t="s">
        <v>16</v>
      </c>
      <c r="F953" s="7" t="s">
        <v>16</v>
      </c>
    </row>
    <row r="954" ht="22.5" customHeight="1">
      <c r="A954" s="7" t="s">
        <v>3837</v>
      </c>
      <c r="B954" s="8" t="s">
        <v>5600</v>
      </c>
      <c r="C954" s="7" t="s">
        <v>5601</v>
      </c>
      <c r="D954" s="7" t="s">
        <v>26</v>
      </c>
      <c r="E954" s="7" t="s">
        <v>16</v>
      </c>
      <c r="F954" s="7" t="s">
        <v>16</v>
      </c>
    </row>
    <row r="955" ht="22.5" customHeight="1">
      <c r="A955" s="7" t="s">
        <v>2725</v>
      </c>
      <c r="B955" s="8" t="s">
        <v>5602</v>
      </c>
      <c r="C955" s="7" t="s">
        <v>5603</v>
      </c>
      <c r="D955" s="7" t="s">
        <v>26</v>
      </c>
      <c r="E955" s="7" t="s">
        <v>16</v>
      </c>
      <c r="F955" s="7" t="s">
        <v>16</v>
      </c>
    </row>
    <row r="956" ht="22.5" customHeight="1">
      <c r="A956" s="7" t="s">
        <v>3807</v>
      </c>
      <c r="B956" s="8" t="s">
        <v>5604</v>
      </c>
      <c r="C956" s="7" t="s">
        <v>5605</v>
      </c>
      <c r="D956" s="7" t="s">
        <v>16</v>
      </c>
      <c r="E956" s="7" t="s">
        <v>3803</v>
      </c>
      <c r="F956" s="7" t="s">
        <v>3964</v>
      </c>
    </row>
    <row r="957" ht="22.5" customHeight="1">
      <c r="A957" s="7" t="s">
        <v>3807</v>
      </c>
      <c r="B957" s="8" t="s">
        <v>5604</v>
      </c>
      <c r="C957" s="7" t="s">
        <v>5606</v>
      </c>
      <c r="D957" s="7" t="s">
        <v>26</v>
      </c>
      <c r="E957" s="7" t="s">
        <v>16</v>
      </c>
      <c r="F957" s="7" t="s">
        <v>16</v>
      </c>
    </row>
    <row r="958" ht="22.5" customHeight="1">
      <c r="A958" s="7" t="s">
        <v>3871</v>
      </c>
      <c r="B958" s="8" t="s">
        <v>5607</v>
      </c>
      <c r="C958" s="7" t="s">
        <v>5608</v>
      </c>
      <c r="D958" s="7" t="s">
        <v>3871</v>
      </c>
      <c r="E958" s="7" t="s">
        <v>3803</v>
      </c>
      <c r="F958" s="7" t="s">
        <v>4633</v>
      </c>
    </row>
    <row r="959" ht="22.5" customHeight="1">
      <c r="A959" s="7" t="s">
        <v>3800</v>
      </c>
      <c r="B959" s="8" t="s">
        <v>5609</v>
      </c>
      <c r="C959" s="7" t="s">
        <v>5610</v>
      </c>
      <c r="D959" s="7" t="s">
        <v>16</v>
      </c>
      <c r="E959" s="7" t="s">
        <v>3803</v>
      </c>
      <c r="F959" s="7" t="s">
        <v>4633</v>
      </c>
    </row>
    <row r="960" ht="22.5" customHeight="1">
      <c r="A960" s="7" t="s">
        <v>3800</v>
      </c>
      <c r="B960" s="8" t="s">
        <v>5611</v>
      </c>
      <c r="C960" s="7" t="s">
        <v>5612</v>
      </c>
      <c r="D960" s="7" t="s">
        <v>16</v>
      </c>
      <c r="E960" s="7" t="s">
        <v>3803</v>
      </c>
      <c r="F960" s="7" t="s">
        <v>4633</v>
      </c>
    </row>
    <row r="961" ht="22.5" customHeight="1">
      <c r="A961" s="7" t="s">
        <v>3800</v>
      </c>
      <c r="B961" s="8" t="s">
        <v>5613</v>
      </c>
      <c r="C961" s="7" t="s">
        <v>5614</v>
      </c>
      <c r="D961" s="7" t="s">
        <v>16</v>
      </c>
      <c r="E961" s="7" t="s">
        <v>3803</v>
      </c>
      <c r="F961" s="7" t="s">
        <v>4633</v>
      </c>
    </row>
    <row r="962" ht="22.5" customHeight="1">
      <c r="A962" s="7" t="s">
        <v>2725</v>
      </c>
      <c r="B962" s="8" t="s">
        <v>5615</v>
      </c>
      <c r="C962" s="7" t="s">
        <v>5616</v>
      </c>
      <c r="D962" s="7" t="s">
        <v>16</v>
      </c>
      <c r="E962" s="7" t="s">
        <v>3803</v>
      </c>
      <c r="F962" s="7" t="s">
        <v>4633</v>
      </c>
    </row>
    <row r="963" ht="22.5" customHeight="1">
      <c r="A963" s="7" t="s">
        <v>2725</v>
      </c>
      <c r="B963" s="8" t="s">
        <v>5617</v>
      </c>
      <c r="C963" s="7" t="s">
        <v>5618</v>
      </c>
      <c r="D963" s="7" t="s">
        <v>16</v>
      </c>
      <c r="E963" s="7" t="s">
        <v>16</v>
      </c>
      <c r="F963" s="7" t="s">
        <v>16</v>
      </c>
    </row>
    <row r="964" ht="22.5" customHeight="1">
      <c r="A964" s="7" t="s">
        <v>3800</v>
      </c>
      <c r="B964" s="8" t="s">
        <v>5619</v>
      </c>
      <c r="C964" s="7" t="s">
        <v>5620</v>
      </c>
      <c r="D964" s="7" t="s">
        <v>16</v>
      </c>
      <c r="E964" s="7" t="s">
        <v>3803</v>
      </c>
      <c r="F964" s="7" t="s">
        <v>4633</v>
      </c>
    </row>
    <row r="965" ht="22.5" customHeight="1">
      <c r="A965" s="7" t="s">
        <v>3837</v>
      </c>
      <c r="B965" s="8" t="s">
        <v>5621</v>
      </c>
      <c r="C965" s="7" t="s">
        <v>5622</v>
      </c>
      <c r="D965" s="7" t="s">
        <v>16</v>
      </c>
      <c r="E965" s="7" t="s">
        <v>16</v>
      </c>
      <c r="F965" s="7" t="s">
        <v>16</v>
      </c>
    </row>
    <row r="966" ht="22.5" customHeight="1">
      <c r="A966" s="7" t="s">
        <v>3871</v>
      </c>
      <c r="B966" s="8" t="s">
        <v>5623</v>
      </c>
      <c r="C966" s="7" t="s">
        <v>5624</v>
      </c>
      <c r="D966" s="7" t="s">
        <v>3871</v>
      </c>
      <c r="E966" s="7" t="s">
        <v>3803</v>
      </c>
      <c r="F966" s="7" t="s">
        <v>4633</v>
      </c>
    </row>
    <row r="967" ht="22.5" customHeight="1">
      <c r="A967" s="7" t="s">
        <v>3800</v>
      </c>
      <c r="B967" s="8" t="s">
        <v>5625</v>
      </c>
      <c r="C967" s="7" t="s">
        <v>5626</v>
      </c>
      <c r="D967" s="7" t="s">
        <v>26</v>
      </c>
      <c r="E967" s="7" t="s">
        <v>16</v>
      </c>
      <c r="F967" s="7" t="s">
        <v>16</v>
      </c>
    </row>
    <row r="968" ht="22.5" customHeight="1">
      <c r="A968" s="7" t="s">
        <v>3827</v>
      </c>
      <c r="B968" s="8" t="s">
        <v>5627</v>
      </c>
      <c r="C968" s="7" t="s">
        <v>5628</v>
      </c>
      <c r="D968" s="7" t="s">
        <v>16</v>
      </c>
      <c r="E968" s="7" t="s">
        <v>3803</v>
      </c>
      <c r="F968" s="7" t="s">
        <v>4633</v>
      </c>
    </row>
    <row r="969" ht="22.5" customHeight="1">
      <c r="A969" s="7" t="s">
        <v>3800</v>
      </c>
      <c r="B969" s="8" t="s">
        <v>5629</v>
      </c>
      <c r="C969" s="7" t="s">
        <v>5630</v>
      </c>
      <c r="D969" s="7" t="s">
        <v>16</v>
      </c>
      <c r="E969" s="7" t="s">
        <v>3803</v>
      </c>
      <c r="F969" s="7" t="s">
        <v>4633</v>
      </c>
    </row>
    <row r="970" ht="22.5" customHeight="1">
      <c r="A970" s="7" t="s">
        <v>3800</v>
      </c>
      <c r="B970" s="8" t="s">
        <v>5629</v>
      </c>
      <c r="C970" s="7" t="s">
        <v>5631</v>
      </c>
      <c r="D970" s="7" t="s">
        <v>26</v>
      </c>
      <c r="E970" s="7" t="s">
        <v>16</v>
      </c>
      <c r="F970" s="7" t="s">
        <v>16</v>
      </c>
    </row>
    <row r="971" ht="22.5" customHeight="1">
      <c r="A971" s="7" t="s">
        <v>3800</v>
      </c>
      <c r="B971" s="8" t="s">
        <v>5629</v>
      </c>
      <c r="C971" s="7" t="s">
        <v>5632</v>
      </c>
      <c r="D971" s="7" t="s">
        <v>26</v>
      </c>
      <c r="E971" s="7" t="s">
        <v>16</v>
      </c>
      <c r="F971" s="7" t="s">
        <v>16</v>
      </c>
    </row>
    <row r="972" ht="22.5" customHeight="1">
      <c r="A972" s="7" t="s">
        <v>3837</v>
      </c>
      <c r="B972" s="8" t="s">
        <v>5633</v>
      </c>
      <c r="C972" s="7" t="s">
        <v>5634</v>
      </c>
      <c r="D972" s="7" t="s">
        <v>16</v>
      </c>
      <c r="E972" s="7" t="s">
        <v>3803</v>
      </c>
      <c r="F972" s="7" t="s">
        <v>16</v>
      </c>
    </row>
    <row r="973" ht="22.5" customHeight="1">
      <c r="A973" s="7" t="s">
        <v>3837</v>
      </c>
      <c r="B973" s="8" t="s">
        <v>5633</v>
      </c>
      <c r="C973" s="7" t="s">
        <v>5635</v>
      </c>
      <c r="D973" s="7" t="s">
        <v>26</v>
      </c>
      <c r="E973" s="7" t="s">
        <v>16</v>
      </c>
      <c r="F973" s="7" t="s">
        <v>16</v>
      </c>
    </row>
    <row r="974" ht="22.5" customHeight="1">
      <c r="A974" s="7" t="s">
        <v>3800</v>
      </c>
      <c r="B974" s="8" t="s">
        <v>5636</v>
      </c>
      <c r="C974" s="7" t="s">
        <v>5637</v>
      </c>
      <c r="D974" s="7" t="s">
        <v>16</v>
      </c>
      <c r="E974" s="7" t="s">
        <v>3812</v>
      </c>
      <c r="F974" s="7" t="s">
        <v>16</v>
      </c>
    </row>
    <row r="975" ht="22.5" customHeight="1">
      <c r="A975" s="7" t="s">
        <v>3800</v>
      </c>
      <c r="B975" s="8" t="s">
        <v>5636</v>
      </c>
      <c r="C975" s="7" t="s">
        <v>5638</v>
      </c>
      <c r="D975" s="7" t="s">
        <v>26</v>
      </c>
      <c r="E975" s="7" t="s">
        <v>16</v>
      </c>
      <c r="F975" s="7" t="s">
        <v>16</v>
      </c>
    </row>
    <row r="976" ht="22.5" customHeight="1">
      <c r="A976" s="7" t="s">
        <v>3800</v>
      </c>
      <c r="B976" s="8" t="s">
        <v>5639</v>
      </c>
      <c r="C976" s="7" t="s">
        <v>5640</v>
      </c>
      <c r="D976" s="7" t="s">
        <v>26</v>
      </c>
      <c r="E976" s="7" t="s">
        <v>16</v>
      </c>
      <c r="F976" s="7" t="s">
        <v>16</v>
      </c>
    </row>
    <row r="977" ht="22.5" customHeight="1">
      <c r="A977" s="7" t="s">
        <v>3827</v>
      </c>
      <c r="B977" s="8" t="s">
        <v>5641</v>
      </c>
      <c r="C977" s="7" t="s">
        <v>5642</v>
      </c>
      <c r="D977" s="7" t="s">
        <v>16</v>
      </c>
      <c r="E977" s="7" t="s">
        <v>3799</v>
      </c>
      <c r="F977" s="7" t="s">
        <v>16</v>
      </c>
    </row>
    <row r="978" ht="22.5" customHeight="1">
      <c r="A978" s="7" t="s">
        <v>3827</v>
      </c>
      <c r="B978" s="8" t="s">
        <v>5643</v>
      </c>
      <c r="C978" s="7" t="s">
        <v>5644</v>
      </c>
      <c r="D978" s="7" t="s">
        <v>26</v>
      </c>
      <c r="E978" s="7" t="s">
        <v>16</v>
      </c>
      <c r="F978" s="7" t="s">
        <v>16</v>
      </c>
    </row>
    <row r="979" ht="22.5" customHeight="1">
      <c r="A979" s="7" t="s">
        <v>3827</v>
      </c>
      <c r="B979" s="8" t="s">
        <v>5645</v>
      </c>
      <c r="C979" s="7" t="s">
        <v>5646</v>
      </c>
      <c r="D979" s="7" t="s">
        <v>26</v>
      </c>
      <c r="E979" s="7" t="s">
        <v>16</v>
      </c>
      <c r="F979" s="7" t="s">
        <v>16</v>
      </c>
    </row>
    <row r="980" ht="22.5" customHeight="1">
      <c r="A980" s="7" t="s">
        <v>3827</v>
      </c>
      <c r="B980" s="8" t="s">
        <v>5647</v>
      </c>
      <c r="C980" s="7" t="s">
        <v>5648</v>
      </c>
      <c r="D980" s="7" t="s">
        <v>26</v>
      </c>
      <c r="E980" s="7" t="s">
        <v>16</v>
      </c>
      <c r="F980" s="7" t="s">
        <v>16</v>
      </c>
    </row>
    <row r="981" ht="22.5" customHeight="1">
      <c r="A981" s="7" t="s">
        <v>3827</v>
      </c>
      <c r="B981" s="8" t="s">
        <v>5649</v>
      </c>
      <c r="C981" s="7" t="s">
        <v>5650</v>
      </c>
      <c r="D981" s="7" t="s">
        <v>26</v>
      </c>
      <c r="E981" s="7" t="s">
        <v>16</v>
      </c>
      <c r="F981" s="7" t="s">
        <v>16</v>
      </c>
    </row>
    <row r="982" ht="22.5" customHeight="1">
      <c r="A982" s="7" t="s">
        <v>3827</v>
      </c>
      <c r="B982" s="8" t="s">
        <v>5651</v>
      </c>
      <c r="C982" s="7" t="s">
        <v>5652</v>
      </c>
      <c r="D982" s="7" t="s">
        <v>16</v>
      </c>
      <c r="E982" s="7" t="s">
        <v>3806</v>
      </c>
      <c r="F982" s="7" t="s">
        <v>3884</v>
      </c>
    </row>
    <row r="983" ht="22.5" customHeight="1">
      <c r="A983" s="7" t="s">
        <v>3827</v>
      </c>
      <c r="B983" s="8" t="s">
        <v>5653</v>
      </c>
      <c r="C983" s="7" t="s">
        <v>5654</v>
      </c>
      <c r="D983" s="7" t="s">
        <v>26</v>
      </c>
      <c r="E983" s="7" t="s">
        <v>16</v>
      </c>
      <c r="F983" s="7" t="s">
        <v>16</v>
      </c>
    </row>
    <row r="984" ht="22.5" customHeight="1">
      <c r="A984" s="7" t="s">
        <v>3800</v>
      </c>
      <c r="B984" s="8" t="s">
        <v>5655</v>
      </c>
      <c r="C984" s="7" t="s">
        <v>5656</v>
      </c>
      <c r="D984" s="7" t="s">
        <v>26</v>
      </c>
      <c r="E984" s="7" t="s">
        <v>16</v>
      </c>
      <c r="F984" s="7" t="s">
        <v>16</v>
      </c>
    </row>
    <row r="985" ht="22.5" customHeight="1">
      <c r="A985" s="7" t="s">
        <v>3800</v>
      </c>
      <c r="B985" s="8" t="s">
        <v>5655</v>
      </c>
      <c r="C985" s="7" t="s">
        <v>5657</v>
      </c>
      <c r="D985" s="7" t="s">
        <v>105</v>
      </c>
      <c r="E985" s="7" t="s">
        <v>16</v>
      </c>
      <c r="F985" s="7" t="s">
        <v>16</v>
      </c>
    </row>
    <row r="986" ht="22.5" customHeight="1">
      <c r="A986" s="7" t="s">
        <v>3800</v>
      </c>
      <c r="B986" s="8" t="s">
        <v>5658</v>
      </c>
      <c r="C986" s="7" t="s">
        <v>5659</v>
      </c>
      <c r="D986" s="7" t="s">
        <v>26</v>
      </c>
      <c r="E986" s="7" t="s">
        <v>16</v>
      </c>
      <c r="F986" s="7" t="s">
        <v>16</v>
      </c>
    </row>
    <row r="987" ht="22.5" customHeight="1">
      <c r="A987" s="7" t="s">
        <v>2327</v>
      </c>
      <c r="B987" s="8" t="s">
        <v>5660</v>
      </c>
      <c r="C987" s="7" t="s">
        <v>5661</v>
      </c>
      <c r="D987" s="7" t="s">
        <v>26</v>
      </c>
      <c r="E987" s="7" t="s">
        <v>16</v>
      </c>
      <c r="F987" s="7" t="s">
        <v>16</v>
      </c>
    </row>
    <row r="988" ht="22.5" customHeight="1">
      <c r="A988" s="7" t="s">
        <v>2327</v>
      </c>
      <c r="B988" s="8" t="s">
        <v>5660</v>
      </c>
      <c r="C988" s="7" t="s">
        <v>5662</v>
      </c>
      <c r="D988" s="7" t="s">
        <v>26</v>
      </c>
      <c r="E988" s="7" t="s">
        <v>16</v>
      </c>
      <c r="F988" s="7" t="s">
        <v>16</v>
      </c>
    </row>
    <row r="989" ht="22.5" customHeight="1">
      <c r="A989" s="7" t="s">
        <v>2725</v>
      </c>
      <c r="B989" s="8" t="s">
        <v>5663</v>
      </c>
      <c r="C989" s="7" t="s">
        <v>5664</v>
      </c>
      <c r="D989" s="7" t="s">
        <v>26</v>
      </c>
      <c r="E989" s="7" t="s">
        <v>16</v>
      </c>
      <c r="F989" s="7" t="s">
        <v>16</v>
      </c>
    </row>
    <row r="990" ht="22.5" customHeight="1">
      <c r="A990" s="7" t="s">
        <v>3800</v>
      </c>
      <c r="B990" s="8" t="s">
        <v>5665</v>
      </c>
      <c r="C990" s="7" t="s">
        <v>5666</v>
      </c>
      <c r="D990" s="7" t="s">
        <v>16</v>
      </c>
      <c r="E990" s="7" t="s">
        <v>3799</v>
      </c>
      <c r="F990" s="7" t="s">
        <v>16</v>
      </c>
    </row>
    <row r="991" ht="22.5" customHeight="1">
      <c r="A991" s="7" t="s">
        <v>3827</v>
      </c>
      <c r="B991" s="8" t="s">
        <v>5667</v>
      </c>
      <c r="C991" s="7" t="s">
        <v>5668</v>
      </c>
      <c r="D991" s="7" t="s">
        <v>16</v>
      </c>
      <c r="E991" s="7" t="s">
        <v>3812</v>
      </c>
      <c r="F991" s="7" t="s">
        <v>16</v>
      </c>
    </row>
    <row r="992" ht="22.5" customHeight="1">
      <c r="A992" s="7" t="s">
        <v>3800</v>
      </c>
      <c r="B992" s="8" t="s">
        <v>5669</v>
      </c>
      <c r="C992" s="7" t="s">
        <v>5670</v>
      </c>
      <c r="D992" s="7" t="s">
        <v>16</v>
      </c>
      <c r="E992" s="7" t="s">
        <v>3812</v>
      </c>
      <c r="F992" s="7" t="s">
        <v>16</v>
      </c>
    </row>
    <row r="993" ht="22.5" customHeight="1">
      <c r="A993" s="7" t="s">
        <v>3800</v>
      </c>
      <c r="B993" s="8" t="s">
        <v>5671</v>
      </c>
      <c r="C993" s="7" t="s">
        <v>5672</v>
      </c>
      <c r="D993" s="7" t="s">
        <v>151</v>
      </c>
      <c r="E993" s="7" t="s">
        <v>3812</v>
      </c>
      <c r="F993" s="7" t="s">
        <v>16</v>
      </c>
    </row>
    <row r="994" ht="22.5" customHeight="1">
      <c r="A994" s="7" t="s">
        <v>2725</v>
      </c>
      <c r="B994" s="8" t="s">
        <v>5673</v>
      </c>
      <c r="C994" s="7" t="s">
        <v>5674</v>
      </c>
      <c r="D994" s="7" t="s">
        <v>16</v>
      </c>
      <c r="E994" s="7" t="s">
        <v>3812</v>
      </c>
      <c r="F994" s="7" t="s">
        <v>16</v>
      </c>
    </row>
    <row r="995" ht="22.5" customHeight="1">
      <c r="A995" s="7" t="s">
        <v>2725</v>
      </c>
      <c r="B995" s="8" t="s">
        <v>5675</v>
      </c>
      <c r="C995" s="7" t="s">
        <v>5676</v>
      </c>
      <c r="D995" s="7" t="s">
        <v>26</v>
      </c>
      <c r="E995" s="7" t="s">
        <v>16</v>
      </c>
      <c r="F995" s="7" t="s">
        <v>16</v>
      </c>
    </row>
    <row r="996" ht="22.5" customHeight="1">
      <c r="A996" s="7" t="s">
        <v>2725</v>
      </c>
      <c r="B996" s="8" t="s">
        <v>5675</v>
      </c>
      <c r="C996" s="7" t="s">
        <v>5677</v>
      </c>
      <c r="D996" s="7" t="s">
        <v>26</v>
      </c>
      <c r="E996" s="7" t="s">
        <v>16</v>
      </c>
      <c r="F996" s="7" t="s">
        <v>16</v>
      </c>
    </row>
    <row r="997" ht="22.5" customHeight="1">
      <c r="A997" s="7" t="s">
        <v>3827</v>
      </c>
      <c r="B997" s="8" t="s">
        <v>5678</v>
      </c>
      <c r="C997" s="7" t="s">
        <v>5679</v>
      </c>
      <c r="D997" s="7" t="s">
        <v>16</v>
      </c>
      <c r="E997" s="7" t="s">
        <v>3799</v>
      </c>
      <c r="F997" s="7" t="s">
        <v>3945</v>
      </c>
    </row>
    <row r="998" ht="22.5" customHeight="1">
      <c r="A998" s="7" t="s">
        <v>3827</v>
      </c>
      <c r="B998" s="8" t="s">
        <v>5678</v>
      </c>
      <c r="C998" s="7" t="s">
        <v>5680</v>
      </c>
      <c r="D998" s="7" t="s">
        <v>26</v>
      </c>
      <c r="E998" s="7" t="s">
        <v>16</v>
      </c>
      <c r="F998" s="7" t="s">
        <v>16</v>
      </c>
    </row>
    <row r="999" ht="22.5" customHeight="1">
      <c r="A999" s="7" t="s">
        <v>2327</v>
      </c>
      <c r="B999" s="8" t="s">
        <v>5681</v>
      </c>
      <c r="C999" s="7" t="s">
        <v>5682</v>
      </c>
      <c r="D999" s="7" t="s">
        <v>16</v>
      </c>
      <c r="E999" s="7" t="s">
        <v>3799</v>
      </c>
      <c r="F999" s="7" t="s">
        <v>3945</v>
      </c>
    </row>
    <row r="1000" ht="22.5" customHeight="1">
      <c r="A1000" s="7" t="s">
        <v>2327</v>
      </c>
      <c r="B1000" s="8" t="s">
        <v>5681</v>
      </c>
      <c r="C1000" s="7" t="s">
        <v>5683</v>
      </c>
      <c r="D1000" s="7" t="s">
        <v>26</v>
      </c>
      <c r="E1000" s="7" t="s">
        <v>16</v>
      </c>
      <c r="F1000" s="7" t="s">
        <v>16</v>
      </c>
    </row>
    <row r="1001" ht="22.5" customHeight="1">
      <c r="A1001" s="7" t="s">
        <v>3800</v>
      </c>
      <c r="B1001" s="8" t="s">
        <v>5684</v>
      </c>
      <c r="C1001" s="7" t="s">
        <v>5685</v>
      </c>
      <c r="D1001" s="7" t="s">
        <v>16</v>
      </c>
      <c r="E1001" s="7" t="s">
        <v>3799</v>
      </c>
      <c r="F1001" s="7" t="s">
        <v>3945</v>
      </c>
    </row>
    <row r="1002" ht="22.5" customHeight="1">
      <c r="A1002" s="7" t="s">
        <v>3807</v>
      </c>
      <c r="B1002" s="8" t="s">
        <v>5686</v>
      </c>
      <c r="C1002" s="7" t="s">
        <v>5687</v>
      </c>
      <c r="D1002" s="7" t="s">
        <v>16</v>
      </c>
      <c r="E1002" s="7" t="s">
        <v>3806</v>
      </c>
      <c r="F1002" s="7" t="s">
        <v>3945</v>
      </c>
    </row>
    <row r="1003" ht="22.5" customHeight="1">
      <c r="A1003" s="7" t="s">
        <v>3807</v>
      </c>
      <c r="B1003" s="8" t="s">
        <v>5686</v>
      </c>
      <c r="C1003" s="7" t="s">
        <v>5688</v>
      </c>
      <c r="D1003" s="7" t="s">
        <v>26</v>
      </c>
      <c r="E1003" s="7" t="s">
        <v>16</v>
      </c>
      <c r="F1003" s="7" t="s">
        <v>16</v>
      </c>
    </row>
    <row r="1004" ht="22.5" customHeight="1">
      <c r="A1004" s="7" t="s">
        <v>3827</v>
      </c>
      <c r="B1004" s="8" t="s">
        <v>5689</v>
      </c>
      <c r="C1004" s="7" t="s">
        <v>5690</v>
      </c>
      <c r="D1004" s="7" t="s">
        <v>16</v>
      </c>
      <c r="E1004" s="7" t="s">
        <v>3803</v>
      </c>
      <c r="F1004" s="7" t="s">
        <v>4633</v>
      </c>
    </row>
    <row r="1005" ht="22.5" customHeight="1">
      <c r="A1005" s="7" t="s">
        <v>2725</v>
      </c>
      <c r="B1005" s="8" t="s">
        <v>5691</v>
      </c>
      <c r="C1005" s="7" t="s">
        <v>5692</v>
      </c>
      <c r="D1005" s="7" t="s">
        <v>26</v>
      </c>
      <c r="E1005" s="7" t="s">
        <v>16</v>
      </c>
      <c r="F1005" s="7" t="s">
        <v>16</v>
      </c>
    </row>
    <row r="1006" ht="22.5" customHeight="1">
      <c r="A1006" s="7" t="s">
        <v>3800</v>
      </c>
      <c r="B1006" s="8" t="s">
        <v>5693</v>
      </c>
      <c r="C1006" s="7" t="s">
        <v>5694</v>
      </c>
      <c r="D1006" s="7" t="s">
        <v>151</v>
      </c>
      <c r="E1006" s="7" t="s">
        <v>3806</v>
      </c>
      <c r="F1006" s="7" t="s">
        <v>3816</v>
      </c>
    </row>
    <row r="1007" ht="22.5" customHeight="1">
      <c r="A1007" s="7" t="s">
        <v>3800</v>
      </c>
      <c r="B1007" s="8" t="s">
        <v>5695</v>
      </c>
      <c r="C1007" s="7" t="s">
        <v>5696</v>
      </c>
      <c r="D1007" s="7" t="s">
        <v>151</v>
      </c>
      <c r="E1007" s="7" t="s">
        <v>3806</v>
      </c>
      <c r="F1007" s="7" t="s">
        <v>16</v>
      </c>
    </row>
    <row r="1008" ht="22.5" customHeight="1">
      <c r="A1008" s="7" t="s">
        <v>3837</v>
      </c>
      <c r="B1008" s="8" t="s">
        <v>5697</v>
      </c>
      <c r="C1008" s="7" t="s">
        <v>5698</v>
      </c>
      <c r="D1008" s="7" t="s">
        <v>16</v>
      </c>
      <c r="E1008" s="7" t="s">
        <v>3806</v>
      </c>
      <c r="F1008" s="7" t="s">
        <v>16</v>
      </c>
    </row>
    <row r="1009" ht="22.5" customHeight="1">
      <c r="A1009" s="7" t="s">
        <v>3800</v>
      </c>
      <c r="B1009" s="8" t="s">
        <v>5699</v>
      </c>
      <c r="C1009" s="7" t="s">
        <v>5700</v>
      </c>
      <c r="D1009" s="7" t="s">
        <v>16</v>
      </c>
      <c r="E1009" s="7" t="s">
        <v>3803</v>
      </c>
      <c r="F1009" s="7" t="s">
        <v>3952</v>
      </c>
    </row>
    <row r="1010" ht="22.5" customHeight="1">
      <c r="A1010" s="7" t="s">
        <v>3800</v>
      </c>
      <c r="B1010" s="8" t="s">
        <v>5701</v>
      </c>
      <c r="C1010" s="7" t="s">
        <v>5702</v>
      </c>
      <c r="D1010" s="7" t="s">
        <v>26</v>
      </c>
      <c r="E1010" s="7" t="s">
        <v>16</v>
      </c>
      <c r="F1010" s="7" t="s">
        <v>16</v>
      </c>
    </row>
    <row r="1011" ht="22.5" customHeight="1">
      <c r="A1011" s="7" t="s">
        <v>2725</v>
      </c>
      <c r="B1011" s="8" t="s">
        <v>5703</v>
      </c>
      <c r="C1011" s="7" t="s">
        <v>5704</v>
      </c>
      <c r="D1011" s="7" t="s">
        <v>26</v>
      </c>
      <c r="E1011" s="7" t="s">
        <v>16</v>
      </c>
      <c r="F1011" s="7" t="s">
        <v>16</v>
      </c>
    </row>
    <row r="1012" ht="22.5" customHeight="1">
      <c r="A1012" s="7" t="s">
        <v>3800</v>
      </c>
      <c r="B1012" s="8" t="s">
        <v>5705</v>
      </c>
      <c r="C1012" s="7" t="s">
        <v>5706</v>
      </c>
      <c r="D1012" s="7" t="s">
        <v>26</v>
      </c>
      <c r="E1012" s="7" t="s">
        <v>16</v>
      </c>
      <c r="F1012" s="7" t="s">
        <v>16</v>
      </c>
    </row>
    <row r="1013" ht="22.5" customHeight="1">
      <c r="A1013" s="7" t="s">
        <v>3800</v>
      </c>
      <c r="B1013" s="8" t="s">
        <v>5707</v>
      </c>
      <c r="C1013" s="7" t="s">
        <v>5708</v>
      </c>
      <c r="D1013" s="7" t="s">
        <v>26</v>
      </c>
      <c r="E1013" s="7" t="s">
        <v>16</v>
      </c>
      <c r="F1013" s="7" t="s">
        <v>16</v>
      </c>
    </row>
    <row r="1014" ht="22.5" customHeight="1">
      <c r="A1014" s="7" t="s">
        <v>2725</v>
      </c>
      <c r="B1014" s="8" t="s">
        <v>5709</v>
      </c>
      <c r="C1014" s="7" t="s">
        <v>5710</v>
      </c>
      <c r="D1014" s="7" t="s">
        <v>16</v>
      </c>
      <c r="E1014" s="7" t="s">
        <v>3803</v>
      </c>
      <c r="F1014" s="7" t="s">
        <v>4107</v>
      </c>
    </row>
    <row r="1015" ht="22.5" customHeight="1">
      <c r="A1015" s="7" t="s">
        <v>3837</v>
      </c>
      <c r="B1015" s="8" t="s">
        <v>5711</v>
      </c>
      <c r="C1015" s="7" t="s">
        <v>5712</v>
      </c>
      <c r="D1015" s="7" t="s">
        <v>16</v>
      </c>
      <c r="E1015" s="7" t="s">
        <v>3799</v>
      </c>
      <c r="F1015" s="7" t="s">
        <v>16</v>
      </c>
    </row>
    <row r="1016" ht="22.5" customHeight="1">
      <c r="A1016" s="7" t="s">
        <v>3800</v>
      </c>
      <c r="B1016" s="8" t="s">
        <v>5713</v>
      </c>
      <c r="C1016" s="7" t="s">
        <v>5714</v>
      </c>
      <c r="D1016" s="7" t="s">
        <v>16</v>
      </c>
      <c r="E1016" s="7" t="s">
        <v>3799</v>
      </c>
      <c r="F1016" s="7" t="s">
        <v>16</v>
      </c>
    </row>
    <row r="1017" ht="22.5" customHeight="1">
      <c r="A1017" s="7" t="s">
        <v>3800</v>
      </c>
      <c r="B1017" s="8" t="s">
        <v>5715</v>
      </c>
      <c r="C1017" s="7" t="s">
        <v>5716</v>
      </c>
      <c r="D1017" s="7" t="s">
        <v>151</v>
      </c>
      <c r="E1017" s="7" t="s">
        <v>3799</v>
      </c>
      <c r="F1017" s="7" t="s">
        <v>16</v>
      </c>
    </row>
    <row r="1018" ht="22.5" customHeight="1">
      <c r="A1018" s="7" t="s">
        <v>3800</v>
      </c>
      <c r="B1018" s="8" t="s">
        <v>5715</v>
      </c>
      <c r="C1018" s="7" t="s">
        <v>5717</v>
      </c>
      <c r="D1018" s="7" t="s">
        <v>151</v>
      </c>
      <c r="E1018" s="7" t="s">
        <v>3799</v>
      </c>
      <c r="F1018" s="7" t="s">
        <v>16</v>
      </c>
    </row>
    <row r="1019" ht="22.5" customHeight="1">
      <c r="A1019" s="7" t="s">
        <v>3800</v>
      </c>
      <c r="B1019" s="8" t="s">
        <v>5715</v>
      </c>
      <c r="C1019" s="7" t="s">
        <v>5718</v>
      </c>
      <c r="D1019" s="7" t="s">
        <v>151</v>
      </c>
      <c r="E1019" s="7" t="s">
        <v>3799</v>
      </c>
      <c r="F1019" s="7" t="s">
        <v>16</v>
      </c>
    </row>
    <row r="1020" ht="22.5" customHeight="1">
      <c r="A1020" s="7" t="s">
        <v>3800</v>
      </c>
      <c r="B1020" s="8" t="s">
        <v>5715</v>
      </c>
      <c r="C1020" s="7" t="s">
        <v>5719</v>
      </c>
      <c r="D1020" s="7" t="s">
        <v>26</v>
      </c>
      <c r="E1020" s="7" t="s">
        <v>16</v>
      </c>
      <c r="F1020" s="7" t="s">
        <v>16</v>
      </c>
    </row>
    <row r="1021" ht="22.5" customHeight="1">
      <c r="A1021" s="7" t="s">
        <v>3800</v>
      </c>
      <c r="B1021" s="8" t="s">
        <v>5720</v>
      </c>
      <c r="C1021" s="7" t="s">
        <v>5721</v>
      </c>
      <c r="D1021" s="7" t="s">
        <v>26</v>
      </c>
      <c r="E1021" s="7" t="s">
        <v>16</v>
      </c>
      <c r="F1021" s="7" t="s">
        <v>16</v>
      </c>
    </row>
    <row r="1022" ht="22.5" customHeight="1">
      <c r="A1022" s="7" t="s">
        <v>3800</v>
      </c>
      <c r="B1022" s="8" t="s">
        <v>5722</v>
      </c>
      <c r="C1022" s="7" t="s">
        <v>5723</v>
      </c>
      <c r="D1022" s="7" t="s">
        <v>26</v>
      </c>
      <c r="E1022" s="7" t="s">
        <v>16</v>
      </c>
      <c r="F1022" s="7" t="s">
        <v>16</v>
      </c>
    </row>
    <row r="1023" ht="22.5" customHeight="1">
      <c r="A1023" s="7" t="s">
        <v>3800</v>
      </c>
      <c r="B1023" s="8" t="s">
        <v>5724</v>
      </c>
      <c r="C1023" s="7" t="s">
        <v>5725</v>
      </c>
      <c r="D1023" s="7" t="s">
        <v>16</v>
      </c>
      <c r="E1023" s="7" t="s">
        <v>3799</v>
      </c>
      <c r="F1023" s="7" t="s">
        <v>16</v>
      </c>
    </row>
    <row r="1024" ht="22.5" customHeight="1">
      <c r="A1024" s="7" t="s">
        <v>2725</v>
      </c>
      <c r="B1024" s="8" t="s">
        <v>5726</v>
      </c>
      <c r="C1024" s="7" t="s">
        <v>5727</v>
      </c>
      <c r="D1024" s="7" t="s">
        <v>26</v>
      </c>
      <c r="E1024" s="7" t="s">
        <v>16</v>
      </c>
      <c r="F1024" s="7" t="s">
        <v>16</v>
      </c>
    </row>
    <row r="1025" ht="22.5" customHeight="1">
      <c r="A1025" s="7" t="s">
        <v>2725</v>
      </c>
      <c r="B1025" s="8" t="s">
        <v>5728</v>
      </c>
      <c r="C1025" s="7" t="s">
        <v>5729</v>
      </c>
      <c r="D1025" s="7" t="s">
        <v>16</v>
      </c>
      <c r="E1025" s="7" t="s">
        <v>3799</v>
      </c>
      <c r="F1025" s="7" t="s">
        <v>3934</v>
      </c>
    </row>
    <row r="1026" ht="22.5" customHeight="1">
      <c r="A1026" s="7" t="s">
        <v>3827</v>
      </c>
      <c r="B1026" s="8" t="s">
        <v>5730</v>
      </c>
      <c r="C1026" s="7" t="s">
        <v>5731</v>
      </c>
      <c r="D1026" s="7" t="s">
        <v>16</v>
      </c>
      <c r="E1026" s="7" t="s">
        <v>3799</v>
      </c>
      <c r="F1026" s="7" t="s">
        <v>16</v>
      </c>
    </row>
    <row r="1027" ht="22.5" customHeight="1">
      <c r="A1027" s="7" t="s">
        <v>3800</v>
      </c>
      <c r="B1027" s="8" t="s">
        <v>5732</v>
      </c>
      <c r="C1027" s="7" t="s">
        <v>5733</v>
      </c>
      <c r="D1027" s="7" t="s">
        <v>16</v>
      </c>
      <c r="E1027" s="7" t="s">
        <v>3799</v>
      </c>
      <c r="F1027" s="7" t="s">
        <v>16</v>
      </c>
    </row>
    <row r="1028" ht="22.5" customHeight="1">
      <c r="A1028" s="7" t="s">
        <v>3800</v>
      </c>
      <c r="B1028" s="8" t="s">
        <v>5734</v>
      </c>
      <c r="C1028" s="7" t="s">
        <v>5735</v>
      </c>
      <c r="D1028" s="7" t="s">
        <v>16</v>
      </c>
      <c r="E1028" s="7" t="s">
        <v>3799</v>
      </c>
      <c r="F1028" s="7" t="s">
        <v>16</v>
      </c>
    </row>
    <row r="1029" ht="22.5" customHeight="1">
      <c r="A1029" s="7" t="s">
        <v>3800</v>
      </c>
      <c r="B1029" s="8" t="s">
        <v>5736</v>
      </c>
      <c r="C1029" s="7" t="s">
        <v>5737</v>
      </c>
      <c r="D1029" s="7" t="s">
        <v>26</v>
      </c>
      <c r="E1029" s="7" t="s">
        <v>16</v>
      </c>
      <c r="F1029" s="7" t="s">
        <v>16</v>
      </c>
    </row>
    <row r="1030" ht="22.5" customHeight="1">
      <c r="A1030" s="7" t="s">
        <v>3800</v>
      </c>
      <c r="B1030" s="8" t="s">
        <v>5738</v>
      </c>
      <c r="C1030" s="7" t="s">
        <v>5739</v>
      </c>
      <c r="D1030" s="7" t="s">
        <v>16</v>
      </c>
      <c r="E1030" s="7" t="s">
        <v>3799</v>
      </c>
      <c r="F1030" s="7" t="s">
        <v>16</v>
      </c>
    </row>
    <row r="1031" ht="22.5" customHeight="1">
      <c r="A1031" s="7" t="s">
        <v>3800</v>
      </c>
      <c r="B1031" s="8" t="s">
        <v>5740</v>
      </c>
      <c r="C1031" s="7" t="s">
        <v>5741</v>
      </c>
      <c r="D1031" s="7" t="s">
        <v>16</v>
      </c>
      <c r="E1031" s="7" t="s">
        <v>3803</v>
      </c>
      <c r="F1031" s="7" t="s">
        <v>3952</v>
      </c>
    </row>
    <row r="1032" ht="22.5" customHeight="1">
      <c r="A1032" s="7" t="s">
        <v>3871</v>
      </c>
      <c r="B1032" s="8" t="s">
        <v>5742</v>
      </c>
      <c r="C1032" s="7" t="s">
        <v>5743</v>
      </c>
      <c r="D1032" s="7" t="s">
        <v>3871</v>
      </c>
      <c r="E1032" s="7" t="s">
        <v>3806</v>
      </c>
      <c r="F1032" s="7" t="s">
        <v>3952</v>
      </c>
    </row>
    <row r="1033" ht="22.5" customHeight="1">
      <c r="A1033" s="7" t="s">
        <v>3800</v>
      </c>
      <c r="B1033" s="8" t="s">
        <v>5744</v>
      </c>
      <c r="C1033" s="7" t="s">
        <v>5745</v>
      </c>
      <c r="D1033" s="7" t="s">
        <v>16</v>
      </c>
      <c r="E1033" s="7" t="s">
        <v>3803</v>
      </c>
      <c r="F1033" s="7" t="s">
        <v>3952</v>
      </c>
    </row>
    <row r="1034" ht="22.5" customHeight="1">
      <c r="A1034" s="7" t="s">
        <v>3800</v>
      </c>
      <c r="B1034" s="8" t="s">
        <v>5744</v>
      </c>
      <c r="C1034" s="7" t="s">
        <v>5746</v>
      </c>
      <c r="D1034" s="7" t="s">
        <v>26</v>
      </c>
      <c r="E1034" s="7" t="s">
        <v>16</v>
      </c>
      <c r="F1034" s="7" t="s">
        <v>16</v>
      </c>
    </row>
    <row r="1035" ht="22.5" customHeight="1">
      <c r="A1035" s="7" t="s">
        <v>3800</v>
      </c>
      <c r="B1035" s="8" t="s">
        <v>5744</v>
      </c>
      <c r="C1035" s="7" t="s">
        <v>5747</v>
      </c>
      <c r="D1035" s="7" t="s">
        <v>26</v>
      </c>
      <c r="E1035" s="7" t="s">
        <v>16</v>
      </c>
      <c r="F1035" s="7" t="s">
        <v>16</v>
      </c>
    </row>
    <row r="1036" ht="22.5" customHeight="1">
      <c r="A1036" s="7" t="s">
        <v>3800</v>
      </c>
      <c r="B1036" s="8" t="s">
        <v>5744</v>
      </c>
      <c r="C1036" s="7" t="s">
        <v>5748</v>
      </c>
      <c r="D1036" s="7" t="s">
        <v>26</v>
      </c>
      <c r="E1036" s="7" t="s">
        <v>16</v>
      </c>
      <c r="F1036" s="7" t="s">
        <v>16</v>
      </c>
    </row>
    <row r="1037" ht="22.5" customHeight="1">
      <c r="A1037" s="7" t="s">
        <v>3800</v>
      </c>
      <c r="B1037" s="8" t="s">
        <v>5744</v>
      </c>
      <c r="C1037" s="7" t="s">
        <v>5749</v>
      </c>
      <c r="D1037" s="7" t="s">
        <v>26</v>
      </c>
      <c r="E1037" s="7" t="s">
        <v>16</v>
      </c>
      <c r="F1037" s="7" t="s">
        <v>16</v>
      </c>
    </row>
    <row r="1038" ht="22.5" customHeight="1">
      <c r="A1038" s="7" t="s">
        <v>2327</v>
      </c>
      <c r="B1038" s="8" t="s">
        <v>5750</v>
      </c>
      <c r="C1038" s="7" t="s">
        <v>5751</v>
      </c>
      <c r="D1038" s="7" t="s">
        <v>16</v>
      </c>
      <c r="E1038" s="7" t="s">
        <v>3803</v>
      </c>
      <c r="F1038" s="7" t="s">
        <v>3816</v>
      </c>
    </row>
    <row r="1039" ht="22.5" customHeight="1">
      <c r="A1039" s="7" t="s">
        <v>3807</v>
      </c>
      <c r="B1039" s="8" t="s">
        <v>5752</v>
      </c>
      <c r="C1039" s="7" t="s">
        <v>5753</v>
      </c>
      <c r="D1039" s="7" t="s">
        <v>16</v>
      </c>
      <c r="E1039" s="7" t="s">
        <v>3812</v>
      </c>
      <c r="F1039" s="7" t="s">
        <v>4107</v>
      </c>
    </row>
    <row r="1040" ht="22.5" customHeight="1">
      <c r="A1040" s="7" t="s">
        <v>3807</v>
      </c>
      <c r="B1040" s="8" t="s">
        <v>5754</v>
      </c>
      <c r="C1040" s="7" t="s">
        <v>5755</v>
      </c>
      <c r="D1040" s="7" t="s">
        <v>16</v>
      </c>
      <c r="E1040" s="7" t="s">
        <v>3812</v>
      </c>
      <c r="F1040" s="7" t="s">
        <v>16</v>
      </c>
    </row>
    <row r="1041" ht="22.5" customHeight="1">
      <c r="A1041" s="7" t="s">
        <v>3800</v>
      </c>
      <c r="B1041" s="8" t="s">
        <v>5756</v>
      </c>
      <c r="C1041" s="7" t="s">
        <v>5757</v>
      </c>
      <c r="D1041" s="7" t="s">
        <v>16</v>
      </c>
      <c r="E1041" s="7" t="s">
        <v>3812</v>
      </c>
      <c r="F1041" s="7" t="s">
        <v>4107</v>
      </c>
    </row>
    <row r="1042" ht="22.5" customHeight="1">
      <c r="A1042" s="7" t="s">
        <v>3871</v>
      </c>
      <c r="B1042" s="8" t="s">
        <v>5758</v>
      </c>
      <c r="C1042" s="7" t="s">
        <v>5759</v>
      </c>
      <c r="D1042" s="7" t="s">
        <v>3871</v>
      </c>
      <c r="E1042" s="7" t="s">
        <v>3806</v>
      </c>
      <c r="F1042" s="7" t="s">
        <v>16</v>
      </c>
    </row>
    <row r="1043" ht="22.5" customHeight="1">
      <c r="A1043" s="7" t="s">
        <v>3871</v>
      </c>
      <c r="B1043" s="8" t="s">
        <v>5760</v>
      </c>
      <c r="C1043" s="7" t="s">
        <v>5761</v>
      </c>
      <c r="D1043" s="7" t="s">
        <v>3871</v>
      </c>
      <c r="E1043" s="7" t="s">
        <v>3806</v>
      </c>
      <c r="F1043" s="7" t="s">
        <v>16</v>
      </c>
    </row>
    <row r="1044" ht="22.5" customHeight="1">
      <c r="A1044" s="7" t="s">
        <v>3827</v>
      </c>
      <c r="B1044" s="8" t="s">
        <v>5762</v>
      </c>
      <c r="C1044" s="7" t="s">
        <v>5763</v>
      </c>
      <c r="D1044" s="7" t="s">
        <v>26</v>
      </c>
      <c r="E1044" s="7" t="s">
        <v>16</v>
      </c>
      <c r="F1044" s="7" t="s">
        <v>16</v>
      </c>
    </row>
    <row r="1045" ht="22.5" customHeight="1">
      <c r="A1045" s="7" t="s">
        <v>3827</v>
      </c>
      <c r="B1045" s="8" t="s">
        <v>5764</v>
      </c>
      <c r="C1045" s="7" t="s">
        <v>5765</v>
      </c>
      <c r="D1045" s="7" t="s">
        <v>26</v>
      </c>
      <c r="E1045" s="7" t="s">
        <v>16</v>
      </c>
      <c r="F1045" s="7" t="s">
        <v>16</v>
      </c>
    </row>
    <row r="1046" ht="22.5" customHeight="1">
      <c r="A1046" s="7" t="s">
        <v>3871</v>
      </c>
      <c r="B1046" s="8" t="s">
        <v>5766</v>
      </c>
      <c r="C1046" s="7" t="s">
        <v>5767</v>
      </c>
      <c r="D1046" s="7" t="s">
        <v>26</v>
      </c>
      <c r="E1046" s="7" t="s">
        <v>16</v>
      </c>
      <c r="F1046" s="7" t="s">
        <v>16</v>
      </c>
    </row>
    <row r="1047" ht="22.5" customHeight="1">
      <c r="A1047" s="7" t="s">
        <v>3871</v>
      </c>
      <c r="B1047" s="8" t="s">
        <v>5766</v>
      </c>
      <c r="C1047" s="7" t="s">
        <v>5768</v>
      </c>
      <c r="D1047" s="7" t="s">
        <v>26</v>
      </c>
      <c r="E1047" s="7" t="s">
        <v>16</v>
      </c>
      <c r="F1047" s="7" t="s">
        <v>16</v>
      </c>
    </row>
    <row r="1048" ht="22.5" customHeight="1">
      <c r="A1048" s="7" t="s">
        <v>3837</v>
      </c>
      <c r="B1048" s="8" t="s">
        <v>5769</v>
      </c>
      <c r="C1048" s="7" t="s">
        <v>5770</v>
      </c>
      <c r="D1048" s="7" t="s">
        <v>16</v>
      </c>
      <c r="E1048" s="7" t="s">
        <v>3799</v>
      </c>
      <c r="F1048" s="7" t="s">
        <v>3816</v>
      </c>
    </row>
    <row r="1049" ht="22.5" customHeight="1">
      <c r="A1049" s="7" t="s">
        <v>3800</v>
      </c>
      <c r="B1049" s="8" t="s">
        <v>5771</v>
      </c>
      <c r="C1049" s="7" t="s">
        <v>5772</v>
      </c>
      <c r="D1049" s="7" t="s">
        <v>16</v>
      </c>
      <c r="E1049" s="7" t="s">
        <v>3812</v>
      </c>
      <c r="F1049" s="7" t="s">
        <v>16</v>
      </c>
    </row>
    <row r="1050" ht="22.5" customHeight="1">
      <c r="A1050" s="7" t="s">
        <v>3800</v>
      </c>
      <c r="B1050" s="8" t="s">
        <v>5773</v>
      </c>
      <c r="C1050" s="7" t="s">
        <v>5774</v>
      </c>
      <c r="D1050" s="7" t="s">
        <v>16</v>
      </c>
      <c r="E1050" s="7" t="s">
        <v>3799</v>
      </c>
      <c r="F1050" s="7" t="s">
        <v>16</v>
      </c>
    </row>
    <row r="1051" ht="22.5" customHeight="1">
      <c r="A1051" s="7" t="s">
        <v>3807</v>
      </c>
      <c r="B1051" s="8" t="s">
        <v>5775</v>
      </c>
      <c r="C1051" s="7" t="s">
        <v>5776</v>
      </c>
      <c r="D1051" s="7" t="s">
        <v>16</v>
      </c>
      <c r="E1051" s="7" t="s">
        <v>3799</v>
      </c>
      <c r="F1051" s="7" t="s">
        <v>16</v>
      </c>
    </row>
    <row r="1052" ht="22.5" customHeight="1">
      <c r="A1052" s="7" t="s">
        <v>2725</v>
      </c>
      <c r="B1052" s="8" t="s">
        <v>5777</v>
      </c>
      <c r="C1052" s="7" t="s">
        <v>5778</v>
      </c>
      <c r="D1052" s="7" t="s">
        <v>26</v>
      </c>
      <c r="E1052" s="7" t="s">
        <v>16</v>
      </c>
      <c r="F1052" s="7" t="s">
        <v>16</v>
      </c>
    </row>
    <row r="1053" ht="22.5" customHeight="1">
      <c r="A1053" s="7" t="s">
        <v>3800</v>
      </c>
      <c r="B1053" s="8" t="s">
        <v>5779</v>
      </c>
      <c r="C1053" s="7" t="s">
        <v>5780</v>
      </c>
      <c r="D1053" s="7" t="s">
        <v>26</v>
      </c>
      <c r="E1053" s="7" t="s">
        <v>16</v>
      </c>
      <c r="F1053" s="7" t="s">
        <v>16</v>
      </c>
    </row>
    <row r="1054" ht="22.5" customHeight="1">
      <c r="A1054" s="7" t="s">
        <v>3837</v>
      </c>
      <c r="B1054" s="8" t="s">
        <v>5781</v>
      </c>
      <c r="C1054" s="7" t="s">
        <v>5782</v>
      </c>
      <c r="D1054" s="7" t="s">
        <v>26</v>
      </c>
      <c r="E1054" s="7" t="s">
        <v>16</v>
      </c>
      <c r="F1054" s="7" t="s">
        <v>16</v>
      </c>
    </row>
    <row r="1055" ht="22.5" customHeight="1">
      <c r="A1055" s="7" t="s">
        <v>3837</v>
      </c>
      <c r="B1055" s="8" t="s">
        <v>5781</v>
      </c>
      <c r="C1055" s="7" t="s">
        <v>5783</v>
      </c>
      <c r="D1055" s="7" t="s">
        <v>26</v>
      </c>
      <c r="E1055" s="7" t="s">
        <v>16</v>
      </c>
      <c r="F1055" s="7" t="s">
        <v>16</v>
      </c>
    </row>
    <row r="1056" ht="22.5" customHeight="1">
      <c r="A1056" s="7" t="s">
        <v>2725</v>
      </c>
      <c r="B1056" s="8" t="s">
        <v>5784</v>
      </c>
      <c r="C1056" s="7" t="s">
        <v>5785</v>
      </c>
      <c r="D1056" s="7" t="s">
        <v>26</v>
      </c>
      <c r="E1056" s="7" t="s">
        <v>16</v>
      </c>
      <c r="F1056" s="7" t="s">
        <v>16</v>
      </c>
    </row>
    <row r="1057" ht="22.5" customHeight="1">
      <c r="A1057" s="7" t="s">
        <v>3800</v>
      </c>
      <c r="B1057" s="8" t="s">
        <v>5786</v>
      </c>
      <c r="C1057" s="7" t="s">
        <v>5787</v>
      </c>
      <c r="D1057" s="7" t="s">
        <v>16</v>
      </c>
      <c r="E1057" s="7" t="s">
        <v>3812</v>
      </c>
      <c r="F1057" s="7" t="s">
        <v>16</v>
      </c>
    </row>
    <row r="1058" ht="22.5" customHeight="1">
      <c r="A1058" s="7" t="s">
        <v>3827</v>
      </c>
      <c r="B1058" s="8" t="s">
        <v>5788</v>
      </c>
      <c r="C1058" s="7" t="s">
        <v>5789</v>
      </c>
      <c r="D1058" s="7" t="s">
        <v>26</v>
      </c>
      <c r="E1058" s="7" t="s">
        <v>16</v>
      </c>
      <c r="F1058" s="7" t="s">
        <v>16</v>
      </c>
    </row>
    <row r="1059" ht="22.5" customHeight="1">
      <c r="A1059" s="7" t="s">
        <v>2725</v>
      </c>
      <c r="B1059" s="8" t="s">
        <v>5790</v>
      </c>
      <c r="C1059" s="7" t="s">
        <v>5791</v>
      </c>
      <c r="D1059" s="7" t="s">
        <v>16</v>
      </c>
      <c r="E1059" s="7" t="s">
        <v>3806</v>
      </c>
      <c r="F1059" s="7" t="s">
        <v>3884</v>
      </c>
    </row>
    <row r="1060" ht="22.5" customHeight="1">
      <c r="A1060" s="7" t="s">
        <v>2725</v>
      </c>
      <c r="B1060" s="8" t="s">
        <v>5792</v>
      </c>
      <c r="C1060" s="7" t="s">
        <v>5793</v>
      </c>
      <c r="D1060" s="7" t="s">
        <v>26</v>
      </c>
      <c r="E1060" s="7" t="s">
        <v>16</v>
      </c>
      <c r="F1060" s="7" t="s">
        <v>16</v>
      </c>
    </row>
    <row r="1061" ht="22.5" customHeight="1">
      <c r="A1061" s="7" t="s">
        <v>3807</v>
      </c>
      <c r="B1061" s="8" t="s">
        <v>5794</v>
      </c>
      <c r="C1061" s="7" t="s">
        <v>5795</v>
      </c>
      <c r="D1061" s="7" t="s">
        <v>26</v>
      </c>
      <c r="E1061" s="7" t="s">
        <v>16</v>
      </c>
      <c r="F1061" s="7" t="s">
        <v>16</v>
      </c>
    </row>
    <row r="1062" ht="22.5" customHeight="1">
      <c r="A1062" s="7" t="s">
        <v>2725</v>
      </c>
      <c r="B1062" s="8" t="s">
        <v>5796</v>
      </c>
      <c r="C1062" s="7" t="s">
        <v>5797</v>
      </c>
      <c r="D1062" s="7" t="s">
        <v>26</v>
      </c>
      <c r="E1062" s="7" t="s">
        <v>16</v>
      </c>
      <c r="F1062" s="7" t="s">
        <v>16</v>
      </c>
    </row>
    <row r="1063" ht="22.5" customHeight="1">
      <c r="A1063" s="7" t="s">
        <v>3800</v>
      </c>
      <c r="B1063" s="8" t="s">
        <v>5798</v>
      </c>
      <c r="C1063" s="7" t="s">
        <v>5799</v>
      </c>
      <c r="D1063" s="7" t="s">
        <v>16</v>
      </c>
      <c r="E1063" s="7" t="s">
        <v>3799</v>
      </c>
      <c r="F1063" s="7" t="s">
        <v>16</v>
      </c>
    </row>
    <row r="1064" ht="22.5" customHeight="1">
      <c r="A1064" s="7" t="s">
        <v>3837</v>
      </c>
      <c r="B1064" s="8" t="s">
        <v>5800</v>
      </c>
      <c r="C1064" s="7" t="s">
        <v>5801</v>
      </c>
      <c r="D1064" s="7" t="s">
        <v>26</v>
      </c>
      <c r="E1064" s="7" t="s">
        <v>16</v>
      </c>
      <c r="F1064" s="7" t="s">
        <v>16</v>
      </c>
    </row>
    <row r="1065" ht="22.5" customHeight="1">
      <c r="A1065" s="7" t="s">
        <v>3827</v>
      </c>
      <c r="B1065" s="8" t="s">
        <v>5802</v>
      </c>
      <c r="C1065" s="7" t="s">
        <v>5803</v>
      </c>
      <c r="D1065" s="7" t="s">
        <v>26</v>
      </c>
      <c r="E1065" s="7" t="s">
        <v>16</v>
      </c>
      <c r="F1065" s="7" t="s">
        <v>16</v>
      </c>
    </row>
    <row r="1066" ht="22.5" customHeight="1">
      <c r="A1066" s="7" t="s">
        <v>3800</v>
      </c>
      <c r="B1066" s="8" t="s">
        <v>5804</v>
      </c>
      <c r="C1066" s="7" t="s">
        <v>5805</v>
      </c>
      <c r="D1066" s="7" t="s">
        <v>26</v>
      </c>
      <c r="E1066" s="7" t="s">
        <v>16</v>
      </c>
      <c r="F1066" s="7" t="s">
        <v>16</v>
      </c>
    </row>
    <row r="1067" ht="22.5" customHeight="1">
      <c r="A1067" s="7" t="s">
        <v>2725</v>
      </c>
      <c r="B1067" s="8" t="s">
        <v>5806</v>
      </c>
      <c r="C1067" s="7" t="s">
        <v>5807</v>
      </c>
      <c r="D1067" s="7" t="s">
        <v>26</v>
      </c>
      <c r="E1067" s="7" t="s">
        <v>16</v>
      </c>
      <c r="F1067" s="7" t="s">
        <v>16</v>
      </c>
    </row>
    <row r="1068" ht="22.5" customHeight="1">
      <c r="A1068" s="7" t="s">
        <v>3800</v>
      </c>
      <c r="B1068" s="8" t="s">
        <v>5808</v>
      </c>
      <c r="C1068" s="7" t="s">
        <v>5809</v>
      </c>
      <c r="D1068" s="7" t="s">
        <v>16</v>
      </c>
      <c r="E1068" s="7" t="s">
        <v>3806</v>
      </c>
      <c r="F1068" s="7" t="s">
        <v>3816</v>
      </c>
    </row>
    <row r="1069" ht="22.5" customHeight="1">
      <c r="A1069" s="7" t="s">
        <v>3871</v>
      </c>
      <c r="B1069" s="8" t="s">
        <v>5810</v>
      </c>
      <c r="C1069" s="7" t="s">
        <v>5811</v>
      </c>
      <c r="D1069" s="7" t="s">
        <v>26</v>
      </c>
      <c r="E1069" s="7" t="s">
        <v>16</v>
      </c>
      <c r="F1069" s="7" t="s">
        <v>16</v>
      </c>
    </row>
    <row r="1070" ht="22.5" customHeight="1">
      <c r="A1070" s="7" t="s">
        <v>3827</v>
      </c>
      <c r="B1070" s="8" t="s">
        <v>5812</v>
      </c>
      <c r="C1070" s="7" t="s">
        <v>5813</v>
      </c>
      <c r="D1070" s="7" t="s">
        <v>26</v>
      </c>
      <c r="E1070" s="7" t="s">
        <v>16</v>
      </c>
      <c r="F1070" s="7" t="s">
        <v>16</v>
      </c>
    </row>
    <row r="1071" ht="22.5" customHeight="1">
      <c r="A1071" s="7" t="s">
        <v>3800</v>
      </c>
      <c r="B1071" s="8" t="s">
        <v>5814</v>
      </c>
      <c r="C1071" s="7" t="s">
        <v>5815</v>
      </c>
      <c r="D1071" s="7" t="s">
        <v>26</v>
      </c>
      <c r="E1071" s="7" t="s">
        <v>16</v>
      </c>
      <c r="F1071" s="7" t="s">
        <v>16</v>
      </c>
    </row>
    <row r="1072" ht="22.5" customHeight="1">
      <c r="A1072" s="7" t="s">
        <v>3800</v>
      </c>
      <c r="B1072" s="8" t="s">
        <v>5816</v>
      </c>
      <c r="C1072" s="7" t="s">
        <v>5817</v>
      </c>
      <c r="D1072" s="7" t="s">
        <v>26</v>
      </c>
      <c r="E1072" s="7" t="s">
        <v>16</v>
      </c>
      <c r="F1072" s="7" t="s">
        <v>16</v>
      </c>
    </row>
    <row r="1073" ht="22.5" customHeight="1">
      <c r="A1073" s="7" t="s">
        <v>3800</v>
      </c>
      <c r="B1073" s="8" t="s">
        <v>5818</v>
      </c>
      <c r="C1073" s="7" t="s">
        <v>5819</v>
      </c>
      <c r="D1073" s="7" t="s">
        <v>16</v>
      </c>
      <c r="E1073" s="7" t="s">
        <v>3799</v>
      </c>
      <c r="F1073" s="7" t="s">
        <v>16</v>
      </c>
    </row>
    <row r="1074" ht="22.5" customHeight="1">
      <c r="A1074" s="7" t="s">
        <v>2725</v>
      </c>
      <c r="B1074" s="8" t="s">
        <v>5820</v>
      </c>
      <c r="C1074" s="7" t="s">
        <v>5821</v>
      </c>
      <c r="D1074" s="7" t="s">
        <v>16</v>
      </c>
      <c r="E1074" s="7" t="s">
        <v>3799</v>
      </c>
      <c r="F1074" s="7" t="s">
        <v>16</v>
      </c>
    </row>
    <row r="1075" ht="22.5" customHeight="1">
      <c r="A1075" s="7" t="s">
        <v>3800</v>
      </c>
      <c r="B1075" s="8" t="s">
        <v>5822</v>
      </c>
      <c r="C1075" s="7" t="s">
        <v>5823</v>
      </c>
      <c r="D1075" s="7" t="s">
        <v>26</v>
      </c>
      <c r="E1075" s="7" t="s">
        <v>16</v>
      </c>
      <c r="F1075" s="7" t="s">
        <v>16</v>
      </c>
    </row>
    <row r="1076" ht="22.5" customHeight="1">
      <c r="A1076" s="7" t="s">
        <v>3827</v>
      </c>
      <c r="B1076" s="8" t="s">
        <v>5824</v>
      </c>
      <c r="C1076" s="7" t="s">
        <v>5825</v>
      </c>
      <c r="D1076" s="7" t="s">
        <v>16</v>
      </c>
      <c r="E1076" s="7" t="s">
        <v>3803</v>
      </c>
      <c r="F1076" s="7" t="s">
        <v>16</v>
      </c>
    </row>
    <row r="1077" ht="22.5" customHeight="1">
      <c r="A1077" s="7" t="s">
        <v>3800</v>
      </c>
      <c r="B1077" s="8" t="s">
        <v>5826</v>
      </c>
      <c r="C1077" s="7" t="s">
        <v>5827</v>
      </c>
      <c r="D1077" s="7" t="s">
        <v>26</v>
      </c>
      <c r="E1077" s="7" t="s">
        <v>16</v>
      </c>
      <c r="F1077" s="7" t="s">
        <v>16</v>
      </c>
    </row>
    <row r="1078" ht="22.5" customHeight="1">
      <c r="A1078" s="7" t="s">
        <v>3800</v>
      </c>
      <c r="B1078" s="8" t="s">
        <v>5826</v>
      </c>
      <c r="C1078" s="7" t="s">
        <v>5828</v>
      </c>
      <c r="D1078" s="7" t="s">
        <v>26</v>
      </c>
      <c r="E1078" s="7" t="s">
        <v>16</v>
      </c>
      <c r="F1078" s="7" t="s">
        <v>16</v>
      </c>
    </row>
    <row r="1079" ht="22.5" customHeight="1">
      <c r="A1079" s="7" t="s">
        <v>3800</v>
      </c>
      <c r="B1079" s="8" t="s">
        <v>5829</v>
      </c>
      <c r="C1079" s="7" t="s">
        <v>5830</v>
      </c>
      <c r="D1079" s="7" t="s">
        <v>26</v>
      </c>
      <c r="E1079" s="7" t="s">
        <v>16</v>
      </c>
      <c r="F1079" s="7" t="s">
        <v>16</v>
      </c>
    </row>
    <row r="1080" ht="22.5" customHeight="1">
      <c r="A1080" s="7" t="s">
        <v>3800</v>
      </c>
      <c r="B1080" s="8" t="s">
        <v>5831</v>
      </c>
      <c r="C1080" s="7" t="s">
        <v>5832</v>
      </c>
      <c r="D1080" s="7" t="s">
        <v>16</v>
      </c>
      <c r="E1080" s="7" t="s">
        <v>3806</v>
      </c>
      <c r="F1080" s="7" t="s">
        <v>3816</v>
      </c>
    </row>
    <row r="1081" ht="22.5" customHeight="1">
      <c r="A1081" s="7" t="s">
        <v>3800</v>
      </c>
      <c r="B1081" s="8" t="s">
        <v>5833</v>
      </c>
      <c r="C1081" s="7" t="s">
        <v>5834</v>
      </c>
      <c r="D1081" s="7" t="s">
        <v>26</v>
      </c>
      <c r="E1081" s="7" t="s">
        <v>16</v>
      </c>
      <c r="F1081" s="7" t="s">
        <v>16</v>
      </c>
    </row>
    <row r="1082" ht="22.5" customHeight="1">
      <c r="A1082" s="7" t="s">
        <v>2725</v>
      </c>
      <c r="B1082" s="8" t="s">
        <v>5835</v>
      </c>
      <c r="C1082" s="7" t="s">
        <v>5836</v>
      </c>
      <c r="D1082" s="7" t="s">
        <v>16</v>
      </c>
      <c r="E1082" s="7" t="s">
        <v>3799</v>
      </c>
      <c r="F1082" s="7" t="s">
        <v>16</v>
      </c>
    </row>
    <row r="1083" ht="22.5" customHeight="1">
      <c r="A1083" s="7" t="s">
        <v>2327</v>
      </c>
      <c r="B1083" s="8" t="s">
        <v>5837</v>
      </c>
      <c r="C1083" s="7" t="s">
        <v>5838</v>
      </c>
      <c r="D1083" s="7" t="s">
        <v>16</v>
      </c>
      <c r="E1083" s="7" t="s">
        <v>3806</v>
      </c>
      <c r="F1083" s="7" t="s">
        <v>16</v>
      </c>
    </row>
    <row r="1084" ht="22.5" customHeight="1">
      <c r="A1084" s="7" t="s">
        <v>2725</v>
      </c>
      <c r="B1084" s="8" t="s">
        <v>5839</v>
      </c>
      <c r="C1084" s="7" t="s">
        <v>5840</v>
      </c>
      <c r="D1084" s="7" t="s">
        <v>26</v>
      </c>
      <c r="E1084" s="7" t="s">
        <v>16</v>
      </c>
      <c r="F1084" s="7" t="s">
        <v>16</v>
      </c>
    </row>
    <row r="1085" ht="22.5" customHeight="1">
      <c r="A1085" s="7" t="s">
        <v>3800</v>
      </c>
      <c r="B1085" s="8" t="s">
        <v>5841</v>
      </c>
      <c r="C1085" s="7" t="s">
        <v>5842</v>
      </c>
      <c r="D1085" s="7" t="s">
        <v>16</v>
      </c>
      <c r="E1085" s="7" t="s">
        <v>3806</v>
      </c>
      <c r="F1085" s="7" t="s">
        <v>16</v>
      </c>
    </row>
    <row r="1086" ht="22.5" customHeight="1">
      <c r="A1086" s="7" t="s">
        <v>3800</v>
      </c>
      <c r="B1086" s="8" t="s">
        <v>5843</v>
      </c>
      <c r="C1086" s="7" t="s">
        <v>5844</v>
      </c>
      <c r="D1086" s="7" t="s">
        <v>16</v>
      </c>
      <c r="E1086" s="7" t="s">
        <v>3806</v>
      </c>
      <c r="F1086" s="7" t="s">
        <v>3816</v>
      </c>
    </row>
    <row r="1087" ht="22.5" customHeight="1">
      <c r="A1087" s="7" t="s">
        <v>3827</v>
      </c>
      <c r="B1087" s="8" t="s">
        <v>5845</v>
      </c>
      <c r="C1087" s="7" t="s">
        <v>5846</v>
      </c>
      <c r="D1087" s="7" t="s">
        <v>16</v>
      </c>
      <c r="E1087" s="7" t="s">
        <v>3806</v>
      </c>
      <c r="F1087" s="7" t="s">
        <v>16</v>
      </c>
    </row>
    <row r="1088" ht="22.5" customHeight="1">
      <c r="A1088" s="7" t="s">
        <v>3800</v>
      </c>
      <c r="B1088" s="8" t="s">
        <v>5847</v>
      </c>
      <c r="C1088" s="7" t="s">
        <v>5848</v>
      </c>
      <c r="D1088" s="7" t="s">
        <v>151</v>
      </c>
      <c r="E1088" s="7" t="s">
        <v>3806</v>
      </c>
      <c r="F1088" s="7" t="s">
        <v>16</v>
      </c>
    </row>
    <row r="1089" ht="22.5" customHeight="1">
      <c r="A1089" s="7" t="s">
        <v>3800</v>
      </c>
      <c r="B1089" s="8" t="s">
        <v>5849</v>
      </c>
      <c r="C1089" s="7" t="s">
        <v>5850</v>
      </c>
      <c r="D1089" s="7" t="s">
        <v>16</v>
      </c>
      <c r="E1089" s="7" t="s">
        <v>3803</v>
      </c>
      <c r="F1089" s="7" t="s">
        <v>3816</v>
      </c>
    </row>
    <row r="1090" ht="22.5" customHeight="1">
      <c r="A1090" s="7" t="s">
        <v>3807</v>
      </c>
      <c r="B1090" s="8" t="s">
        <v>5851</v>
      </c>
      <c r="C1090" s="7" t="s">
        <v>5852</v>
      </c>
      <c r="D1090" s="7" t="s">
        <v>16</v>
      </c>
      <c r="E1090" s="7" t="s">
        <v>3806</v>
      </c>
      <c r="F1090" s="7" t="s">
        <v>16</v>
      </c>
    </row>
    <row r="1091" ht="22.5" customHeight="1">
      <c r="A1091" s="7" t="s">
        <v>3807</v>
      </c>
      <c r="B1091" s="8" t="s">
        <v>5853</v>
      </c>
      <c r="C1091" s="7" t="s">
        <v>5854</v>
      </c>
      <c r="D1091" s="7" t="s">
        <v>16</v>
      </c>
      <c r="E1091" s="7" t="s">
        <v>3799</v>
      </c>
      <c r="F1091" s="7" t="s">
        <v>16</v>
      </c>
    </row>
    <row r="1092" ht="22.5" customHeight="1">
      <c r="A1092" s="7" t="s">
        <v>2725</v>
      </c>
      <c r="B1092" s="8" t="s">
        <v>5855</v>
      </c>
      <c r="C1092" s="7" t="s">
        <v>5856</v>
      </c>
      <c r="D1092" s="7" t="s">
        <v>16</v>
      </c>
      <c r="E1092" s="7" t="s">
        <v>3799</v>
      </c>
      <c r="F1092" s="7" t="s">
        <v>16</v>
      </c>
    </row>
    <row r="1093" ht="22.5" customHeight="1">
      <c r="A1093" s="7" t="s">
        <v>3807</v>
      </c>
      <c r="B1093" s="8" t="s">
        <v>5857</v>
      </c>
      <c r="C1093" s="7" t="s">
        <v>5858</v>
      </c>
      <c r="D1093" s="7" t="s">
        <v>16</v>
      </c>
      <c r="E1093" s="7" t="s">
        <v>3803</v>
      </c>
      <c r="F1093" s="7" t="s">
        <v>3816</v>
      </c>
    </row>
    <row r="1094" ht="22.5" customHeight="1">
      <c r="A1094" s="7" t="s">
        <v>3800</v>
      </c>
      <c r="B1094" s="8" t="s">
        <v>5859</v>
      </c>
      <c r="C1094" s="7" t="s">
        <v>5860</v>
      </c>
      <c r="D1094" s="7" t="s">
        <v>16</v>
      </c>
      <c r="E1094" s="7" t="s">
        <v>3806</v>
      </c>
      <c r="F1094" s="7" t="s">
        <v>4671</v>
      </c>
    </row>
    <row r="1095" ht="22.5" customHeight="1">
      <c r="A1095" s="7" t="s">
        <v>3800</v>
      </c>
      <c r="B1095" s="8" t="s">
        <v>5861</v>
      </c>
      <c r="C1095" s="7" t="s">
        <v>5862</v>
      </c>
      <c r="D1095" s="7" t="s">
        <v>16</v>
      </c>
      <c r="E1095" s="7" t="s">
        <v>3803</v>
      </c>
      <c r="F1095" s="7" t="s">
        <v>4671</v>
      </c>
    </row>
    <row r="1096" ht="22.5" customHeight="1">
      <c r="A1096" s="7" t="s">
        <v>3827</v>
      </c>
      <c r="B1096" s="8" t="s">
        <v>5863</v>
      </c>
      <c r="C1096" s="7" t="s">
        <v>5864</v>
      </c>
      <c r="D1096" s="7" t="s">
        <v>16</v>
      </c>
      <c r="E1096" s="7" t="s">
        <v>3806</v>
      </c>
      <c r="F1096" s="7" t="s">
        <v>3816</v>
      </c>
    </row>
    <row r="1097" ht="22.5" customHeight="1">
      <c r="A1097" s="7" t="s">
        <v>2725</v>
      </c>
      <c r="B1097" s="8" t="s">
        <v>5865</v>
      </c>
      <c r="C1097" s="7" t="s">
        <v>5866</v>
      </c>
      <c r="D1097" s="7" t="s">
        <v>16</v>
      </c>
      <c r="E1097" s="7" t="s">
        <v>3803</v>
      </c>
      <c r="F1097" s="7" t="s">
        <v>3816</v>
      </c>
    </row>
    <row r="1098" ht="22.5" customHeight="1">
      <c r="A1098" s="7" t="s">
        <v>3827</v>
      </c>
      <c r="B1098" s="8" t="s">
        <v>5867</v>
      </c>
      <c r="C1098" s="7" t="s">
        <v>5868</v>
      </c>
      <c r="D1098" s="7" t="s">
        <v>16</v>
      </c>
      <c r="E1098" s="7" t="s">
        <v>3806</v>
      </c>
      <c r="F1098" s="7" t="s">
        <v>16</v>
      </c>
    </row>
    <row r="1099" ht="22.5" customHeight="1">
      <c r="A1099" s="7" t="s">
        <v>2725</v>
      </c>
      <c r="B1099" s="8" t="s">
        <v>5869</v>
      </c>
      <c r="C1099" s="7" t="s">
        <v>5870</v>
      </c>
      <c r="D1099" s="7" t="s">
        <v>16</v>
      </c>
      <c r="E1099" s="7" t="s">
        <v>3806</v>
      </c>
      <c r="F1099" s="7" t="s">
        <v>3934</v>
      </c>
    </row>
    <row r="1100" ht="22.5" customHeight="1">
      <c r="A1100" s="7" t="s">
        <v>3807</v>
      </c>
      <c r="B1100" s="8" t="s">
        <v>5871</v>
      </c>
      <c r="C1100" s="7" t="s">
        <v>5872</v>
      </c>
      <c r="D1100" s="7" t="s">
        <v>16</v>
      </c>
      <c r="E1100" s="7" t="s">
        <v>3803</v>
      </c>
      <c r="F1100" s="7" t="s">
        <v>3964</v>
      </c>
    </row>
    <row r="1101" ht="22.5" customHeight="1">
      <c r="A1101" s="7" t="s">
        <v>2327</v>
      </c>
      <c r="B1101" s="8" t="s">
        <v>5873</v>
      </c>
      <c r="C1101" s="7" t="s">
        <v>5874</v>
      </c>
      <c r="D1101" s="7" t="s">
        <v>16</v>
      </c>
      <c r="E1101" s="7" t="s">
        <v>3806</v>
      </c>
      <c r="F1101" s="7" t="s">
        <v>16</v>
      </c>
    </row>
    <row r="1102" ht="22.5" customHeight="1">
      <c r="A1102" s="7" t="s">
        <v>2327</v>
      </c>
      <c r="B1102" s="8" t="s">
        <v>5875</v>
      </c>
      <c r="C1102" s="7" t="s">
        <v>5876</v>
      </c>
      <c r="D1102" s="7" t="s">
        <v>16</v>
      </c>
      <c r="E1102" s="7" t="s">
        <v>3806</v>
      </c>
      <c r="F1102" s="7" t="s">
        <v>3816</v>
      </c>
    </row>
    <row r="1103" ht="22.5" customHeight="1">
      <c r="A1103" s="7" t="s">
        <v>2725</v>
      </c>
      <c r="B1103" s="8" t="s">
        <v>5877</v>
      </c>
      <c r="C1103" s="7" t="s">
        <v>5878</v>
      </c>
      <c r="D1103" s="7" t="s">
        <v>16</v>
      </c>
      <c r="E1103" s="7" t="s">
        <v>3799</v>
      </c>
      <c r="F1103" s="7" t="s">
        <v>16</v>
      </c>
    </row>
    <row r="1104" ht="22.5" customHeight="1">
      <c r="A1104" s="7" t="s">
        <v>3827</v>
      </c>
      <c r="B1104" s="8" t="s">
        <v>5879</v>
      </c>
      <c r="C1104" s="7" t="s">
        <v>5880</v>
      </c>
      <c r="D1104" s="7" t="s">
        <v>16</v>
      </c>
      <c r="E1104" s="7" t="s">
        <v>3806</v>
      </c>
      <c r="F1104" s="7" t="s">
        <v>16</v>
      </c>
    </row>
    <row r="1105" ht="22.5" customHeight="1">
      <c r="A1105" s="7" t="s">
        <v>3800</v>
      </c>
      <c r="B1105" s="8" t="s">
        <v>5881</v>
      </c>
      <c r="C1105" s="7" t="s">
        <v>5882</v>
      </c>
      <c r="D1105" s="7" t="s">
        <v>16</v>
      </c>
      <c r="E1105" s="7" t="s">
        <v>3799</v>
      </c>
      <c r="F1105" s="7" t="s">
        <v>3904</v>
      </c>
    </row>
    <row r="1106" ht="22.5" customHeight="1">
      <c r="A1106" s="7" t="s">
        <v>3807</v>
      </c>
      <c r="B1106" s="8" t="s">
        <v>5883</v>
      </c>
      <c r="C1106" s="7" t="s">
        <v>5884</v>
      </c>
      <c r="D1106" s="7" t="s">
        <v>26</v>
      </c>
      <c r="E1106" s="7" t="s">
        <v>16</v>
      </c>
      <c r="F1106" s="7" t="s">
        <v>16</v>
      </c>
    </row>
    <row r="1107" ht="22.5" customHeight="1">
      <c r="A1107" s="7" t="s">
        <v>3800</v>
      </c>
      <c r="B1107" s="8" t="s">
        <v>5885</v>
      </c>
      <c r="C1107" s="7" t="s">
        <v>5886</v>
      </c>
      <c r="D1107" s="7" t="s">
        <v>26</v>
      </c>
      <c r="E1107" s="7" t="s">
        <v>16</v>
      </c>
      <c r="F1107" s="7" t="s">
        <v>16</v>
      </c>
    </row>
    <row r="1108" ht="22.5" customHeight="1">
      <c r="A1108" s="7" t="s">
        <v>3800</v>
      </c>
      <c r="B1108" s="8" t="s">
        <v>5887</v>
      </c>
      <c r="C1108" s="7" t="s">
        <v>5888</v>
      </c>
      <c r="D1108" s="7" t="s">
        <v>16</v>
      </c>
      <c r="E1108" s="7" t="s">
        <v>3806</v>
      </c>
      <c r="F1108" s="7" t="s">
        <v>3879</v>
      </c>
    </row>
    <row r="1109" ht="22.5" customHeight="1">
      <c r="A1109" s="7" t="s">
        <v>3800</v>
      </c>
      <c r="B1109" s="8" t="s">
        <v>5889</v>
      </c>
      <c r="C1109" s="7" t="s">
        <v>5890</v>
      </c>
      <c r="D1109" s="7" t="s">
        <v>16</v>
      </c>
      <c r="E1109" s="7" t="s">
        <v>3799</v>
      </c>
      <c r="F1109" s="7" t="s">
        <v>16</v>
      </c>
    </row>
    <row r="1110" ht="22.5" customHeight="1">
      <c r="A1110" s="7" t="s">
        <v>3800</v>
      </c>
      <c r="B1110" s="8" t="s">
        <v>5891</v>
      </c>
      <c r="C1110" s="7" t="s">
        <v>5892</v>
      </c>
      <c r="D1110" s="7" t="s">
        <v>16</v>
      </c>
      <c r="E1110" s="7" t="s">
        <v>3806</v>
      </c>
      <c r="F1110" s="7" t="s">
        <v>4068</v>
      </c>
    </row>
    <row r="1111" ht="22.5" customHeight="1">
      <c r="A1111" s="7" t="s">
        <v>3827</v>
      </c>
      <c r="B1111" s="8" t="s">
        <v>5893</v>
      </c>
      <c r="C1111" s="7" t="s">
        <v>5894</v>
      </c>
      <c r="D1111" s="7" t="s">
        <v>26</v>
      </c>
      <c r="E1111" s="7" t="s">
        <v>16</v>
      </c>
      <c r="F1111" s="7" t="s">
        <v>16</v>
      </c>
    </row>
    <row r="1112" ht="22.5" customHeight="1">
      <c r="A1112" s="7" t="s">
        <v>2725</v>
      </c>
      <c r="B1112" s="8" t="s">
        <v>5895</v>
      </c>
      <c r="C1112" s="7" t="s">
        <v>5896</v>
      </c>
      <c r="D1112" s="7" t="s">
        <v>16</v>
      </c>
      <c r="E1112" s="7" t="s">
        <v>3812</v>
      </c>
      <c r="F1112" s="7" t="s">
        <v>16</v>
      </c>
    </row>
    <row r="1113" ht="22.5" customHeight="1">
      <c r="A1113" s="7" t="s">
        <v>3807</v>
      </c>
      <c r="B1113" s="8" t="s">
        <v>5897</v>
      </c>
      <c r="C1113" s="7" t="s">
        <v>5898</v>
      </c>
      <c r="D1113" s="7" t="s">
        <v>16</v>
      </c>
      <c r="E1113" s="7" t="s">
        <v>3806</v>
      </c>
      <c r="F1113" s="7" t="s">
        <v>16</v>
      </c>
    </row>
    <row r="1114" ht="22.5" customHeight="1">
      <c r="A1114" s="7" t="s">
        <v>3800</v>
      </c>
      <c r="B1114" s="8" t="s">
        <v>5899</v>
      </c>
      <c r="C1114" s="7" t="s">
        <v>5900</v>
      </c>
      <c r="D1114" s="7" t="s">
        <v>26</v>
      </c>
      <c r="E1114" s="7" t="s">
        <v>16</v>
      </c>
      <c r="F1114" s="7" t="s">
        <v>16</v>
      </c>
    </row>
    <row r="1115" ht="22.5" customHeight="1">
      <c r="A1115" s="7" t="s">
        <v>3800</v>
      </c>
      <c r="B1115" s="8" t="s">
        <v>5901</v>
      </c>
      <c r="C1115" s="7" t="s">
        <v>5902</v>
      </c>
      <c r="D1115" s="7" t="s">
        <v>16</v>
      </c>
      <c r="E1115" s="7" t="s">
        <v>3799</v>
      </c>
      <c r="F1115" s="7" t="s">
        <v>16</v>
      </c>
    </row>
    <row r="1116" ht="22.5" customHeight="1">
      <c r="A1116" s="7" t="s">
        <v>3827</v>
      </c>
      <c r="B1116" s="8" t="s">
        <v>5903</v>
      </c>
      <c r="C1116" s="7" t="s">
        <v>5904</v>
      </c>
      <c r="D1116" s="7" t="s">
        <v>26</v>
      </c>
      <c r="E1116" s="7" t="s">
        <v>16</v>
      </c>
      <c r="F1116" s="7" t="s">
        <v>16</v>
      </c>
    </row>
    <row r="1117" ht="22.5" customHeight="1">
      <c r="A1117" s="7" t="s">
        <v>3827</v>
      </c>
      <c r="B1117" s="8" t="s">
        <v>5905</v>
      </c>
      <c r="C1117" s="7" t="s">
        <v>5906</v>
      </c>
      <c r="D1117" s="7" t="s">
        <v>16</v>
      </c>
      <c r="E1117" s="7" t="s">
        <v>3803</v>
      </c>
      <c r="F1117" s="7" t="s">
        <v>3964</v>
      </c>
    </row>
    <row r="1118" ht="22.5" customHeight="1">
      <c r="A1118" s="7" t="s">
        <v>2725</v>
      </c>
      <c r="B1118" s="8" t="s">
        <v>5907</v>
      </c>
      <c r="C1118" s="7" t="s">
        <v>5908</v>
      </c>
      <c r="D1118" s="7" t="s">
        <v>26</v>
      </c>
      <c r="E1118" s="7" t="s">
        <v>16</v>
      </c>
      <c r="F1118" s="7" t="s">
        <v>16</v>
      </c>
    </row>
    <row r="1119" ht="22.5" customHeight="1">
      <c r="A1119" s="7" t="s">
        <v>3827</v>
      </c>
      <c r="B1119" s="8" t="s">
        <v>5909</v>
      </c>
      <c r="C1119" s="7" t="s">
        <v>5910</v>
      </c>
      <c r="D1119" s="7" t="s">
        <v>26</v>
      </c>
      <c r="E1119" s="7" t="s">
        <v>16</v>
      </c>
      <c r="F1119" s="7" t="s">
        <v>16</v>
      </c>
    </row>
    <row r="1120" ht="22.5" customHeight="1">
      <c r="A1120" s="7" t="s">
        <v>3827</v>
      </c>
      <c r="B1120" s="8" t="s">
        <v>5911</v>
      </c>
      <c r="C1120" s="7" t="s">
        <v>5912</v>
      </c>
      <c r="D1120" s="7" t="s">
        <v>26</v>
      </c>
      <c r="E1120" s="7" t="s">
        <v>16</v>
      </c>
      <c r="F1120" s="7" t="s">
        <v>16</v>
      </c>
    </row>
    <row r="1121" ht="22.5" customHeight="1">
      <c r="A1121" s="7" t="s">
        <v>2327</v>
      </c>
      <c r="B1121" s="8" t="s">
        <v>5913</v>
      </c>
      <c r="C1121" s="7" t="s">
        <v>5914</v>
      </c>
      <c r="D1121" s="7" t="s">
        <v>26</v>
      </c>
      <c r="E1121" s="7" t="s">
        <v>16</v>
      </c>
      <c r="F1121" s="7" t="s">
        <v>16</v>
      </c>
    </row>
    <row r="1122" ht="22.5" customHeight="1">
      <c r="A1122" s="7" t="s">
        <v>3827</v>
      </c>
      <c r="B1122" s="8" t="s">
        <v>5915</v>
      </c>
      <c r="C1122" s="7" t="s">
        <v>5916</v>
      </c>
      <c r="D1122" s="7" t="s">
        <v>26</v>
      </c>
      <c r="E1122" s="7" t="s">
        <v>16</v>
      </c>
      <c r="F1122" s="7" t="s">
        <v>16</v>
      </c>
    </row>
    <row r="1123" ht="22.5" customHeight="1">
      <c r="A1123" s="7" t="s">
        <v>3800</v>
      </c>
      <c r="B1123" s="8" t="s">
        <v>5917</v>
      </c>
      <c r="C1123" s="7" t="s">
        <v>5918</v>
      </c>
      <c r="D1123" s="7" t="s">
        <v>26</v>
      </c>
      <c r="E1123" s="7" t="s">
        <v>16</v>
      </c>
      <c r="F1123" s="7" t="s">
        <v>16</v>
      </c>
    </row>
    <row r="1124" ht="22.5" customHeight="1">
      <c r="A1124" s="7" t="s">
        <v>3807</v>
      </c>
      <c r="B1124" s="8" t="s">
        <v>5919</v>
      </c>
      <c r="C1124" s="7" t="s">
        <v>5920</v>
      </c>
      <c r="D1124" s="7" t="s">
        <v>16</v>
      </c>
      <c r="E1124" s="7" t="s">
        <v>3812</v>
      </c>
      <c r="F1124" s="7" t="s">
        <v>16</v>
      </c>
    </row>
    <row r="1125" ht="22.5" customHeight="1">
      <c r="A1125" s="7" t="s">
        <v>3807</v>
      </c>
      <c r="B1125" s="8" t="s">
        <v>5919</v>
      </c>
      <c r="C1125" s="7" t="s">
        <v>5921</v>
      </c>
      <c r="D1125" s="7" t="s">
        <v>26</v>
      </c>
      <c r="E1125" s="7" t="s">
        <v>16</v>
      </c>
      <c r="F1125" s="7" t="s">
        <v>16</v>
      </c>
    </row>
    <row r="1126" ht="22.5" customHeight="1">
      <c r="A1126" s="7" t="s">
        <v>2725</v>
      </c>
      <c r="B1126" s="8" t="s">
        <v>5922</v>
      </c>
      <c r="C1126" s="7" t="s">
        <v>5923</v>
      </c>
      <c r="D1126" s="7" t="s">
        <v>26</v>
      </c>
      <c r="E1126" s="7" t="s">
        <v>16</v>
      </c>
      <c r="F1126" s="7" t="s">
        <v>16</v>
      </c>
    </row>
    <row r="1127" ht="22.5" customHeight="1">
      <c r="A1127" s="7" t="s">
        <v>3800</v>
      </c>
      <c r="B1127" s="8" t="s">
        <v>5924</v>
      </c>
      <c r="C1127" s="7" t="s">
        <v>5925</v>
      </c>
      <c r="D1127" s="7" t="s">
        <v>26</v>
      </c>
      <c r="E1127" s="7" t="s">
        <v>16</v>
      </c>
      <c r="F1127" s="7" t="s">
        <v>16</v>
      </c>
    </row>
    <row r="1128" ht="22.5" customHeight="1">
      <c r="A1128" s="7" t="s">
        <v>3837</v>
      </c>
      <c r="B1128" s="8" t="s">
        <v>5926</v>
      </c>
      <c r="C1128" s="7" t="s">
        <v>5927</v>
      </c>
      <c r="D1128" s="7" t="s">
        <v>16</v>
      </c>
      <c r="E1128" s="7" t="s">
        <v>3803</v>
      </c>
      <c r="F1128" s="7" t="s">
        <v>16</v>
      </c>
    </row>
    <row r="1129" ht="22.5" customHeight="1">
      <c r="A1129" s="7" t="s">
        <v>3807</v>
      </c>
      <c r="B1129" s="8" t="s">
        <v>5928</v>
      </c>
      <c r="C1129" s="7" t="s">
        <v>5929</v>
      </c>
      <c r="D1129" s="7" t="s">
        <v>16</v>
      </c>
      <c r="E1129" s="7" t="s">
        <v>3799</v>
      </c>
      <c r="F1129" s="7" t="s">
        <v>16</v>
      </c>
    </row>
    <row r="1130" ht="22.5" customHeight="1">
      <c r="A1130" s="7" t="s">
        <v>3807</v>
      </c>
      <c r="B1130" s="8" t="s">
        <v>5930</v>
      </c>
      <c r="C1130" s="7" t="s">
        <v>5931</v>
      </c>
      <c r="D1130" s="7" t="s">
        <v>16</v>
      </c>
      <c r="E1130" s="7" t="s">
        <v>3803</v>
      </c>
      <c r="F1130" s="7" t="s">
        <v>3816</v>
      </c>
    </row>
    <row r="1131" ht="22.5" customHeight="1">
      <c r="A1131" s="7" t="s">
        <v>3807</v>
      </c>
      <c r="B1131" s="8" t="s">
        <v>5932</v>
      </c>
      <c r="C1131" s="7" t="s">
        <v>5933</v>
      </c>
      <c r="D1131" s="7" t="s">
        <v>16</v>
      </c>
      <c r="E1131" s="7" t="s">
        <v>3799</v>
      </c>
      <c r="F1131" s="7" t="s">
        <v>16</v>
      </c>
    </row>
    <row r="1132" ht="22.5" customHeight="1">
      <c r="A1132" s="7" t="s">
        <v>2327</v>
      </c>
      <c r="B1132" s="8" t="s">
        <v>5934</v>
      </c>
      <c r="C1132" s="7" t="s">
        <v>5935</v>
      </c>
      <c r="D1132" s="7" t="s">
        <v>26</v>
      </c>
      <c r="E1132" s="7" t="s">
        <v>16</v>
      </c>
      <c r="F1132" s="7" t="s">
        <v>16</v>
      </c>
    </row>
    <row r="1133" ht="22.5" customHeight="1">
      <c r="A1133" s="7" t="s">
        <v>3807</v>
      </c>
      <c r="B1133" s="8" t="s">
        <v>5936</v>
      </c>
      <c r="C1133" s="7" t="s">
        <v>5937</v>
      </c>
      <c r="D1133" s="7" t="s">
        <v>16</v>
      </c>
      <c r="E1133" s="7" t="s">
        <v>3803</v>
      </c>
      <c r="F1133" s="7" t="s">
        <v>16</v>
      </c>
    </row>
    <row r="1134" ht="22.5" customHeight="1">
      <c r="A1134" s="7" t="s">
        <v>3807</v>
      </c>
      <c r="B1134" s="8" t="s">
        <v>5936</v>
      </c>
      <c r="C1134" s="7" t="s">
        <v>5938</v>
      </c>
      <c r="D1134" s="7" t="s">
        <v>26</v>
      </c>
      <c r="E1134" s="7" t="s">
        <v>16</v>
      </c>
      <c r="F1134" s="7" t="s">
        <v>16</v>
      </c>
    </row>
    <row r="1135" ht="22.5" customHeight="1">
      <c r="A1135" s="7" t="s">
        <v>3837</v>
      </c>
      <c r="B1135" s="8" t="s">
        <v>5939</v>
      </c>
      <c r="C1135" s="7" t="s">
        <v>5940</v>
      </c>
      <c r="D1135" s="7" t="s">
        <v>16</v>
      </c>
      <c r="E1135" s="7" t="s">
        <v>3799</v>
      </c>
      <c r="F1135" s="7" t="s">
        <v>16</v>
      </c>
    </row>
    <row r="1136" ht="22.5" customHeight="1">
      <c r="A1136" s="7" t="s">
        <v>2725</v>
      </c>
      <c r="B1136" s="8" t="s">
        <v>5941</v>
      </c>
      <c r="C1136" s="7" t="s">
        <v>5942</v>
      </c>
      <c r="D1136" s="7" t="s">
        <v>16</v>
      </c>
      <c r="E1136" s="7" t="s">
        <v>3806</v>
      </c>
      <c r="F1136" s="7" t="s">
        <v>3816</v>
      </c>
    </row>
    <row r="1137" ht="22.5" customHeight="1">
      <c r="A1137" s="7" t="s">
        <v>3800</v>
      </c>
      <c r="B1137" s="8" t="s">
        <v>5943</v>
      </c>
      <c r="C1137" s="7" t="s">
        <v>5944</v>
      </c>
      <c r="D1137" s="7" t="s">
        <v>26</v>
      </c>
      <c r="E1137" s="7" t="s">
        <v>16</v>
      </c>
      <c r="F1137" s="7" t="s">
        <v>16</v>
      </c>
    </row>
    <row r="1138" ht="22.5" customHeight="1">
      <c r="A1138" s="7" t="s">
        <v>3800</v>
      </c>
      <c r="B1138" s="8" t="s">
        <v>5945</v>
      </c>
      <c r="C1138" s="7" t="s">
        <v>5946</v>
      </c>
      <c r="D1138" s="7" t="s">
        <v>16</v>
      </c>
      <c r="E1138" s="7" t="s">
        <v>3799</v>
      </c>
      <c r="F1138" s="7" t="s">
        <v>16</v>
      </c>
    </row>
    <row r="1139" ht="22.5" customHeight="1">
      <c r="A1139" s="7" t="s">
        <v>3807</v>
      </c>
      <c r="B1139" s="8" t="s">
        <v>5947</v>
      </c>
      <c r="C1139" s="7" t="s">
        <v>5948</v>
      </c>
      <c r="D1139" s="7" t="s">
        <v>16</v>
      </c>
      <c r="E1139" s="7" t="s">
        <v>3803</v>
      </c>
      <c r="F1139" s="7" t="s">
        <v>3850</v>
      </c>
    </row>
    <row r="1140" ht="22.5" customHeight="1">
      <c r="A1140" s="7" t="s">
        <v>3807</v>
      </c>
      <c r="B1140" s="8" t="s">
        <v>5949</v>
      </c>
      <c r="C1140" s="7" t="s">
        <v>5950</v>
      </c>
      <c r="D1140" s="7" t="s">
        <v>16</v>
      </c>
      <c r="E1140" s="7" t="s">
        <v>16</v>
      </c>
      <c r="F1140" s="7" t="s">
        <v>16</v>
      </c>
    </row>
    <row r="1141" ht="22.5" customHeight="1">
      <c r="A1141" s="7" t="s">
        <v>3800</v>
      </c>
      <c r="B1141" s="8" t="s">
        <v>5951</v>
      </c>
      <c r="C1141" s="7" t="s">
        <v>5952</v>
      </c>
      <c r="D1141" s="7" t="s">
        <v>26</v>
      </c>
      <c r="E1141" s="7" t="s">
        <v>16</v>
      </c>
      <c r="F1141" s="7" t="s">
        <v>16</v>
      </c>
    </row>
    <row r="1142" ht="22.5" customHeight="1">
      <c r="A1142" s="7" t="s">
        <v>2725</v>
      </c>
      <c r="B1142" s="8" t="s">
        <v>5953</v>
      </c>
      <c r="C1142" s="7" t="s">
        <v>5954</v>
      </c>
      <c r="D1142" s="7" t="s">
        <v>16</v>
      </c>
      <c r="E1142" s="7" t="s">
        <v>3806</v>
      </c>
      <c r="F1142" s="7" t="s">
        <v>3884</v>
      </c>
    </row>
    <row r="1143" ht="22.5" customHeight="1">
      <c r="A1143" s="7" t="s">
        <v>3827</v>
      </c>
      <c r="B1143" s="8" t="s">
        <v>5955</v>
      </c>
      <c r="C1143" s="7" t="s">
        <v>5956</v>
      </c>
      <c r="D1143" s="7" t="s">
        <v>26</v>
      </c>
      <c r="E1143" s="7" t="s">
        <v>16</v>
      </c>
      <c r="F1143" s="7" t="s">
        <v>16</v>
      </c>
    </row>
    <row r="1144" ht="22.5" customHeight="1">
      <c r="A1144" s="7" t="s">
        <v>2725</v>
      </c>
      <c r="B1144" s="8" t="s">
        <v>5957</v>
      </c>
      <c r="C1144" s="7" t="s">
        <v>5958</v>
      </c>
      <c r="D1144" s="7" t="s">
        <v>16</v>
      </c>
      <c r="E1144" s="7" t="s">
        <v>3806</v>
      </c>
      <c r="F1144" s="7" t="s">
        <v>4068</v>
      </c>
    </row>
    <row r="1145" ht="22.5" customHeight="1">
      <c r="A1145" s="7" t="s">
        <v>2725</v>
      </c>
      <c r="B1145" s="8" t="s">
        <v>5957</v>
      </c>
      <c r="C1145" s="7" t="s">
        <v>5959</v>
      </c>
      <c r="D1145" s="7" t="s">
        <v>105</v>
      </c>
      <c r="E1145" s="7" t="s">
        <v>16</v>
      </c>
      <c r="F1145" s="7" t="s">
        <v>16</v>
      </c>
    </row>
    <row r="1146" ht="22.5" customHeight="1">
      <c r="A1146" s="7" t="s">
        <v>3800</v>
      </c>
      <c r="B1146" s="8" t="s">
        <v>5960</v>
      </c>
      <c r="C1146" s="7" t="s">
        <v>5961</v>
      </c>
      <c r="D1146" s="7" t="s">
        <v>16</v>
      </c>
      <c r="E1146" s="7" t="s">
        <v>3812</v>
      </c>
      <c r="F1146" s="7" t="s">
        <v>16</v>
      </c>
    </row>
    <row r="1147" ht="22.5" customHeight="1">
      <c r="A1147" s="7" t="s">
        <v>2327</v>
      </c>
      <c r="B1147" s="8" t="s">
        <v>5962</v>
      </c>
      <c r="C1147" s="7" t="s">
        <v>5963</v>
      </c>
      <c r="D1147" s="7" t="s">
        <v>26</v>
      </c>
      <c r="E1147" s="7" t="s">
        <v>16</v>
      </c>
      <c r="F1147" s="7" t="s">
        <v>16</v>
      </c>
    </row>
    <row r="1148" ht="22.5" customHeight="1">
      <c r="A1148" s="7" t="s">
        <v>3837</v>
      </c>
      <c r="B1148" s="8" t="s">
        <v>5964</v>
      </c>
      <c r="C1148" s="7" t="s">
        <v>5965</v>
      </c>
      <c r="D1148" s="7" t="s">
        <v>26</v>
      </c>
      <c r="E1148" s="7" t="s">
        <v>16</v>
      </c>
      <c r="F1148" s="7" t="s">
        <v>16</v>
      </c>
    </row>
    <row r="1149" ht="22.5" customHeight="1">
      <c r="A1149" s="7" t="s">
        <v>2725</v>
      </c>
      <c r="B1149" s="8" t="s">
        <v>5966</v>
      </c>
      <c r="C1149" s="7" t="s">
        <v>5967</v>
      </c>
      <c r="D1149" s="7" t="s">
        <v>16</v>
      </c>
      <c r="E1149" s="7" t="s">
        <v>3799</v>
      </c>
      <c r="F1149" s="7" t="s">
        <v>16</v>
      </c>
    </row>
    <row r="1150" ht="22.5" customHeight="1">
      <c r="A1150" s="7" t="s">
        <v>3800</v>
      </c>
      <c r="B1150" s="8" t="s">
        <v>5968</v>
      </c>
      <c r="C1150" s="7" t="s">
        <v>5969</v>
      </c>
      <c r="D1150" s="7" t="s">
        <v>26</v>
      </c>
      <c r="E1150" s="7" t="s">
        <v>16</v>
      </c>
      <c r="F1150" s="7" t="s">
        <v>16</v>
      </c>
    </row>
    <row r="1151" ht="22.5" customHeight="1">
      <c r="A1151" s="7" t="s">
        <v>3800</v>
      </c>
      <c r="B1151" s="8" t="s">
        <v>5970</v>
      </c>
      <c r="C1151" s="7" t="s">
        <v>5971</v>
      </c>
      <c r="D1151" s="7" t="s">
        <v>151</v>
      </c>
      <c r="E1151" s="7" t="s">
        <v>3799</v>
      </c>
      <c r="F1151" s="7" t="s">
        <v>16</v>
      </c>
    </row>
    <row r="1152" ht="22.5" customHeight="1">
      <c r="A1152" s="7" t="s">
        <v>3837</v>
      </c>
      <c r="B1152" s="8" t="s">
        <v>5972</v>
      </c>
      <c r="C1152" s="7" t="s">
        <v>5973</v>
      </c>
      <c r="D1152" s="7" t="s">
        <v>16</v>
      </c>
      <c r="E1152" s="7" t="s">
        <v>3799</v>
      </c>
      <c r="F1152" s="7" t="s">
        <v>16</v>
      </c>
    </row>
    <row r="1153" ht="22.5" customHeight="1">
      <c r="A1153" s="7" t="s">
        <v>3800</v>
      </c>
      <c r="B1153" s="8" t="s">
        <v>5974</v>
      </c>
      <c r="C1153" s="7" t="s">
        <v>5975</v>
      </c>
      <c r="D1153" s="7" t="s">
        <v>26</v>
      </c>
      <c r="E1153" s="7" t="s">
        <v>16</v>
      </c>
      <c r="F1153" s="7" t="s">
        <v>16</v>
      </c>
    </row>
    <row r="1154" ht="22.5" customHeight="1">
      <c r="A1154" s="7" t="s">
        <v>3837</v>
      </c>
      <c r="B1154" s="8" t="s">
        <v>5976</v>
      </c>
      <c r="C1154" s="7" t="s">
        <v>5977</v>
      </c>
      <c r="D1154" s="7" t="s">
        <v>16</v>
      </c>
      <c r="E1154" s="7" t="s">
        <v>3799</v>
      </c>
      <c r="F1154" s="7" t="s">
        <v>16</v>
      </c>
    </row>
    <row r="1155" ht="22.5" customHeight="1">
      <c r="A1155" s="7" t="s">
        <v>3837</v>
      </c>
      <c r="B1155" s="8" t="s">
        <v>5976</v>
      </c>
      <c r="C1155" s="7" t="s">
        <v>5978</v>
      </c>
      <c r="D1155" s="7" t="s">
        <v>16</v>
      </c>
      <c r="E1155" s="7" t="s">
        <v>3799</v>
      </c>
      <c r="F1155" s="7" t="s">
        <v>16</v>
      </c>
    </row>
    <row r="1156" ht="22.5" customHeight="1">
      <c r="A1156" s="7" t="s">
        <v>3800</v>
      </c>
      <c r="B1156" s="8" t="s">
        <v>5979</v>
      </c>
      <c r="C1156" s="7" t="s">
        <v>5980</v>
      </c>
      <c r="D1156" s="7" t="s">
        <v>151</v>
      </c>
      <c r="E1156" s="7" t="s">
        <v>3799</v>
      </c>
      <c r="F1156" s="7" t="s">
        <v>16</v>
      </c>
    </row>
    <row r="1157" ht="22.5" customHeight="1">
      <c r="A1157" s="7" t="s">
        <v>3827</v>
      </c>
      <c r="B1157" s="8" t="s">
        <v>5981</v>
      </c>
      <c r="C1157" s="7" t="s">
        <v>5982</v>
      </c>
      <c r="D1157" s="7" t="s">
        <v>16</v>
      </c>
      <c r="E1157" s="7" t="s">
        <v>3806</v>
      </c>
      <c r="F1157" s="7" t="s">
        <v>16</v>
      </c>
    </row>
    <row r="1158" ht="22.5" customHeight="1">
      <c r="A1158" s="7" t="s">
        <v>3807</v>
      </c>
      <c r="B1158" s="8" t="s">
        <v>5983</v>
      </c>
      <c r="C1158" s="7" t="s">
        <v>5984</v>
      </c>
      <c r="D1158" s="7" t="s">
        <v>26</v>
      </c>
      <c r="E1158" s="7" t="s">
        <v>16</v>
      </c>
      <c r="F1158" s="7" t="s">
        <v>16</v>
      </c>
    </row>
    <row r="1159" ht="22.5" customHeight="1">
      <c r="A1159" s="7" t="s">
        <v>2327</v>
      </c>
      <c r="B1159" s="8" t="s">
        <v>5985</v>
      </c>
      <c r="C1159" s="7" t="s">
        <v>5986</v>
      </c>
      <c r="D1159" s="7" t="s">
        <v>16</v>
      </c>
      <c r="E1159" s="7" t="s">
        <v>3806</v>
      </c>
      <c r="F1159" s="7" t="s">
        <v>16</v>
      </c>
    </row>
    <row r="1160" ht="22.5" customHeight="1">
      <c r="A1160" s="7" t="s">
        <v>3827</v>
      </c>
      <c r="B1160" s="8" t="s">
        <v>5987</v>
      </c>
      <c r="C1160" s="7" t="s">
        <v>5988</v>
      </c>
      <c r="D1160" s="7" t="s">
        <v>26</v>
      </c>
      <c r="E1160" s="7" t="s">
        <v>16</v>
      </c>
      <c r="F1160" s="7" t="s">
        <v>16</v>
      </c>
    </row>
    <row r="1161" ht="22.5" customHeight="1">
      <c r="A1161" s="7" t="s">
        <v>2327</v>
      </c>
      <c r="B1161" s="8" t="s">
        <v>5989</v>
      </c>
      <c r="C1161" s="7" t="s">
        <v>5990</v>
      </c>
      <c r="D1161" s="7" t="s">
        <v>26</v>
      </c>
      <c r="E1161" s="7" t="s">
        <v>16</v>
      </c>
      <c r="F1161" s="7" t="s">
        <v>16</v>
      </c>
    </row>
    <row r="1162" ht="22.5" customHeight="1">
      <c r="A1162" s="7" t="s">
        <v>2327</v>
      </c>
      <c r="B1162" s="8" t="s">
        <v>5991</v>
      </c>
      <c r="C1162" s="7" t="s">
        <v>5992</v>
      </c>
      <c r="D1162" s="7" t="s">
        <v>26</v>
      </c>
      <c r="E1162" s="7" t="s">
        <v>16</v>
      </c>
      <c r="F1162" s="7" t="s">
        <v>16</v>
      </c>
    </row>
    <row r="1163" ht="22.5" customHeight="1">
      <c r="A1163" s="7" t="s">
        <v>3827</v>
      </c>
      <c r="B1163" s="8" t="s">
        <v>5993</v>
      </c>
      <c r="C1163" s="7" t="s">
        <v>5994</v>
      </c>
      <c r="D1163" s="7" t="s">
        <v>16</v>
      </c>
      <c r="E1163" s="7" t="s">
        <v>3806</v>
      </c>
      <c r="F1163" s="7" t="s">
        <v>3879</v>
      </c>
    </row>
    <row r="1164" ht="22.5" customHeight="1">
      <c r="A1164" s="7" t="s">
        <v>3800</v>
      </c>
      <c r="B1164" s="8" t="s">
        <v>5995</v>
      </c>
      <c r="C1164" s="7" t="s">
        <v>5996</v>
      </c>
      <c r="D1164" s="7" t="s">
        <v>16</v>
      </c>
      <c r="E1164" s="7" t="s">
        <v>3803</v>
      </c>
      <c r="F1164" s="7" t="s">
        <v>3952</v>
      </c>
    </row>
    <row r="1165" ht="22.5" customHeight="1">
      <c r="A1165" s="7" t="s">
        <v>3827</v>
      </c>
      <c r="B1165" s="8" t="s">
        <v>5997</v>
      </c>
      <c r="C1165" s="7" t="s">
        <v>5998</v>
      </c>
      <c r="D1165" s="7" t="s">
        <v>3951</v>
      </c>
      <c r="E1165" s="7" t="s">
        <v>3803</v>
      </c>
      <c r="F1165" s="7" t="s">
        <v>3952</v>
      </c>
    </row>
    <row r="1166" ht="22.5" customHeight="1">
      <c r="A1166" s="7" t="s">
        <v>3871</v>
      </c>
      <c r="B1166" s="8" t="s">
        <v>5999</v>
      </c>
      <c r="C1166" s="7" t="s">
        <v>6000</v>
      </c>
      <c r="D1166" s="7" t="s">
        <v>3871</v>
      </c>
      <c r="E1166" s="7" t="s">
        <v>3803</v>
      </c>
      <c r="F1166" s="7" t="s">
        <v>3952</v>
      </c>
    </row>
    <row r="1167" ht="22.5" customHeight="1">
      <c r="A1167" s="7" t="s">
        <v>3800</v>
      </c>
      <c r="B1167" s="8" t="s">
        <v>6001</v>
      </c>
      <c r="C1167" s="7" t="s">
        <v>6002</v>
      </c>
      <c r="D1167" s="7" t="s">
        <v>16</v>
      </c>
      <c r="E1167" s="7" t="s">
        <v>3799</v>
      </c>
      <c r="F1167" s="7" t="s">
        <v>16</v>
      </c>
    </row>
    <row r="1168" ht="22.5" customHeight="1">
      <c r="A1168" s="7" t="s">
        <v>3800</v>
      </c>
      <c r="B1168" s="8" t="s">
        <v>6003</v>
      </c>
      <c r="C1168" s="7" t="s">
        <v>6004</v>
      </c>
      <c r="D1168" s="7" t="s">
        <v>16</v>
      </c>
      <c r="E1168" s="7" t="s">
        <v>3806</v>
      </c>
      <c r="F1168" s="7" t="s">
        <v>16</v>
      </c>
    </row>
    <row r="1169" ht="22.5" customHeight="1">
      <c r="A1169" s="7" t="s">
        <v>3800</v>
      </c>
      <c r="B1169" s="8" t="s">
        <v>6003</v>
      </c>
      <c r="C1169" s="7" t="s">
        <v>6005</v>
      </c>
      <c r="D1169" s="7" t="s">
        <v>26</v>
      </c>
      <c r="E1169" s="7" t="s">
        <v>16</v>
      </c>
      <c r="F1169" s="7" t="s">
        <v>16</v>
      </c>
    </row>
    <row r="1170" ht="22.5" customHeight="1">
      <c r="A1170" s="7" t="s">
        <v>3800</v>
      </c>
      <c r="B1170" s="8" t="s">
        <v>6006</v>
      </c>
      <c r="C1170" s="7" t="s">
        <v>6007</v>
      </c>
      <c r="D1170" s="7" t="s">
        <v>16</v>
      </c>
      <c r="E1170" s="7" t="s">
        <v>3806</v>
      </c>
      <c r="F1170" s="7" t="s">
        <v>16</v>
      </c>
    </row>
    <row r="1171" ht="22.5" customHeight="1">
      <c r="A1171" s="7" t="s">
        <v>3800</v>
      </c>
      <c r="B1171" s="8" t="s">
        <v>6008</v>
      </c>
      <c r="C1171" s="7" t="s">
        <v>6009</v>
      </c>
      <c r="D1171" s="7" t="s">
        <v>16</v>
      </c>
      <c r="E1171" s="7" t="s">
        <v>3803</v>
      </c>
      <c r="F1171" s="7" t="s">
        <v>3850</v>
      </c>
    </row>
    <row r="1172" ht="22.5" customHeight="1">
      <c r="A1172" s="7" t="s">
        <v>3800</v>
      </c>
      <c r="B1172" s="8" t="s">
        <v>6010</v>
      </c>
      <c r="C1172" s="7" t="s">
        <v>6011</v>
      </c>
      <c r="D1172" s="7" t="s">
        <v>16</v>
      </c>
      <c r="E1172" s="7" t="s">
        <v>3799</v>
      </c>
      <c r="F1172" s="7" t="s">
        <v>3879</v>
      </c>
    </row>
    <row r="1173" ht="22.5" customHeight="1">
      <c r="A1173" s="7" t="s">
        <v>3800</v>
      </c>
      <c r="B1173" s="8" t="s">
        <v>6012</v>
      </c>
      <c r="C1173" s="7" t="s">
        <v>6013</v>
      </c>
      <c r="D1173" s="7" t="s">
        <v>16</v>
      </c>
      <c r="E1173" s="7" t="s">
        <v>3799</v>
      </c>
      <c r="F1173" s="7" t="s">
        <v>16</v>
      </c>
    </row>
    <row r="1174" ht="22.5" customHeight="1">
      <c r="A1174" s="7" t="s">
        <v>3837</v>
      </c>
      <c r="B1174" s="8" t="s">
        <v>6014</v>
      </c>
      <c r="C1174" s="7" t="s">
        <v>6015</v>
      </c>
      <c r="D1174" s="7" t="s">
        <v>16</v>
      </c>
      <c r="E1174" s="7" t="s">
        <v>3803</v>
      </c>
      <c r="F1174" s="7" t="s">
        <v>16</v>
      </c>
    </row>
    <row r="1175" ht="22.5" customHeight="1">
      <c r="A1175" s="7" t="s">
        <v>3827</v>
      </c>
      <c r="B1175" s="8" t="s">
        <v>6016</v>
      </c>
      <c r="C1175" s="7" t="s">
        <v>6017</v>
      </c>
      <c r="D1175" s="7" t="s">
        <v>16</v>
      </c>
      <c r="E1175" s="7" t="s">
        <v>3803</v>
      </c>
      <c r="F1175" s="7" t="s">
        <v>3816</v>
      </c>
    </row>
    <row r="1176" ht="22.5" customHeight="1">
      <c r="A1176" s="7" t="s">
        <v>3827</v>
      </c>
      <c r="B1176" s="8" t="s">
        <v>6018</v>
      </c>
      <c r="C1176" s="7" t="s">
        <v>6019</v>
      </c>
      <c r="D1176" s="7" t="s">
        <v>26</v>
      </c>
      <c r="E1176" s="7" t="s">
        <v>16</v>
      </c>
      <c r="F1176" s="7" t="s">
        <v>16</v>
      </c>
    </row>
    <row r="1177" ht="22.5" customHeight="1">
      <c r="A1177" s="7" t="s">
        <v>3800</v>
      </c>
      <c r="B1177" s="8" t="s">
        <v>6020</v>
      </c>
      <c r="C1177" s="7" t="s">
        <v>6021</v>
      </c>
      <c r="D1177" s="7" t="s">
        <v>4510</v>
      </c>
      <c r="E1177" s="7" t="s">
        <v>3806</v>
      </c>
      <c r="F1177" s="7" t="s">
        <v>16</v>
      </c>
    </row>
    <row r="1178" ht="22.5" customHeight="1">
      <c r="A1178" s="7" t="s">
        <v>3807</v>
      </c>
      <c r="B1178" s="8" t="s">
        <v>6022</v>
      </c>
      <c r="C1178" s="7" t="s">
        <v>6023</v>
      </c>
      <c r="D1178" s="7" t="s">
        <v>3884</v>
      </c>
      <c r="E1178" s="7" t="s">
        <v>3806</v>
      </c>
      <c r="F1178" s="7" t="s">
        <v>3884</v>
      </c>
    </row>
    <row r="1179" ht="22.5" customHeight="1">
      <c r="A1179" s="7" t="s">
        <v>2327</v>
      </c>
      <c r="B1179" s="8" t="s">
        <v>6024</v>
      </c>
      <c r="C1179" s="7" t="s">
        <v>6025</v>
      </c>
      <c r="D1179" s="7" t="s">
        <v>4859</v>
      </c>
      <c r="E1179" s="7" t="s">
        <v>3799</v>
      </c>
      <c r="F1179" s="7" t="s">
        <v>16</v>
      </c>
    </row>
    <row r="1180" ht="22.5" customHeight="1">
      <c r="A1180" s="7" t="s">
        <v>2327</v>
      </c>
      <c r="B1180" s="8" t="s">
        <v>6026</v>
      </c>
      <c r="C1180" s="7" t="s">
        <v>6027</v>
      </c>
      <c r="D1180" s="7" t="s">
        <v>16</v>
      </c>
      <c r="E1180" s="7" t="s">
        <v>3803</v>
      </c>
      <c r="F1180" s="7" t="s">
        <v>3850</v>
      </c>
    </row>
    <row r="1181" ht="22.5" customHeight="1">
      <c r="A1181" s="7" t="s">
        <v>2327</v>
      </c>
      <c r="B1181" s="8" t="s">
        <v>6026</v>
      </c>
      <c r="C1181" s="7" t="s">
        <v>6028</v>
      </c>
      <c r="D1181" s="7" t="s">
        <v>26</v>
      </c>
      <c r="E1181" s="7" t="s">
        <v>16</v>
      </c>
      <c r="F1181" s="7" t="s">
        <v>16</v>
      </c>
    </row>
    <row r="1182" ht="22.5" customHeight="1">
      <c r="A1182" s="7" t="s">
        <v>2327</v>
      </c>
      <c r="B1182" s="8" t="s">
        <v>6026</v>
      </c>
      <c r="C1182" s="7" t="s">
        <v>6029</v>
      </c>
      <c r="D1182" s="7" t="s">
        <v>26</v>
      </c>
      <c r="E1182" s="7" t="s">
        <v>16</v>
      </c>
      <c r="F1182" s="7" t="s">
        <v>16</v>
      </c>
    </row>
    <row r="1183" ht="22.5" customHeight="1">
      <c r="A1183" s="7" t="s">
        <v>3800</v>
      </c>
      <c r="B1183" s="8" t="s">
        <v>6030</v>
      </c>
      <c r="C1183" s="7" t="s">
        <v>6031</v>
      </c>
      <c r="D1183" s="7" t="s">
        <v>16</v>
      </c>
      <c r="E1183" s="7" t="s">
        <v>3799</v>
      </c>
      <c r="F1183" s="7" t="s">
        <v>3879</v>
      </c>
    </row>
    <row r="1184" ht="22.5" customHeight="1">
      <c r="A1184" s="7" t="s">
        <v>3800</v>
      </c>
      <c r="B1184" s="8" t="s">
        <v>6030</v>
      </c>
      <c r="C1184" s="7" t="s">
        <v>6032</v>
      </c>
      <c r="D1184" s="7" t="s">
        <v>16</v>
      </c>
      <c r="E1184" s="7" t="s">
        <v>3799</v>
      </c>
      <c r="F1184" s="7" t="s">
        <v>3879</v>
      </c>
    </row>
    <row r="1185" ht="22.5" customHeight="1">
      <c r="A1185" s="7" t="s">
        <v>3827</v>
      </c>
      <c r="B1185" s="8" t="s">
        <v>6033</v>
      </c>
      <c r="C1185" s="7" t="s">
        <v>6034</v>
      </c>
      <c r="D1185" s="7" t="s">
        <v>26</v>
      </c>
      <c r="E1185" s="7" t="s">
        <v>16</v>
      </c>
      <c r="F1185" s="7" t="s">
        <v>16</v>
      </c>
    </row>
    <row r="1186" ht="22.5" customHeight="1">
      <c r="A1186" s="7" t="s">
        <v>2725</v>
      </c>
      <c r="B1186" s="8" t="s">
        <v>6035</v>
      </c>
      <c r="C1186" s="7" t="s">
        <v>6036</v>
      </c>
      <c r="D1186" s="7" t="s">
        <v>26</v>
      </c>
      <c r="E1186" s="7" t="s">
        <v>16</v>
      </c>
      <c r="F1186" s="7" t="s">
        <v>16</v>
      </c>
    </row>
    <row r="1187" ht="22.5" customHeight="1">
      <c r="A1187" s="7" t="s">
        <v>2327</v>
      </c>
      <c r="B1187" s="8" t="s">
        <v>6037</v>
      </c>
      <c r="C1187" s="7" t="s">
        <v>6038</v>
      </c>
      <c r="D1187" s="7" t="s">
        <v>26</v>
      </c>
      <c r="E1187" s="7" t="s">
        <v>16</v>
      </c>
      <c r="F1187" s="7" t="s">
        <v>16</v>
      </c>
    </row>
    <row r="1188" ht="22.5" customHeight="1">
      <c r="A1188" s="7" t="s">
        <v>3807</v>
      </c>
      <c r="B1188" s="8" t="s">
        <v>6039</v>
      </c>
      <c r="C1188" s="7" t="s">
        <v>6040</v>
      </c>
      <c r="D1188" s="7" t="s">
        <v>26</v>
      </c>
      <c r="E1188" s="7" t="s">
        <v>16</v>
      </c>
      <c r="F1188" s="7" t="s">
        <v>16</v>
      </c>
    </row>
    <row r="1189" ht="22.5" customHeight="1">
      <c r="A1189" s="7" t="s">
        <v>3800</v>
      </c>
      <c r="B1189" s="8" t="s">
        <v>6041</v>
      </c>
      <c r="C1189" s="7" t="s">
        <v>6042</v>
      </c>
      <c r="D1189" s="7" t="s">
        <v>16</v>
      </c>
      <c r="E1189" s="7" t="s">
        <v>3803</v>
      </c>
      <c r="F1189" s="7" t="s">
        <v>16</v>
      </c>
    </row>
    <row r="1190" ht="22.5" customHeight="1">
      <c r="A1190" s="7" t="s">
        <v>2725</v>
      </c>
      <c r="B1190" s="8" t="s">
        <v>6043</v>
      </c>
      <c r="C1190" s="7" t="s">
        <v>6044</v>
      </c>
      <c r="D1190" s="7" t="s">
        <v>16</v>
      </c>
      <c r="E1190" s="7" t="s">
        <v>3806</v>
      </c>
      <c r="F1190" s="7" t="s">
        <v>16</v>
      </c>
    </row>
    <row r="1191" ht="22.5" customHeight="1">
      <c r="A1191" s="7" t="s">
        <v>3800</v>
      </c>
      <c r="B1191" s="8" t="s">
        <v>6045</v>
      </c>
      <c r="C1191" s="7" t="s">
        <v>6046</v>
      </c>
      <c r="D1191" s="7" t="s">
        <v>16</v>
      </c>
      <c r="E1191" s="7" t="s">
        <v>3799</v>
      </c>
      <c r="F1191" s="7" t="s">
        <v>3945</v>
      </c>
    </row>
    <row r="1192" ht="22.5" customHeight="1">
      <c r="A1192" s="7" t="s">
        <v>2725</v>
      </c>
      <c r="B1192" s="8" t="s">
        <v>6047</v>
      </c>
      <c r="C1192" s="7" t="s">
        <v>6048</v>
      </c>
      <c r="D1192" s="7" t="s">
        <v>16</v>
      </c>
      <c r="E1192" s="7" t="s">
        <v>3806</v>
      </c>
      <c r="F1192" s="7" t="s">
        <v>16</v>
      </c>
    </row>
    <row r="1193" ht="22.5" customHeight="1">
      <c r="A1193" s="7" t="s">
        <v>3837</v>
      </c>
      <c r="B1193" s="8" t="s">
        <v>6049</v>
      </c>
      <c r="C1193" s="7" t="s">
        <v>6050</v>
      </c>
      <c r="D1193" s="7" t="s">
        <v>16</v>
      </c>
      <c r="E1193" s="7" t="s">
        <v>3806</v>
      </c>
      <c r="F1193" s="7" t="s">
        <v>16</v>
      </c>
    </row>
    <row r="1194" ht="22.5" customHeight="1">
      <c r="A1194" s="7" t="s">
        <v>3800</v>
      </c>
      <c r="B1194" s="8" t="s">
        <v>6051</v>
      </c>
      <c r="C1194" s="7" t="s">
        <v>6052</v>
      </c>
      <c r="D1194" s="7" t="s">
        <v>26</v>
      </c>
      <c r="E1194" s="7" t="s">
        <v>16</v>
      </c>
      <c r="F1194" s="7" t="s">
        <v>16</v>
      </c>
    </row>
    <row r="1195" ht="22.5" customHeight="1">
      <c r="A1195" s="7" t="s">
        <v>3800</v>
      </c>
      <c r="B1195" s="8" t="s">
        <v>6053</v>
      </c>
      <c r="C1195" s="7" t="s">
        <v>6054</v>
      </c>
      <c r="D1195" s="7" t="s">
        <v>16</v>
      </c>
      <c r="E1195" s="7" t="s">
        <v>3806</v>
      </c>
      <c r="F1195" s="7" t="s">
        <v>16</v>
      </c>
    </row>
    <row r="1196" ht="22.5" customHeight="1">
      <c r="A1196" s="7" t="s">
        <v>3800</v>
      </c>
      <c r="B1196" s="8" t="s">
        <v>6055</v>
      </c>
      <c r="C1196" s="7" t="s">
        <v>6056</v>
      </c>
      <c r="D1196" s="7" t="s">
        <v>6057</v>
      </c>
      <c r="E1196" s="7" t="s">
        <v>3799</v>
      </c>
      <c r="F1196" s="7" t="s">
        <v>16</v>
      </c>
    </row>
    <row r="1197" ht="22.5" customHeight="1">
      <c r="A1197" s="7" t="s">
        <v>3837</v>
      </c>
      <c r="B1197" s="8" t="s">
        <v>6058</v>
      </c>
      <c r="C1197" s="7" t="s">
        <v>6059</v>
      </c>
      <c r="D1197" s="7" t="s">
        <v>6057</v>
      </c>
      <c r="E1197" s="7" t="s">
        <v>3799</v>
      </c>
      <c r="F1197" s="7" t="s">
        <v>16</v>
      </c>
    </row>
    <row r="1198" ht="22.5" customHeight="1">
      <c r="A1198" s="7" t="s">
        <v>2725</v>
      </c>
      <c r="B1198" s="8" t="s">
        <v>6060</v>
      </c>
      <c r="C1198" s="7" t="s">
        <v>6061</v>
      </c>
      <c r="D1198" s="7" t="s">
        <v>26</v>
      </c>
      <c r="E1198" s="7" t="s">
        <v>16</v>
      </c>
      <c r="F1198" s="7" t="s">
        <v>16</v>
      </c>
    </row>
    <row r="1199" ht="22.5" customHeight="1">
      <c r="A1199" s="7" t="s">
        <v>3800</v>
      </c>
      <c r="B1199" s="8" t="s">
        <v>6062</v>
      </c>
      <c r="C1199" s="7" t="s">
        <v>6063</v>
      </c>
      <c r="D1199" s="7" t="s">
        <v>16</v>
      </c>
      <c r="E1199" s="7" t="s">
        <v>3806</v>
      </c>
      <c r="F1199" s="7" t="s">
        <v>3884</v>
      </c>
    </row>
    <row r="1200" ht="22.5" customHeight="1">
      <c r="A1200" s="7" t="s">
        <v>3800</v>
      </c>
      <c r="B1200" s="8" t="s">
        <v>6064</v>
      </c>
      <c r="C1200" s="7" t="s">
        <v>6065</v>
      </c>
      <c r="D1200" s="7" t="s">
        <v>26</v>
      </c>
      <c r="E1200" s="7" t="s">
        <v>16</v>
      </c>
      <c r="F1200" s="7" t="s">
        <v>16</v>
      </c>
    </row>
    <row r="1201" ht="22.5" customHeight="1">
      <c r="A1201" s="7" t="s">
        <v>3800</v>
      </c>
      <c r="B1201" s="8" t="s">
        <v>6064</v>
      </c>
      <c r="C1201" s="7" t="s">
        <v>6066</v>
      </c>
      <c r="D1201" s="7" t="s">
        <v>26</v>
      </c>
      <c r="E1201" s="7" t="s">
        <v>16</v>
      </c>
      <c r="F1201" s="7" t="s">
        <v>16</v>
      </c>
    </row>
    <row r="1202" ht="22.5" customHeight="1">
      <c r="A1202" s="7" t="s">
        <v>3871</v>
      </c>
      <c r="B1202" s="8" t="s">
        <v>6067</v>
      </c>
      <c r="C1202" s="7" t="s">
        <v>6068</v>
      </c>
      <c r="D1202" s="7" t="s">
        <v>26</v>
      </c>
      <c r="E1202" s="7" t="s">
        <v>16</v>
      </c>
      <c r="F1202" s="7" t="s">
        <v>16</v>
      </c>
    </row>
    <row r="1203" ht="22.5" customHeight="1">
      <c r="A1203" s="7" t="s">
        <v>3800</v>
      </c>
      <c r="B1203" s="8" t="s">
        <v>6069</v>
      </c>
      <c r="C1203" s="7" t="s">
        <v>6070</v>
      </c>
      <c r="D1203" s="7" t="s">
        <v>26</v>
      </c>
      <c r="E1203" s="7" t="s">
        <v>16</v>
      </c>
      <c r="F1203" s="7" t="s">
        <v>16</v>
      </c>
    </row>
    <row r="1204" ht="22.5" customHeight="1">
      <c r="A1204" s="7" t="s">
        <v>3800</v>
      </c>
      <c r="B1204" s="8" t="s">
        <v>6071</v>
      </c>
      <c r="C1204" s="7" t="s">
        <v>6072</v>
      </c>
      <c r="D1204" s="7" t="s">
        <v>26</v>
      </c>
      <c r="E1204" s="7" t="s">
        <v>16</v>
      </c>
      <c r="F1204" s="7" t="s">
        <v>16</v>
      </c>
    </row>
    <row r="1205" ht="22.5" customHeight="1">
      <c r="A1205" s="7" t="s">
        <v>2327</v>
      </c>
      <c r="B1205" s="8" t="s">
        <v>6073</v>
      </c>
      <c r="C1205" s="7" t="s">
        <v>6074</v>
      </c>
      <c r="D1205" s="7" t="s">
        <v>16</v>
      </c>
      <c r="E1205" s="7" t="s">
        <v>3806</v>
      </c>
      <c r="F1205" s="7" t="s">
        <v>16</v>
      </c>
    </row>
    <row r="1206" ht="22.5" customHeight="1">
      <c r="A1206" s="7" t="s">
        <v>3800</v>
      </c>
      <c r="B1206" s="8" t="s">
        <v>6075</v>
      </c>
      <c r="C1206" s="7" t="s">
        <v>6076</v>
      </c>
      <c r="D1206" s="7" t="s">
        <v>26</v>
      </c>
      <c r="E1206" s="7" t="s">
        <v>16</v>
      </c>
      <c r="F1206" s="7" t="s">
        <v>16</v>
      </c>
    </row>
    <row r="1207" ht="22.5" customHeight="1">
      <c r="A1207" s="7" t="s">
        <v>3827</v>
      </c>
      <c r="B1207" s="8" t="s">
        <v>6077</v>
      </c>
      <c r="C1207" s="7" t="s">
        <v>6078</v>
      </c>
      <c r="D1207" s="7" t="s">
        <v>26</v>
      </c>
      <c r="E1207" s="7" t="s">
        <v>16</v>
      </c>
      <c r="F1207" s="7" t="s">
        <v>16</v>
      </c>
    </row>
    <row r="1208" ht="22.5" customHeight="1">
      <c r="A1208" s="7" t="s">
        <v>3827</v>
      </c>
      <c r="B1208" s="8" t="s">
        <v>6079</v>
      </c>
      <c r="C1208" s="7" t="s">
        <v>6080</v>
      </c>
      <c r="D1208" s="7" t="s">
        <v>26</v>
      </c>
      <c r="E1208" s="7" t="s">
        <v>16</v>
      </c>
      <c r="F1208" s="7" t="s">
        <v>16</v>
      </c>
    </row>
    <row r="1209" ht="22.5" customHeight="1">
      <c r="A1209" s="7" t="s">
        <v>3800</v>
      </c>
      <c r="B1209" s="8" t="s">
        <v>6081</v>
      </c>
      <c r="C1209" s="7" t="s">
        <v>6082</v>
      </c>
      <c r="D1209" s="7" t="s">
        <v>26</v>
      </c>
      <c r="E1209" s="7" t="s">
        <v>16</v>
      </c>
      <c r="F1209" s="7" t="s">
        <v>16</v>
      </c>
    </row>
    <row r="1210" ht="22.5" customHeight="1">
      <c r="A1210" s="7" t="s">
        <v>3807</v>
      </c>
      <c r="B1210" s="8" t="s">
        <v>6083</v>
      </c>
      <c r="C1210" s="7" t="s">
        <v>6084</v>
      </c>
      <c r="D1210" s="7" t="s">
        <v>16</v>
      </c>
      <c r="E1210" s="7" t="s">
        <v>3806</v>
      </c>
      <c r="F1210" s="7" t="s">
        <v>5024</v>
      </c>
    </row>
    <row r="1211" ht="22.5" customHeight="1">
      <c r="A1211" s="7" t="s">
        <v>3807</v>
      </c>
      <c r="B1211" s="8" t="s">
        <v>6083</v>
      </c>
      <c r="C1211" s="7" t="s">
        <v>6085</v>
      </c>
      <c r="D1211" s="7" t="s">
        <v>26</v>
      </c>
      <c r="E1211" s="7" t="s">
        <v>16</v>
      </c>
      <c r="F1211" s="7" t="s">
        <v>16</v>
      </c>
    </row>
    <row r="1212" ht="22.5" customHeight="1">
      <c r="A1212" s="7" t="s">
        <v>3807</v>
      </c>
      <c r="B1212" s="8" t="s">
        <v>6086</v>
      </c>
      <c r="C1212" s="7" t="s">
        <v>6087</v>
      </c>
      <c r="D1212" s="7" t="s">
        <v>16</v>
      </c>
      <c r="E1212" s="7" t="s">
        <v>3806</v>
      </c>
      <c r="F1212" s="7" t="s">
        <v>4671</v>
      </c>
    </row>
    <row r="1213" ht="22.5" customHeight="1">
      <c r="A1213" s="7" t="s">
        <v>2725</v>
      </c>
      <c r="B1213" s="8" t="s">
        <v>6088</v>
      </c>
      <c r="C1213" s="7" t="s">
        <v>6089</v>
      </c>
      <c r="D1213" s="7" t="s">
        <v>16</v>
      </c>
      <c r="E1213" s="7" t="s">
        <v>3806</v>
      </c>
      <c r="F1213" s="7" t="s">
        <v>4671</v>
      </c>
    </row>
    <row r="1214" ht="22.5" customHeight="1">
      <c r="A1214" s="7" t="s">
        <v>2725</v>
      </c>
      <c r="B1214" s="8" t="s">
        <v>6090</v>
      </c>
      <c r="C1214" s="7" t="s">
        <v>6091</v>
      </c>
      <c r="D1214" s="7" t="s">
        <v>16</v>
      </c>
      <c r="E1214" s="7" t="s">
        <v>3799</v>
      </c>
      <c r="F1214" s="7" t="s">
        <v>4671</v>
      </c>
    </row>
    <row r="1215" ht="22.5" customHeight="1">
      <c r="A1215" s="7" t="s">
        <v>3827</v>
      </c>
      <c r="B1215" s="8" t="s">
        <v>6092</v>
      </c>
      <c r="C1215" s="7" t="s">
        <v>6093</v>
      </c>
      <c r="D1215" s="7" t="s">
        <v>26</v>
      </c>
      <c r="E1215" s="7" t="s">
        <v>16</v>
      </c>
      <c r="F1215" s="7" t="s">
        <v>16</v>
      </c>
    </row>
    <row r="1216" ht="22.5" customHeight="1">
      <c r="A1216" s="7" t="s">
        <v>3800</v>
      </c>
      <c r="B1216" s="8" t="s">
        <v>6094</v>
      </c>
      <c r="C1216" s="7" t="s">
        <v>6095</v>
      </c>
      <c r="D1216" s="7" t="s">
        <v>26</v>
      </c>
      <c r="E1216" s="7" t="s">
        <v>16</v>
      </c>
      <c r="F1216" s="7" t="s">
        <v>16</v>
      </c>
    </row>
    <row r="1217" ht="22.5" customHeight="1">
      <c r="A1217" s="7" t="s">
        <v>3800</v>
      </c>
      <c r="B1217" s="8" t="s">
        <v>6096</v>
      </c>
      <c r="C1217" s="7" t="s">
        <v>6097</v>
      </c>
      <c r="D1217" s="7" t="s">
        <v>16</v>
      </c>
      <c r="E1217" s="7" t="s">
        <v>3806</v>
      </c>
      <c r="F1217" s="7" t="s">
        <v>3904</v>
      </c>
    </row>
    <row r="1218" ht="22.5" customHeight="1">
      <c r="A1218" s="7" t="s">
        <v>3807</v>
      </c>
      <c r="B1218" s="8" t="s">
        <v>6098</v>
      </c>
      <c r="C1218" s="7" t="s">
        <v>6099</v>
      </c>
      <c r="D1218" s="7" t="s">
        <v>16</v>
      </c>
      <c r="E1218" s="7" t="s">
        <v>3806</v>
      </c>
      <c r="F1218" s="7" t="s">
        <v>3816</v>
      </c>
    </row>
    <row r="1219" ht="22.5" customHeight="1">
      <c r="A1219" s="7" t="s">
        <v>3807</v>
      </c>
      <c r="B1219" s="8" t="s">
        <v>6098</v>
      </c>
      <c r="C1219" s="7" t="s">
        <v>6100</v>
      </c>
      <c r="D1219" s="7" t="s">
        <v>26</v>
      </c>
      <c r="E1219" s="7" t="s">
        <v>16</v>
      </c>
      <c r="F1219" s="7" t="s">
        <v>16</v>
      </c>
    </row>
    <row r="1220" ht="22.5" customHeight="1">
      <c r="A1220" s="7" t="s">
        <v>3800</v>
      </c>
      <c r="B1220" s="8" t="s">
        <v>6101</v>
      </c>
      <c r="C1220" s="7" t="s">
        <v>6102</v>
      </c>
      <c r="D1220" s="7" t="s">
        <v>16</v>
      </c>
      <c r="E1220" s="7" t="s">
        <v>3799</v>
      </c>
      <c r="F1220" s="7" t="s">
        <v>16</v>
      </c>
    </row>
    <row r="1221" ht="22.5" customHeight="1">
      <c r="A1221" s="7" t="s">
        <v>3827</v>
      </c>
      <c r="B1221" s="8" t="s">
        <v>6103</v>
      </c>
      <c r="C1221" s="7" t="s">
        <v>6104</v>
      </c>
      <c r="D1221" s="7" t="s">
        <v>16</v>
      </c>
      <c r="E1221" s="7" t="s">
        <v>3799</v>
      </c>
      <c r="F1221" s="7" t="s">
        <v>16</v>
      </c>
    </row>
    <row r="1222" ht="22.5" customHeight="1">
      <c r="A1222" s="7" t="s">
        <v>3827</v>
      </c>
      <c r="B1222" s="8" t="s">
        <v>6103</v>
      </c>
      <c r="C1222" s="7" t="s">
        <v>6105</v>
      </c>
      <c r="D1222" s="7" t="s">
        <v>26</v>
      </c>
      <c r="E1222" s="7" t="s">
        <v>16</v>
      </c>
      <c r="F1222" s="7" t="s">
        <v>16</v>
      </c>
    </row>
    <row r="1223" ht="22.5" customHeight="1">
      <c r="A1223" s="7" t="s">
        <v>3827</v>
      </c>
      <c r="B1223" s="8" t="s">
        <v>6103</v>
      </c>
      <c r="C1223" s="7" t="s">
        <v>6106</v>
      </c>
      <c r="D1223" s="7" t="s">
        <v>26</v>
      </c>
      <c r="E1223" s="7" t="s">
        <v>16</v>
      </c>
      <c r="F1223" s="7" t="s">
        <v>16</v>
      </c>
    </row>
    <row r="1224" ht="22.5" customHeight="1">
      <c r="A1224" s="7" t="s">
        <v>3800</v>
      </c>
      <c r="B1224" s="8" t="s">
        <v>6107</v>
      </c>
      <c r="C1224" s="7" t="s">
        <v>6108</v>
      </c>
      <c r="D1224" s="7" t="s">
        <v>16</v>
      </c>
      <c r="E1224" s="7" t="s">
        <v>3806</v>
      </c>
      <c r="F1224" s="7" t="s">
        <v>16</v>
      </c>
    </row>
    <row r="1225" ht="22.5" customHeight="1">
      <c r="A1225" s="7" t="s">
        <v>2725</v>
      </c>
      <c r="B1225" s="8" t="s">
        <v>6109</v>
      </c>
      <c r="C1225" s="7" t="s">
        <v>6110</v>
      </c>
      <c r="D1225" s="7" t="s">
        <v>16</v>
      </c>
      <c r="E1225" s="7" t="s">
        <v>3799</v>
      </c>
      <c r="F1225" s="7" t="s">
        <v>16</v>
      </c>
    </row>
    <row r="1226" ht="22.5" customHeight="1">
      <c r="A1226" s="7" t="s">
        <v>3807</v>
      </c>
      <c r="B1226" s="8" t="s">
        <v>6111</v>
      </c>
      <c r="C1226" s="7" t="s">
        <v>6112</v>
      </c>
      <c r="D1226" s="7" t="s">
        <v>16</v>
      </c>
      <c r="E1226" s="7" t="s">
        <v>3806</v>
      </c>
      <c r="F1226" s="7" t="s">
        <v>16</v>
      </c>
    </row>
    <row r="1227" ht="22.5" customHeight="1">
      <c r="A1227" s="7" t="s">
        <v>3807</v>
      </c>
      <c r="B1227" s="8" t="s">
        <v>6111</v>
      </c>
      <c r="C1227" s="7" t="s">
        <v>6113</v>
      </c>
      <c r="D1227" s="7" t="s">
        <v>26</v>
      </c>
      <c r="E1227" s="7" t="s">
        <v>16</v>
      </c>
      <c r="F1227" s="7" t="s">
        <v>16</v>
      </c>
    </row>
    <row r="1228" ht="22.5" customHeight="1">
      <c r="A1228" s="7" t="s">
        <v>3807</v>
      </c>
      <c r="B1228" s="8" t="s">
        <v>6111</v>
      </c>
      <c r="C1228" s="7" t="s">
        <v>6114</v>
      </c>
      <c r="D1228" s="7" t="s">
        <v>26</v>
      </c>
      <c r="E1228" s="7" t="s">
        <v>16</v>
      </c>
      <c r="F1228" s="7" t="s">
        <v>16</v>
      </c>
    </row>
    <row r="1229" ht="22.5" customHeight="1">
      <c r="A1229" s="7" t="s">
        <v>3800</v>
      </c>
      <c r="B1229" s="8" t="s">
        <v>6115</v>
      </c>
      <c r="C1229" s="7" t="s">
        <v>6116</v>
      </c>
      <c r="D1229" s="7" t="s">
        <v>16</v>
      </c>
      <c r="E1229" s="7" t="s">
        <v>3806</v>
      </c>
      <c r="F1229" s="7" t="s">
        <v>16</v>
      </c>
    </row>
    <row r="1230" ht="22.5" customHeight="1">
      <c r="A1230" s="7" t="s">
        <v>3800</v>
      </c>
      <c r="B1230" s="8" t="s">
        <v>6117</v>
      </c>
      <c r="C1230" s="7" t="s">
        <v>6118</v>
      </c>
      <c r="D1230" s="7" t="s">
        <v>16</v>
      </c>
      <c r="E1230" s="7" t="s">
        <v>3806</v>
      </c>
      <c r="F1230" s="7" t="s">
        <v>4671</v>
      </c>
    </row>
    <row r="1231" ht="22.5" customHeight="1">
      <c r="A1231" s="7" t="s">
        <v>3800</v>
      </c>
      <c r="B1231" s="8" t="s">
        <v>6119</v>
      </c>
      <c r="C1231" s="7" t="s">
        <v>6120</v>
      </c>
      <c r="D1231" s="7" t="s">
        <v>16</v>
      </c>
      <c r="E1231" s="7" t="s">
        <v>3806</v>
      </c>
      <c r="F1231" s="7" t="s">
        <v>3904</v>
      </c>
    </row>
    <row r="1232" ht="22.5" customHeight="1">
      <c r="A1232" s="7" t="s">
        <v>3807</v>
      </c>
      <c r="B1232" s="8" t="s">
        <v>6121</v>
      </c>
      <c r="C1232" s="7" t="s">
        <v>6122</v>
      </c>
      <c r="D1232" s="7" t="s">
        <v>16</v>
      </c>
      <c r="E1232" s="7" t="s">
        <v>3806</v>
      </c>
      <c r="F1232" s="7" t="s">
        <v>16</v>
      </c>
    </row>
    <row r="1233" ht="22.5" customHeight="1">
      <c r="A1233" s="7" t="s">
        <v>3800</v>
      </c>
      <c r="B1233" s="8" t="s">
        <v>6123</v>
      </c>
      <c r="C1233" s="7" t="s">
        <v>6124</v>
      </c>
      <c r="D1233" s="7" t="s">
        <v>16</v>
      </c>
      <c r="E1233" s="7" t="s">
        <v>3799</v>
      </c>
      <c r="F1233" s="7" t="s">
        <v>16</v>
      </c>
    </row>
    <row r="1234" ht="22.5" customHeight="1">
      <c r="A1234" s="7" t="s">
        <v>3807</v>
      </c>
      <c r="B1234" s="8" t="s">
        <v>6125</v>
      </c>
      <c r="C1234" s="7" t="s">
        <v>6126</v>
      </c>
      <c r="D1234" s="7" t="s">
        <v>16</v>
      </c>
      <c r="E1234" s="7" t="s">
        <v>3799</v>
      </c>
      <c r="F1234" s="7" t="s">
        <v>3879</v>
      </c>
    </row>
    <row r="1235" ht="22.5" customHeight="1">
      <c r="A1235" s="7" t="s">
        <v>2725</v>
      </c>
      <c r="B1235" s="8" t="s">
        <v>6127</v>
      </c>
      <c r="C1235" s="7" t="s">
        <v>6128</v>
      </c>
      <c r="D1235" s="7" t="s">
        <v>16</v>
      </c>
      <c r="E1235" s="7" t="s">
        <v>3799</v>
      </c>
      <c r="F1235" s="7" t="s">
        <v>3879</v>
      </c>
    </row>
    <row r="1236" ht="22.5" customHeight="1">
      <c r="A1236" s="7" t="s">
        <v>3807</v>
      </c>
      <c r="B1236" s="8" t="s">
        <v>6129</v>
      </c>
      <c r="C1236" s="7" t="s">
        <v>6130</v>
      </c>
      <c r="D1236" s="7" t="s">
        <v>16</v>
      </c>
      <c r="E1236" s="7" t="s">
        <v>3812</v>
      </c>
      <c r="F1236" s="7" t="s">
        <v>3879</v>
      </c>
    </row>
    <row r="1237" ht="22.5" customHeight="1">
      <c r="A1237" s="7" t="s">
        <v>3800</v>
      </c>
      <c r="B1237" s="8" t="s">
        <v>6131</v>
      </c>
      <c r="C1237" s="7" t="s">
        <v>6132</v>
      </c>
      <c r="D1237" s="7" t="s">
        <v>16</v>
      </c>
      <c r="E1237" s="7" t="s">
        <v>3806</v>
      </c>
      <c r="F1237" s="7" t="s">
        <v>16</v>
      </c>
    </row>
    <row r="1238" ht="22.5" customHeight="1">
      <c r="A1238" s="7" t="s">
        <v>3807</v>
      </c>
      <c r="B1238" s="8" t="s">
        <v>6133</v>
      </c>
      <c r="C1238" s="7" t="s">
        <v>6134</v>
      </c>
      <c r="D1238" s="7" t="s">
        <v>16</v>
      </c>
      <c r="E1238" s="7" t="s">
        <v>3806</v>
      </c>
      <c r="F1238" s="7" t="s">
        <v>16</v>
      </c>
    </row>
    <row r="1239" ht="22.5" customHeight="1">
      <c r="A1239" s="7" t="s">
        <v>2725</v>
      </c>
      <c r="B1239" s="8" t="s">
        <v>6135</v>
      </c>
      <c r="C1239" s="7" t="s">
        <v>6136</v>
      </c>
      <c r="D1239" s="7" t="s">
        <v>16</v>
      </c>
      <c r="E1239" s="7" t="s">
        <v>3799</v>
      </c>
      <c r="F1239" s="7" t="s">
        <v>16</v>
      </c>
    </row>
    <row r="1240" ht="22.5" customHeight="1">
      <c r="A1240" s="7" t="s">
        <v>3800</v>
      </c>
      <c r="B1240" s="8" t="s">
        <v>6137</v>
      </c>
      <c r="C1240" s="7" t="s">
        <v>6138</v>
      </c>
      <c r="D1240" s="7" t="s">
        <v>16</v>
      </c>
      <c r="E1240" s="7" t="s">
        <v>3799</v>
      </c>
      <c r="F1240" s="7" t="s">
        <v>16</v>
      </c>
    </row>
    <row r="1241" ht="22.5" customHeight="1">
      <c r="A1241" s="7" t="s">
        <v>3800</v>
      </c>
      <c r="B1241" s="8" t="s">
        <v>6139</v>
      </c>
      <c r="C1241" s="7" t="s">
        <v>6140</v>
      </c>
      <c r="D1241" s="7" t="s">
        <v>26</v>
      </c>
      <c r="E1241" s="7" t="s">
        <v>16</v>
      </c>
      <c r="F1241" s="7" t="s">
        <v>16</v>
      </c>
    </row>
    <row r="1242" ht="22.5" customHeight="1">
      <c r="A1242" s="7" t="s">
        <v>3807</v>
      </c>
      <c r="B1242" s="8" t="s">
        <v>6141</v>
      </c>
      <c r="C1242" s="7" t="s">
        <v>6142</v>
      </c>
      <c r="D1242" s="7" t="s">
        <v>26</v>
      </c>
      <c r="E1242" s="7" t="s">
        <v>16</v>
      </c>
      <c r="F1242" s="7" t="s">
        <v>16</v>
      </c>
    </row>
    <row r="1243" ht="22.5" customHeight="1">
      <c r="A1243" s="7" t="s">
        <v>3837</v>
      </c>
      <c r="B1243" s="8" t="s">
        <v>6143</v>
      </c>
      <c r="C1243" s="7" t="s">
        <v>6144</v>
      </c>
      <c r="D1243" s="7" t="s">
        <v>16</v>
      </c>
      <c r="E1243" s="7" t="s">
        <v>3799</v>
      </c>
      <c r="F1243" s="7" t="s">
        <v>16</v>
      </c>
    </row>
    <row r="1244" ht="22.5" customHeight="1">
      <c r="A1244" s="7" t="s">
        <v>3800</v>
      </c>
      <c r="B1244" s="8" t="s">
        <v>6145</v>
      </c>
      <c r="C1244" s="7" t="s">
        <v>6146</v>
      </c>
      <c r="D1244" s="7" t="s">
        <v>26</v>
      </c>
      <c r="E1244" s="7" t="s">
        <v>16</v>
      </c>
      <c r="F1244" s="7" t="s">
        <v>16</v>
      </c>
    </row>
    <row r="1245" ht="22.5" customHeight="1">
      <c r="A1245" s="7" t="s">
        <v>2725</v>
      </c>
      <c r="B1245" s="8" t="s">
        <v>6147</v>
      </c>
      <c r="C1245" s="7" t="s">
        <v>6148</v>
      </c>
      <c r="D1245" s="7" t="s">
        <v>26</v>
      </c>
      <c r="E1245" s="7" t="s">
        <v>16</v>
      </c>
      <c r="F1245" s="7" t="s">
        <v>16</v>
      </c>
    </row>
    <row r="1246" ht="22.5" customHeight="1">
      <c r="A1246" s="7" t="s">
        <v>3807</v>
      </c>
      <c r="B1246" s="8" t="s">
        <v>6149</v>
      </c>
      <c r="C1246" s="7" t="s">
        <v>6150</v>
      </c>
      <c r="D1246" s="7" t="s">
        <v>16</v>
      </c>
      <c r="E1246" s="7" t="s">
        <v>3803</v>
      </c>
      <c r="F1246" s="7" t="s">
        <v>3850</v>
      </c>
    </row>
    <row r="1247" ht="22.5" customHeight="1">
      <c r="A1247" s="7" t="s">
        <v>3807</v>
      </c>
      <c r="B1247" s="8" t="s">
        <v>6149</v>
      </c>
      <c r="C1247" s="7" t="s">
        <v>6151</v>
      </c>
      <c r="D1247" s="7" t="s">
        <v>16</v>
      </c>
      <c r="E1247" s="7" t="s">
        <v>3803</v>
      </c>
      <c r="F1247" s="7" t="s">
        <v>3850</v>
      </c>
    </row>
    <row r="1248" ht="22.5" customHeight="1">
      <c r="A1248" s="7" t="s">
        <v>3807</v>
      </c>
      <c r="B1248" s="8" t="s">
        <v>6149</v>
      </c>
      <c r="C1248" s="7" t="s">
        <v>6152</v>
      </c>
      <c r="D1248" s="7" t="s">
        <v>26</v>
      </c>
      <c r="E1248" s="7" t="s">
        <v>16</v>
      </c>
      <c r="F1248" s="7" t="s">
        <v>16</v>
      </c>
    </row>
    <row r="1249" ht="22.5" customHeight="1">
      <c r="A1249" s="7" t="s">
        <v>3800</v>
      </c>
      <c r="B1249" s="8" t="s">
        <v>6153</v>
      </c>
      <c r="C1249" s="7" t="s">
        <v>6154</v>
      </c>
      <c r="D1249" s="7" t="s">
        <v>16</v>
      </c>
      <c r="E1249" s="7" t="s">
        <v>3812</v>
      </c>
      <c r="F1249" s="7" t="s">
        <v>16</v>
      </c>
    </row>
    <row r="1250" ht="22.5" customHeight="1">
      <c r="A1250" s="7" t="s">
        <v>2327</v>
      </c>
      <c r="B1250" s="8" t="s">
        <v>6155</v>
      </c>
      <c r="C1250" s="7" t="s">
        <v>6156</v>
      </c>
      <c r="D1250" s="7" t="s">
        <v>16</v>
      </c>
      <c r="E1250" s="7" t="s">
        <v>3799</v>
      </c>
      <c r="F1250" s="7" t="s">
        <v>16</v>
      </c>
    </row>
    <row r="1251" ht="22.5" customHeight="1">
      <c r="A1251" s="7" t="s">
        <v>3807</v>
      </c>
      <c r="B1251" s="8" t="s">
        <v>6157</v>
      </c>
      <c r="C1251" s="7" t="s">
        <v>6158</v>
      </c>
      <c r="D1251" s="7" t="s">
        <v>16</v>
      </c>
      <c r="E1251" s="7" t="s">
        <v>3799</v>
      </c>
      <c r="F1251" s="7" t="s">
        <v>16</v>
      </c>
    </row>
    <row r="1252" ht="22.5" customHeight="1">
      <c r="A1252" s="7" t="s">
        <v>3807</v>
      </c>
      <c r="B1252" s="8" t="s">
        <v>6157</v>
      </c>
      <c r="C1252" s="7" t="s">
        <v>6159</v>
      </c>
      <c r="D1252" s="7" t="s">
        <v>26</v>
      </c>
      <c r="E1252" s="7" t="s">
        <v>16</v>
      </c>
      <c r="F1252" s="7" t="s">
        <v>16</v>
      </c>
    </row>
    <row r="1253" ht="22.5" customHeight="1">
      <c r="A1253" s="7" t="s">
        <v>3800</v>
      </c>
      <c r="B1253" s="8" t="s">
        <v>6160</v>
      </c>
      <c r="C1253" s="7" t="s">
        <v>6161</v>
      </c>
      <c r="D1253" s="7" t="s">
        <v>16</v>
      </c>
      <c r="E1253" s="7" t="s">
        <v>3806</v>
      </c>
      <c r="F1253" s="7" t="s">
        <v>16</v>
      </c>
    </row>
    <row r="1254" ht="22.5" customHeight="1">
      <c r="A1254" s="7" t="s">
        <v>2725</v>
      </c>
      <c r="B1254" s="8" t="s">
        <v>6162</v>
      </c>
      <c r="C1254" s="7" t="s">
        <v>6163</v>
      </c>
      <c r="D1254" s="7" t="s">
        <v>26</v>
      </c>
      <c r="E1254" s="7" t="s">
        <v>16</v>
      </c>
      <c r="F1254" s="7" t="s">
        <v>16</v>
      </c>
    </row>
    <row r="1255" ht="22.5" customHeight="1">
      <c r="A1255" s="7" t="s">
        <v>3827</v>
      </c>
      <c r="B1255" s="8" t="s">
        <v>6164</v>
      </c>
      <c r="C1255" s="7" t="s">
        <v>6165</v>
      </c>
      <c r="D1255" s="7" t="s">
        <v>26</v>
      </c>
      <c r="E1255" s="7" t="s">
        <v>16</v>
      </c>
      <c r="F1255" s="7" t="s">
        <v>16</v>
      </c>
    </row>
    <row r="1256" ht="22.5" customHeight="1">
      <c r="A1256" s="7" t="s">
        <v>3807</v>
      </c>
      <c r="B1256" s="8" t="s">
        <v>6166</v>
      </c>
      <c r="C1256" s="7" t="s">
        <v>6167</v>
      </c>
      <c r="D1256" s="7" t="s">
        <v>16</v>
      </c>
      <c r="E1256" s="7" t="s">
        <v>3812</v>
      </c>
      <c r="F1256" s="7" t="s">
        <v>16</v>
      </c>
    </row>
    <row r="1257" ht="22.5" customHeight="1">
      <c r="A1257" s="7" t="s">
        <v>2725</v>
      </c>
      <c r="B1257" s="8" t="s">
        <v>6168</v>
      </c>
      <c r="C1257" s="7" t="s">
        <v>6169</v>
      </c>
      <c r="D1257" s="7" t="s">
        <v>16</v>
      </c>
      <c r="E1257" s="7" t="s">
        <v>3806</v>
      </c>
      <c r="F1257" s="7" t="s">
        <v>16</v>
      </c>
    </row>
    <row r="1258" ht="22.5" customHeight="1">
      <c r="A1258" s="7" t="s">
        <v>2725</v>
      </c>
      <c r="B1258" s="8" t="s">
        <v>6168</v>
      </c>
      <c r="C1258" s="7" t="s">
        <v>6170</v>
      </c>
      <c r="D1258" s="7" t="s">
        <v>26</v>
      </c>
      <c r="E1258" s="7" t="s">
        <v>16</v>
      </c>
      <c r="F1258" s="7" t="s">
        <v>16</v>
      </c>
    </row>
    <row r="1259" ht="22.5" customHeight="1">
      <c r="A1259" s="7" t="s">
        <v>3837</v>
      </c>
      <c r="B1259" s="8" t="s">
        <v>6171</v>
      </c>
      <c r="C1259" s="7" t="s">
        <v>6172</v>
      </c>
      <c r="D1259" s="7" t="s">
        <v>26</v>
      </c>
      <c r="E1259" s="7" t="s">
        <v>16</v>
      </c>
      <c r="F1259" s="7" t="s">
        <v>16</v>
      </c>
    </row>
    <row r="1260" ht="22.5" customHeight="1">
      <c r="A1260" s="7" t="s">
        <v>3827</v>
      </c>
      <c r="B1260" s="8" t="s">
        <v>6173</v>
      </c>
      <c r="C1260" s="7" t="s">
        <v>6174</v>
      </c>
      <c r="D1260" s="7" t="s">
        <v>16</v>
      </c>
      <c r="E1260" s="7" t="s">
        <v>3806</v>
      </c>
      <c r="F1260" s="7" t="s">
        <v>16</v>
      </c>
    </row>
    <row r="1261" ht="22.5" customHeight="1">
      <c r="A1261" s="7" t="s">
        <v>3837</v>
      </c>
      <c r="B1261" s="8" t="s">
        <v>6175</v>
      </c>
      <c r="C1261" s="7" t="s">
        <v>6176</v>
      </c>
      <c r="D1261" s="7" t="s">
        <v>16</v>
      </c>
      <c r="E1261" s="7" t="s">
        <v>3799</v>
      </c>
      <c r="F1261" s="7" t="s">
        <v>16</v>
      </c>
    </row>
    <row r="1262" ht="22.5" customHeight="1">
      <c r="A1262" s="7" t="s">
        <v>3837</v>
      </c>
      <c r="B1262" s="8" t="s">
        <v>6175</v>
      </c>
      <c r="C1262" s="7" t="s">
        <v>6177</v>
      </c>
      <c r="D1262" s="7" t="s">
        <v>26</v>
      </c>
      <c r="E1262" s="7" t="s">
        <v>16</v>
      </c>
      <c r="F1262" s="7" t="s">
        <v>16</v>
      </c>
    </row>
    <row r="1263" ht="22.5" customHeight="1">
      <c r="A1263" s="7" t="s">
        <v>3807</v>
      </c>
      <c r="B1263" s="8" t="s">
        <v>6178</v>
      </c>
      <c r="C1263" s="7" t="s">
        <v>6179</v>
      </c>
      <c r="D1263" s="7" t="s">
        <v>16</v>
      </c>
      <c r="E1263" s="7" t="s">
        <v>3803</v>
      </c>
      <c r="F1263" s="7" t="s">
        <v>3850</v>
      </c>
    </row>
    <row r="1264" ht="22.5" customHeight="1">
      <c r="A1264" s="7" t="s">
        <v>3807</v>
      </c>
      <c r="B1264" s="8" t="s">
        <v>6178</v>
      </c>
      <c r="C1264" s="7" t="s">
        <v>6180</v>
      </c>
      <c r="D1264" s="7" t="s">
        <v>26</v>
      </c>
      <c r="E1264" s="7" t="s">
        <v>16</v>
      </c>
      <c r="F1264" s="7" t="s">
        <v>16</v>
      </c>
    </row>
    <row r="1265" ht="22.5" customHeight="1">
      <c r="A1265" s="7" t="s">
        <v>3807</v>
      </c>
      <c r="B1265" s="8" t="s">
        <v>6178</v>
      </c>
      <c r="C1265" s="7" t="s">
        <v>6181</v>
      </c>
      <c r="D1265" s="7" t="s">
        <v>26</v>
      </c>
      <c r="E1265" s="7" t="s">
        <v>16</v>
      </c>
      <c r="F1265" s="7" t="s">
        <v>16</v>
      </c>
    </row>
    <row r="1266" ht="22.5" customHeight="1">
      <c r="A1266" s="7" t="s">
        <v>3827</v>
      </c>
      <c r="B1266" s="8" t="s">
        <v>6182</v>
      </c>
      <c r="C1266" s="7" t="s">
        <v>6183</v>
      </c>
      <c r="D1266" s="7" t="s">
        <v>16</v>
      </c>
      <c r="E1266" s="7" t="s">
        <v>3799</v>
      </c>
      <c r="F1266" s="7" t="s">
        <v>16</v>
      </c>
    </row>
    <row r="1267" ht="22.5" customHeight="1">
      <c r="A1267" s="7" t="s">
        <v>2725</v>
      </c>
      <c r="B1267" s="8" t="s">
        <v>6184</v>
      </c>
      <c r="C1267" s="7" t="s">
        <v>6185</v>
      </c>
      <c r="D1267" s="7" t="s">
        <v>4510</v>
      </c>
      <c r="E1267" s="7" t="s">
        <v>3806</v>
      </c>
      <c r="F1267" s="7" t="s">
        <v>16</v>
      </c>
    </row>
    <row r="1268" ht="22.5" customHeight="1">
      <c r="A1268" s="7" t="s">
        <v>2725</v>
      </c>
      <c r="B1268" s="8" t="s">
        <v>6186</v>
      </c>
      <c r="C1268" s="7" t="s">
        <v>6187</v>
      </c>
      <c r="D1268" s="7" t="s">
        <v>16</v>
      </c>
      <c r="E1268" s="7" t="s">
        <v>3806</v>
      </c>
      <c r="F1268" s="7" t="s">
        <v>3816</v>
      </c>
    </row>
    <row r="1269" ht="22.5" customHeight="1">
      <c r="A1269" s="7" t="s">
        <v>2725</v>
      </c>
      <c r="B1269" s="8" t="s">
        <v>6188</v>
      </c>
      <c r="C1269" s="7" t="s">
        <v>6189</v>
      </c>
      <c r="D1269" s="7" t="s">
        <v>16</v>
      </c>
      <c r="E1269" s="7" t="s">
        <v>3806</v>
      </c>
      <c r="F1269" s="7" t="s">
        <v>3884</v>
      </c>
    </row>
    <row r="1270" ht="22.5" customHeight="1">
      <c r="A1270" s="7" t="s">
        <v>3837</v>
      </c>
      <c r="B1270" s="8" t="s">
        <v>6190</v>
      </c>
      <c r="C1270" s="7" t="s">
        <v>6191</v>
      </c>
      <c r="D1270" s="7" t="s">
        <v>16</v>
      </c>
      <c r="E1270" s="7" t="s">
        <v>3806</v>
      </c>
      <c r="F1270" s="7" t="s">
        <v>16</v>
      </c>
    </row>
    <row r="1271" ht="22.5" customHeight="1">
      <c r="A1271" s="7" t="s">
        <v>3837</v>
      </c>
      <c r="B1271" s="8" t="s">
        <v>6192</v>
      </c>
      <c r="C1271" s="7" t="s">
        <v>6193</v>
      </c>
      <c r="D1271" s="7" t="s">
        <v>16</v>
      </c>
      <c r="E1271" s="7" t="s">
        <v>3799</v>
      </c>
      <c r="F1271" s="7" t="s">
        <v>16</v>
      </c>
    </row>
    <row r="1272" ht="22.5" customHeight="1">
      <c r="A1272" s="7" t="s">
        <v>3800</v>
      </c>
      <c r="B1272" s="8" t="s">
        <v>6194</v>
      </c>
      <c r="C1272" s="7" t="s">
        <v>6195</v>
      </c>
      <c r="D1272" s="7" t="s">
        <v>16</v>
      </c>
      <c r="E1272" s="7" t="s">
        <v>3799</v>
      </c>
      <c r="F1272" s="7" t="s">
        <v>16</v>
      </c>
    </row>
    <row r="1273" ht="22.5" customHeight="1">
      <c r="A1273" s="7" t="s">
        <v>3800</v>
      </c>
      <c r="B1273" s="8" t="s">
        <v>6196</v>
      </c>
      <c r="C1273" s="7" t="s">
        <v>6197</v>
      </c>
      <c r="D1273" s="7" t="s">
        <v>26</v>
      </c>
      <c r="E1273" s="7" t="s">
        <v>16</v>
      </c>
      <c r="F1273" s="7" t="s">
        <v>16</v>
      </c>
    </row>
    <row r="1274" ht="22.5" customHeight="1">
      <c r="A1274" s="7" t="s">
        <v>3837</v>
      </c>
      <c r="B1274" s="8" t="s">
        <v>6198</v>
      </c>
      <c r="C1274" s="7" t="s">
        <v>6199</v>
      </c>
      <c r="D1274" s="7" t="s">
        <v>16</v>
      </c>
      <c r="E1274" s="7" t="s">
        <v>3806</v>
      </c>
      <c r="F1274" s="7" t="s">
        <v>16</v>
      </c>
    </row>
    <row r="1275" ht="22.5" customHeight="1">
      <c r="A1275" s="7" t="s">
        <v>3807</v>
      </c>
      <c r="B1275" s="8" t="s">
        <v>6200</v>
      </c>
      <c r="C1275" s="7" t="s">
        <v>6201</v>
      </c>
      <c r="D1275" s="7" t="s">
        <v>16</v>
      </c>
      <c r="E1275" s="7" t="s">
        <v>3806</v>
      </c>
      <c r="F1275" s="7" t="s">
        <v>16</v>
      </c>
    </row>
    <row r="1276" ht="22.5" customHeight="1">
      <c r="A1276" s="7" t="s">
        <v>3837</v>
      </c>
      <c r="B1276" s="8" t="s">
        <v>6202</v>
      </c>
      <c r="C1276" s="7" t="s">
        <v>6203</v>
      </c>
      <c r="D1276" s="7" t="s">
        <v>16</v>
      </c>
      <c r="E1276" s="7" t="s">
        <v>3803</v>
      </c>
      <c r="F1276" s="7" t="s">
        <v>16</v>
      </c>
    </row>
    <row r="1277" ht="22.5" customHeight="1">
      <c r="A1277" s="7" t="s">
        <v>3800</v>
      </c>
      <c r="B1277" s="8" t="s">
        <v>6204</v>
      </c>
      <c r="C1277" s="7" t="s">
        <v>6205</v>
      </c>
      <c r="D1277" s="7" t="s">
        <v>16</v>
      </c>
      <c r="E1277" s="7" t="s">
        <v>3806</v>
      </c>
      <c r="F1277" s="7" t="s">
        <v>3884</v>
      </c>
    </row>
    <row r="1278" ht="22.5" customHeight="1">
      <c r="A1278" s="7" t="s">
        <v>2725</v>
      </c>
      <c r="B1278" s="8" t="s">
        <v>6206</v>
      </c>
      <c r="C1278" s="7" t="s">
        <v>6207</v>
      </c>
      <c r="D1278" s="7" t="s">
        <v>16</v>
      </c>
      <c r="E1278" s="7" t="s">
        <v>3806</v>
      </c>
      <c r="F1278" s="7" t="s">
        <v>16</v>
      </c>
    </row>
    <row r="1279" ht="22.5" customHeight="1">
      <c r="A1279" s="7" t="s">
        <v>3807</v>
      </c>
      <c r="B1279" s="8" t="s">
        <v>6208</v>
      </c>
      <c r="C1279" s="7" t="s">
        <v>6209</v>
      </c>
      <c r="D1279" s="7" t="s">
        <v>26</v>
      </c>
      <c r="E1279" s="7" t="s">
        <v>16</v>
      </c>
      <c r="F1279" s="7" t="s">
        <v>16</v>
      </c>
    </row>
    <row r="1280" ht="22.5" customHeight="1">
      <c r="A1280" s="7" t="s">
        <v>3800</v>
      </c>
      <c r="B1280" s="8" t="s">
        <v>6210</v>
      </c>
      <c r="C1280" s="7" t="s">
        <v>6211</v>
      </c>
      <c r="D1280" s="7" t="s">
        <v>26</v>
      </c>
      <c r="E1280" s="7" t="s">
        <v>16</v>
      </c>
      <c r="F1280" s="7" t="s">
        <v>16</v>
      </c>
    </row>
    <row r="1281" ht="22.5" customHeight="1">
      <c r="A1281" s="7" t="s">
        <v>3827</v>
      </c>
      <c r="B1281" s="8" t="s">
        <v>6212</v>
      </c>
      <c r="C1281" s="7" t="s">
        <v>6213</v>
      </c>
      <c r="D1281" s="7" t="s">
        <v>16</v>
      </c>
      <c r="E1281" s="7" t="s">
        <v>3806</v>
      </c>
      <c r="F1281" s="7" t="s">
        <v>16</v>
      </c>
    </row>
    <row r="1282" ht="22.5" customHeight="1">
      <c r="A1282" s="7" t="s">
        <v>3800</v>
      </c>
      <c r="B1282" s="8" t="s">
        <v>6214</v>
      </c>
      <c r="C1282" s="7" t="s">
        <v>6215</v>
      </c>
      <c r="D1282" s="7" t="s">
        <v>16</v>
      </c>
      <c r="E1282" s="7" t="s">
        <v>3803</v>
      </c>
      <c r="F1282" s="7" t="s">
        <v>3850</v>
      </c>
    </row>
    <row r="1283" ht="22.5" customHeight="1">
      <c r="A1283" s="7" t="s">
        <v>3800</v>
      </c>
      <c r="B1283" s="8" t="s">
        <v>6216</v>
      </c>
      <c r="C1283" s="7" t="s">
        <v>6217</v>
      </c>
      <c r="D1283" s="7" t="s">
        <v>26</v>
      </c>
      <c r="E1283" s="7" t="s">
        <v>16</v>
      </c>
      <c r="F1283" s="7" t="s">
        <v>16</v>
      </c>
    </row>
    <row r="1284" ht="22.5" customHeight="1">
      <c r="A1284" s="7" t="s">
        <v>2327</v>
      </c>
      <c r="B1284" s="8" t="s">
        <v>6218</v>
      </c>
      <c r="C1284" s="7" t="s">
        <v>6219</v>
      </c>
      <c r="D1284" s="7" t="s">
        <v>16</v>
      </c>
      <c r="E1284" s="7" t="s">
        <v>3799</v>
      </c>
      <c r="F1284" s="7" t="s">
        <v>16</v>
      </c>
    </row>
    <row r="1285" ht="22.5" customHeight="1">
      <c r="A1285" s="7" t="s">
        <v>3807</v>
      </c>
      <c r="B1285" s="8" t="s">
        <v>6220</v>
      </c>
      <c r="C1285" s="7" t="s">
        <v>6221</v>
      </c>
      <c r="D1285" s="7" t="s">
        <v>16</v>
      </c>
      <c r="E1285" s="7" t="s">
        <v>3799</v>
      </c>
      <c r="F1285" s="7" t="s">
        <v>16</v>
      </c>
    </row>
    <row r="1286" ht="22.5" customHeight="1">
      <c r="A1286" s="7" t="s">
        <v>3837</v>
      </c>
      <c r="B1286" s="8" t="s">
        <v>6222</v>
      </c>
      <c r="C1286" s="7" t="s">
        <v>6223</v>
      </c>
      <c r="D1286" s="7" t="s">
        <v>16</v>
      </c>
      <c r="E1286" s="7" t="s">
        <v>3812</v>
      </c>
      <c r="F1286" s="7" t="s">
        <v>16</v>
      </c>
    </row>
    <row r="1287" ht="22.5" customHeight="1">
      <c r="A1287" s="7" t="s">
        <v>3800</v>
      </c>
      <c r="B1287" s="8" t="s">
        <v>6224</v>
      </c>
      <c r="C1287" s="7" t="s">
        <v>6225</v>
      </c>
      <c r="D1287" s="7" t="s">
        <v>5331</v>
      </c>
      <c r="E1287" s="7" t="s">
        <v>3806</v>
      </c>
      <c r="F1287" s="7" t="s">
        <v>16</v>
      </c>
    </row>
    <row r="1288" ht="22.5" customHeight="1">
      <c r="A1288" s="7" t="s">
        <v>3800</v>
      </c>
      <c r="B1288" s="8" t="s">
        <v>6224</v>
      </c>
      <c r="C1288" s="7" t="s">
        <v>6226</v>
      </c>
      <c r="D1288" s="7" t="s">
        <v>5331</v>
      </c>
      <c r="E1288" s="7" t="s">
        <v>3806</v>
      </c>
      <c r="F1288" s="7" t="s">
        <v>16</v>
      </c>
    </row>
    <row r="1289" ht="22.5" customHeight="1">
      <c r="A1289" s="7" t="s">
        <v>3800</v>
      </c>
      <c r="B1289" s="8" t="s">
        <v>6224</v>
      </c>
      <c r="C1289" s="7" t="s">
        <v>6227</v>
      </c>
      <c r="D1289" s="7" t="s">
        <v>5331</v>
      </c>
      <c r="E1289" s="7" t="s">
        <v>3806</v>
      </c>
      <c r="F1289" s="7" t="s">
        <v>16</v>
      </c>
    </row>
    <row r="1290" ht="22.5" customHeight="1">
      <c r="A1290" s="7" t="s">
        <v>3837</v>
      </c>
      <c r="B1290" s="8" t="s">
        <v>6228</v>
      </c>
      <c r="C1290" s="7" t="s">
        <v>6229</v>
      </c>
      <c r="D1290" s="7" t="s">
        <v>16</v>
      </c>
      <c r="E1290" s="7" t="s">
        <v>3803</v>
      </c>
      <c r="F1290" s="7" t="s">
        <v>3816</v>
      </c>
    </row>
    <row r="1291" ht="22.5" customHeight="1">
      <c r="A1291" s="7" t="s">
        <v>3837</v>
      </c>
      <c r="B1291" s="8" t="s">
        <v>6230</v>
      </c>
      <c r="C1291" s="7" t="s">
        <v>6231</v>
      </c>
      <c r="D1291" s="7" t="s">
        <v>26</v>
      </c>
      <c r="E1291" s="7" t="s">
        <v>16</v>
      </c>
      <c r="F1291" s="7" t="s">
        <v>16</v>
      </c>
    </row>
    <row r="1292" ht="22.5" customHeight="1">
      <c r="A1292" s="7" t="s">
        <v>3837</v>
      </c>
      <c r="B1292" s="8" t="s">
        <v>6230</v>
      </c>
      <c r="C1292" s="7" t="s">
        <v>6232</v>
      </c>
      <c r="D1292" s="7" t="s">
        <v>105</v>
      </c>
      <c r="E1292" s="7" t="s">
        <v>16</v>
      </c>
      <c r="F1292" s="7" t="s">
        <v>16</v>
      </c>
    </row>
    <row r="1293" ht="22.5" customHeight="1">
      <c r="A1293" s="7" t="s">
        <v>3837</v>
      </c>
      <c r="B1293" s="8" t="s">
        <v>6233</v>
      </c>
      <c r="C1293" s="7" t="s">
        <v>6234</v>
      </c>
      <c r="D1293" s="7" t="s">
        <v>6057</v>
      </c>
      <c r="E1293" s="7" t="s">
        <v>3803</v>
      </c>
      <c r="F1293" s="7" t="s">
        <v>16</v>
      </c>
    </row>
    <row r="1294" ht="22.5" customHeight="1">
      <c r="A1294" s="7" t="s">
        <v>3807</v>
      </c>
      <c r="B1294" s="8" t="s">
        <v>6235</v>
      </c>
      <c r="C1294" s="7" t="s">
        <v>6236</v>
      </c>
      <c r="D1294" s="7" t="s">
        <v>26</v>
      </c>
      <c r="E1294" s="7" t="s">
        <v>16</v>
      </c>
      <c r="F1294" s="7" t="s">
        <v>16</v>
      </c>
    </row>
    <row r="1295" ht="22.5" customHeight="1">
      <c r="A1295" s="7" t="s">
        <v>3837</v>
      </c>
      <c r="B1295" s="8" t="s">
        <v>6237</v>
      </c>
      <c r="C1295" s="7" t="s">
        <v>6238</v>
      </c>
      <c r="D1295" s="7" t="s">
        <v>16</v>
      </c>
      <c r="E1295" s="7" t="s">
        <v>3799</v>
      </c>
      <c r="F1295" s="7" t="s">
        <v>3879</v>
      </c>
    </row>
    <row r="1296" ht="22.5" customHeight="1">
      <c r="A1296" s="7" t="s">
        <v>3807</v>
      </c>
      <c r="B1296" s="8" t="s">
        <v>6239</v>
      </c>
      <c r="C1296" s="7" t="s">
        <v>6240</v>
      </c>
      <c r="D1296" s="7" t="s">
        <v>16</v>
      </c>
      <c r="E1296" s="7" t="s">
        <v>3806</v>
      </c>
      <c r="F1296" s="7" t="s">
        <v>16</v>
      </c>
    </row>
    <row r="1297" ht="22.5" customHeight="1">
      <c r="A1297" s="7" t="s">
        <v>3871</v>
      </c>
      <c r="B1297" s="8" t="s">
        <v>6241</v>
      </c>
      <c r="C1297" s="7" t="s">
        <v>6242</v>
      </c>
      <c r="D1297" s="7" t="s">
        <v>3871</v>
      </c>
      <c r="E1297" s="7" t="s">
        <v>16</v>
      </c>
      <c r="F1297" s="7" t="s">
        <v>16</v>
      </c>
    </row>
    <row r="1298" ht="22.5" customHeight="1">
      <c r="A1298" s="7" t="s">
        <v>3800</v>
      </c>
      <c r="B1298" s="8" t="s">
        <v>6243</v>
      </c>
      <c r="C1298" s="7" t="s">
        <v>6244</v>
      </c>
      <c r="D1298" s="7" t="s">
        <v>151</v>
      </c>
      <c r="E1298" s="7" t="s">
        <v>3799</v>
      </c>
      <c r="F1298" s="7" t="s">
        <v>16</v>
      </c>
    </row>
    <row r="1299" ht="22.5" customHeight="1">
      <c r="A1299" s="7" t="s">
        <v>3800</v>
      </c>
      <c r="B1299" s="8" t="s">
        <v>6245</v>
      </c>
      <c r="C1299" s="7" t="s">
        <v>6246</v>
      </c>
      <c r="D1299" s="7" t="s">
        <v>151</v>
      </c>
      <c r="E1299" s="7" t="s">
        <v>3806</v>
      </c>
      <c r="F1299" s="7" t="s">
        <v>16</v>
      </c>
    </row>
    <row r="1300" ht="22.5" customHeight="1">
      <c r="A1300" s="7" t="s">
        <v>3837</v>
      </c>
      <c r="B1300" s="8" t="s">
        <v>6247</v>
      </c>
      <c r="C1300" s="7" t="s">
        <v>6248</v>
      </c>
      <c r="D1300" s="7" t="s">
        <v>16</v>
      </c>
      <c r="E1300" s="7" t="s">
        <v>3799</v>
      </c>
      <c r="F1300" s="7" t="s">
        <v>16</v>
      </c>
    </row>
    <row r="1301" ht="22.5" customHeight="1">
      <c r="A1301" s="7" t="s">
        <v>3837</v>
      </c>
      <c r="B1301" s="8" t="s">
        <v>6247</v>
      </c>
      <c r="C1301" s="7" t="s">
        <v>6249</v>
      </c>
      <c r="D1301" s="7" t="s">
        <v>16</v>
      </c>
      <c r="E1301" s="7" t="s">
        <v>3799</v>
      </c>
      <c r="F1301" s="7" t="s">
        <v>16</v>
      </c>
    </row>
    <row r="1302" ht="22.5" customHeight="1">
      <c r="A1302" s="7" t="s">
        <v>3800</v>
      </c>
      <c r="B1302" s="8" t="s">
        <v>6250</v>
      </c>
      <c r="C1302" s="7" t="s">
        <v>6251</v>
      </c>
      <c r="D1302" s="7" t="s">
        <v>26</v>
      </c>
      <c r="E1302" s="7" t="s">
        <v>16</v>
      </c>
      <c r="F1302" s="7" t="s">
        <v>16</v>
      </c>
    </row>
    <row r="1303" ht="22.5" customHeight="1">
      <c r="A1303" s="7" t="s">
        <v>3800</v>
      </c>
      <c r="B1303" s="8" t="s">
        <v>6252</v>
      </c>
      <c r="C1303" s="7" t="s">
        <v>6253</v>
      </c>
      <c r="D1303" s="7" t="s">
        <v>16</v>
      </c>
      <c r="E1303" s="7" t="s">
        <v>3799</v>
      </c>
      <c r="F1303" s="7" t="s">
        <v>16</v>
      </c>
    </row>
    <row r="1304" ht="22.5" customHeight="1">
      <c r="A1304" s="7" t="s">
        <v>3800</v>
      </c>
      <c r="B1304" s="8" t="s">
        <v>6252</v>
      </c>
      <c r="C1304" s="7" t="s">
        <v>6254</v>
      </c>
      <c r="D1304" s="7" t="s">
        <v>26</v>
      </c>
      <c r="E1304" s="7" t="s">
        <v>16</v>
      </c>
      <c r="F1304" s="7" t="s">
        <v>16</v>
      </c>
    </row>
    <row r="1305" ht="22.5" customHeight="1">
      <c r="A1305" s="7" t="s">
        <v>3800</v>
      </c>
      <c r="B1305" s="8" t="s">
        <v>6252</v>
      </c>
      <c r="C1305" s="7" t="s">
        <v>6255</v>
      </c>
      <c r="D1305" s="7" t="s">
        <v>26</v>
      </c>
      <c r="E1305" s="7" t="s">
        <v>16</v>
      </c>
      <c r="F1305" s="7" t="s">
        <v>16</v>
      </c>
    </row>
    <row r="1306" ht="22.5" customHeight="1">
      <c r="A1306" s="7" t="s">
        <v>3800</v>
      </c>
      <c r="B1306" s="8" t="s">
        <v>6256</v>
      </c>
      <c r="C1306" s="7" t="s">
        <v>6257</v>
      </c>
      <c r="D1306" s="7" t="s">
        <v>16</v>
      </c>
      <c r="E1306" s="7" t="s">
        <v>3799</v>
      </c>
      <c r="F1306" s="7" t="s">
        <v>16</v>
      </c>
    </row>
    <row r="1307" ht="22.5" customHeight="1">
      <c r="A1307" s="7" t="s">
        <v>3800</v>
      </c>
      <c r="B1307" s="8" t="s">
        <v>6258</v>
      </c>
      <c r="C1307" s="7" t="s">
        <v>6259</v>
      </c>
      <c r="D1307" s="7" t="s">
        <v>16</v>
      </c>
      <c r="E1307" s="7" t="s">
        <v>3812</v>
      </c>
      <c r="F1307" s="7" t="s">
        <v>4107</v>
      </c>
    </row>
    <row r="1308" ht="22.5" customHeight="1">
      <c r="A1308" s="7" t="s">
        <v>2725</v>
      </c>
      <c r="B1308" s="8" t="s">
        <v>6260</v>
      </c>
      <c r="C1308" s="7" t="s">
        <v>6261</v>
      </c>
      <c r="D1308" s="7" t="s">
        <v>16</v>
      </c>
      <c r="E1308" s="7" t="s">
        <v>3812</v>
      </c>
      <c r="F1308" s="7" t="s">
        <v>4107</v>
      </c>
    </row>
    <row r="1309" ht="22.5" customHeight="1">
      <c r="A1309" s="7" t="s">
        <v>3800</v>
      </c>
      <c r="B1309" s="8" t="s">
        <v>6262</v>
      </c>
      <c r="C1309" s="7" t="s">
        <v>6263</v>
      </c>
      <c r="D1309" s="7" t="s">
        <v>151</v>
      </c>
      <c r="E1309" s="7" t="s">
        <v>3799</v>
      </c>
      <c r="F1309" s="7" t="s">
        <v>16</v>
      </c>
    </row>
    <row r="1310" ht="22.5" customHeight="1">
      <c r="A1310" s="7" t="s">
        <v>3800</v>
      </c>
      <c r="B1310" s="8" t="s">
        <v>6264</v>
      </c>
      <c r="C1310" s="7" t="s">
        <v>6265</v>
      </c>
      <c r="D1310" s="7" t="s">
        <v>16</v>
      </c>
      <c r="E1310" s="7" t="s">
        <v>3799</v>
      </c>
      <c r="F1310" s="7" t="s">
        <v>4107</v>
      </c>
    </row>
    <row r="1311" ht="22.5" customHeight="1">
      <c r="A1311" s="7" t="s">
        <v>3837</v>
      </c>
      <c r="B1311" s="8" t="s">
        <v>6266</v>
      </c>
      <c r="C1311" s="7" t="s">
        <v>6267</v>
      </c>
      <c r="D1311" s="7" t="s">
        <v>16</v>
      </c>
      <c r="E1311" s="7" t="s">
        <v>3803</v>
      </c>
      <c r="F1311" s="7" t="s">
        <v>16</v>
      </c>
    </row>
    <row r="1312" ht="22.5" customHeight="1">
      <c r="A1312" s="7" t="s">
        <v>2725</v>
      </c>
      <c r="B1312" s="8" t="s">
        <v>6268</v>
      </c>
      <c r="C1312" s="7" t="s">
        <v>6269</v>
      </c>
      <c r="D1312" s="7" t="s">
        <v>16</v>
      </c>
      <c r="E1312" s="7" t="s">
        <v>3806</v>
      </c>
      <c r="F1312" s="7" t="s">
        <v>16</v>
      </c>
    </row>
    <row r="1313" ht="22.5" customHeight="1">
      <c r="A1313" s="7" t="s">
        <v>2725</v>
      </c>
      <c r="B1313" s="8" t="s">
        <v>6270</v>
      </c>
      <c r="C1313" s="7" t="s">
        <v>6271</v>
      </c>
      <c r="D1313" s="7" t="s">
        <v>16</v>
      </c>
      <c r="E1313" s="7" t="s">
        <v>3812</v>
      </c>
      <c r="F1313" s="7" t="s">
        <v>16</v>
      </c>
    </row>
    <row r="1314" ht="22.5" customHeight="1">
      <c r="A1314" s="7" t="s">
        <v>3800</v>
      </c>
      <c r="B1314" s="8" t="s">
        <v>6272</v>
      </c>
      <c r="C1314" s="7" t="s">
        <v>6273</v>
      </c>
      <c r="D1314" s="7" t="s">
        <v>16</v>
      </c>
      <c r="E1314" s="7" t="s">
        <v>3803</v>
      </c>
      <c r="F1314" s="7" t="s">
        <v>16</v>
      </c>
    </row>
    <row r="1315" ht="22.5" customHeight="1">
      <c r="A1315" s="7" t="s">
        <v>2725</v>
      </c>
      <c r="B1315" s="8" t="s">
        <v>6274</v>
      </c>
      <c r="C1315" s="7" t="s">
        <v>6275</v>
      </c>
      <c r="D1315" s="7" t="s">
        <v>16</v>
      </c>
      <c r="E1315" s="7" t="s">
        <v>3806</v>
      </c>
      <c r="F1315" s="7" t="s">
        <v>16</v>
      </c>
    </row>
    <row r="1316" ht="22.5" customHeight="1">
      <c r="A1316" s="7" t="s">
        <v>3837</v>
      </c>
      <c r="B1316" s="8" t="s">
        <v>6276</v>
      </c>
      <c r="C1316" s="7" t="s">
        <v>6277</v>
      </c>
      <c r="D1316" s="7" t="s">
        <v>16</v>
      </c>
      <c r="E1316" s="7" t="s">
        <v>3806</v>
      </c>
      <c r="F1316" s="7" t="s">
        <v>16</v>
      </c>
    </row>
    <row r="1317" ht="22.5" customHeight="1">
      <c r="A1317" s="7" t="s">
        <v>3837</v>
      </c>
      <c r="B1317" s="8" t="s">
        <v>6278</v>
      </c>
      <c r="C1317" s="7" t="s">
        <v>6279</v>
      </c>
      <c r="D1317" s="7" t="s">
        <v>16</v>
      </c>
      <c r="E1317" s="7" t="s">
        <v>3806</v>
      </c>
      <c r="F1317" s="7" t="s">
        <v>16</v>
      </c>
    </row>
    <row r="1318" ht="22.5" customHeight="1">
      <c r="A1318" s="7" t="s">
        <v>3837</v>
      </c>
      <c r="B1318" s="8" t="s">
        <v>6278</v>
      </c>
      <c r="C1318" s="7" t="s">
        <v>6280</v>
      </c>
      <c r="D1318" s="7" t="s">
        <v>26</v>
      </c>
      <c r="E1318" s="7" t="s">
        <v>16</v>
      </c>
      <c r="F1318" s="7" t="s">
        <v>16</v>
      </c>
    </row>
    <row r="1319" ht="22.5" customHeight="1">
      <c r="A1319" s="7" t="s">
        <v>3837</v>
      </c>
      <c r="B1319" s="8" t="s">
        <v>6278</v>
      </c>
      <c r="C1319" s="7" t="s">
        <v>6281</v>
      </c>
      <c r="D1319" s="7" t="s">
        <v>26</v>
      </c>
      <c r="E1319" s="7" t="s">
        <v>16</v>
      </c>
      <c r="F1319" s="7" t="s">
        <v>16</v>
      </c>
    </row>
    <row r="1320" ht="22.5" customHeight="1">
      <c r="A1320" s="7" t="s">
        <v>3837</v>
      </c>
      <c r="B1320" s="8" t="s">
        <v>6282</v>
      </c>
      <c r="C1320" s="7" t="s">
        <v>6283</v>
      </c>
      <c r="D1320" s="7" t="s">
        <v>16</v>
      </c>
      <c r="E1320" s="7" t="s">
        <v>3803</v>
      </c>
      <c r="F1320" s="7" t="s">
        <v>16</v>
      </c>
    </row>
    <row r="1321" ht="22.5" customHeight="1">
      <c r="A1321" s="7" t="s">
        <v>3837</v>
      </c>
      <c r="B1321" s="8" t="s">
        <v>6284</v>
      </c>
      <c r="C1321" s="7" t="s">
        <v>6285</v>
      </c>
      <c r="D1321" s="7" t="s">
        <v>16</v>
      </c>
      <c r="E1321" s="7" t="s">
        <v>3806</v>
      </c>
      <c r="F1321" s="7" t="s">
        <v>16</v>
      </c>
    </row>
    <row r="1322" ht="22.5" customHeight="1">
      <c r="A1322" s="7" t="s">
        <v>2725</v>
      </c>
      <c r="B1322" s="8" t="s">
        <v>6286</v>
      </c>
      <c r="C1322" s="7" t="s">
        <v>6287</v>
      </c>
      <c r="D1322" s="7" t="s">
        <v>26</v>
      </c>
      <c r="E1322" s="7" t="s">
        <v>16</v>
      </c>
      <c r="F1322" s="7" t="s">
        <v>16</v>
      </c>
    </row>
    <row r="1323" ht="22.5" customHeight="1">
      <c r="A1323" s="7" t="s">
        <v>3807</v>
      </c>
      <c r="B1323" s="8" t="s">
        <v>6288</v>
      </c>
      <c r="C1323" s="7" t="s">
        <v>6289</v>
      </c>
      <c r="D1323" s="7" t="s">
        <v>16</v>
      </c>
      <c r="E1323" s="7" t="s">
        <v>3806</v>
      </c>
      <c r="F1323" s="7" t="s">
        <v>16</v>
      </c>
    </row>
    <row r="1324" ht="22.5" customHeight="1">
      <c r="A1324" s="7" t="s">
        <v>3871</v>
      </c>
      <c r="B1324" s="8" t="s">
        <v>6290</v>
      </c>
      <c r="C1324" s="7" t="s">
        <v>6291</v>
      </c>
      <c r="D1324" s="7" t="s">
        <v>3871</v>
      </c>
      <c r="E1324" s="7" t="s">
        <v>3803</v>
      </c>
      <c r="F1324" s="7" t="s">
        <v>16</v>
      </c>
    </row>
    <row r="1325" ht="22.5" customHeight="1">
      <c r="A1325" s="7" t="s">
        <v>3827</v>
      </c>
      <c r="B1325" s="8" t="s">
        <v>6292</v>
      </c>
      <c r="C1325" s="7" t="s">
        <v>6293</v>
      </c>
      <c r="D1325" s="7" t="s">
        <v>16</v>
      </c>
      <c r="E1325" s="7" t="s">
        <v>3806</v>
      </c>
      <c r="F1325" s="7" t="s">
        <v>3816</v>
      </c>
    </row>
    <row r="1326" ht="22.5" customHeight="1">
      <c r="A1326" s="7" t="s">
        <v>3827</v>
      </c>
      <c r="B1326" s="8" t="s">
        <v>6294</v>
      </c>
      <c r="C1326" s="7" t="s">
        <v>6295</v>
      </c>
      <c r="D1326" s="7" t="s">
        <v>26</v>
      </c>
      <c r="E1326" s="7" t="s">
        <v>16</v>
      </c>
      <c r="F1326" s="7" t="s">
        <v>16</v>
      </c>
    </row>
    <row r="1327" ht="22.5" customHeight="1">
      <c r="A1327" s="7" t="s">
        <v>3827</v>
      </c>
      <c r="B1327" s="8" t="s">
        <v>6296</v>
      </c>
      <c r="C1327" s="7" t="s">
        <v>6297</v>
      </c>
      <c r="D1327" s="7" t="s">
        <v>16</v>
      </c>
      <c r="E1327" s="7" t="s">
        <v>3806</v>
      </c>
      <c r="F1327" s="7" t="s">
        <v>16</v>
      </c>
    </row>
    <row r="1328" ht="22.5" customHeight="1">
      <c r="A1328" s="7" t="s">
        <v>3827</v>
      </c>
      <c r="B1328" s="8" t="s">
        <v>6296</v>
      </c>
      <c r="C1328" s="7" t="s">
        <v>6298</v>
      </c>
      <c r="D1328" s="7" t="s">
        <v>26</v>
      </c>
      <c r="E1328" s="7" t="s">
        <v>16</v>
      </c>
      <c r="F1328" s="7" t="s">
        <v>16</v>
      </c>
    </row>
    <row r="1329" ht="22.5" customHeight="1">
      <c r="A1329" s="7" t="s">
        <v>3827</v>
      </c>
      <c r="B1329" s="8" t="s">
        <v>6296</v>
      </c>
      <c r="C1329" s="7" t="s">
        <v>6299</v>
      </c>
      <c r="D1329" s="7" t="s">
        <v>26</v>
      </c>
      <c r="E1329" s="7" t="s">
        <v>16</v>
      </c>
      <c r="F1329" s="7" t="s">
        <v>16</v>
      </c>
    </row>
    <row r="1330" ht="22.5" customHeight="1">
      <c r="A1330" s="7" t="s">
        <v>3827</v>
      </c>
      <c r="B1330" s="8" t="s">
        <v>6296</v>
      </c>
      <c r="C1330" s="7" t="s">
        <v>6300</v>
      </c>
      <c r="D1330" s="7" t="s">
        <v>26</v>
      </c>
      <c r="E1330" s="7" t="s">
        <v>16</v>
      </c>
      <c r="F1330" s="7" t="s">
        <v>16</v>
      </c>
    </row>
    <row r="1331" ht="22.5" customHeight="1">
      <c r="A1331" s="7" t="s">
        <v>3827</v>
      </c>
      <c r="B1331" s="8" t="s">
        <v>6296</v>
      </c>
      <c r="C1331" s="7" t="s">
        <v>6301</v>
      </c>
      <c r="D1331" s="7" t="s">
        <v>26</v>
      </c>
      <c r="E1331" s="7" t="s">
        <v>16</v>
      </c>
      <c r="F1331" s="7" t="s">
        <v>16</v>
      </c>
    </row>
    <row r="1332" ht="22.5" customHeight="1">
      <c r="A1332" s="7" t="s">
        <v>2725</v>
      </c>
      <c r="B1332" s="8" t="s">
        <v>6302</v>
      </c>
      <c r="C1332" s="7" t="s">
        <v>6303</v>
      </c>
      <c r="D1332" s="7" t="s">
        <v>16</v>
      </c>
      <c r="E1332" s="7" t="s">
        <v>3799</v>
      </c>
      <c r="F1332" s="7" t="s">
        <v>16</v>
      </c>
    </row>
    <row r="1333" ht="22.5" customHeight="1">
      <c r="A1333" s="7" t="s">
        <v>3827</v>
      </c>
      <c r="B1333" s="8" t="s">
        <v>6304</v>
      </c>
      <c r="C1333" s="7" t="s">
        <v>6305</v>
      </c>
      <c r="D1333" s="7" t="s">
        <v>16</v>
      </c>
      <c r="E1333" s="7" t="s">
        <v>3803</v>
      </c>
      <c r="F1333" s="7" t="s">
        <v>3850</v>
      </c>
    </row>
    <row r="1334" ht="22.5" customHeight="1">
      <c r="A1334" s="7" t="s">
        <v>2725</v>
      </c>
      <c r="B1334" s="8" t="s">
        <v>6306</v>
      </c>
      <c r="C1334" s="7" t="s">
        <v>6307</v>
      </c>
      <c r="D1334" s="7" t="s">
        <v>16</v>
      </c>
      <c r="E1334" s="7" t="s">
        <v>3812</v>
      </c>
      <c r="F1334" s="7" t="s">
        <v>16</v>
      </c>
    </row>
    <row r="1335" ht="22.5" customHeight="1">
      <c r="A1335" s="7" t="s">
        <v>3807</v>
      </c>
      <c r="B1335" s="8" t="s">
        <v>6308</v>
      </c>
      <c r="C1335" s="7" t="s">
        <v>6309</v>
      </c>
      <c r="D1335" s="7" t="s">
        <v>16</v>
      </c>
      <c r="E1335" s="7" t="s">
        <v>3799</v>
      </c>
      <c r="F1335" s="7" t="s">
        <v>16</v>
      </c>
    </row>
    <row r="1336" ht="22.5" customHeight="1">
      <c r="A1336" s="7" t="s">
        <v>3800</v>
      </c>
      <c r="B1336" s="8" t="s">
        <v>6310</v>
      </c>
      <c r="C1336" s="7" t="s">
        <v>6311</v>
      </c>
      <c r="D1336" s="7" t="s">
        <v>16</v>
      </c>
      <c r="E1336" s="7" t="s">
        <v>3812</v>
      </c>
      <c r="F1336" s="7" t="s">
        <v>16</v>
      </c>
    </row>
    <row r="1337" ht="22.5" customHeight="1">
      <c r="A1337" s="7" t="s">
        <v>3800</v>
      </c>
      <c r="B1337" s="8" t="s">
        <v>6312</v>
      </c>
      <c r="C1337" s="7" t="s">
        <v>6313</v>
      </c>
      <c r="D1337" s="7" t="s">
        <v>16</v>
      </c>
      <c r="E1337" s="7" t="s">
        <v>3799</v>
      </c>
      <c r="F1337" s="7" t="s">
        <v>16</v>
      </c>
    </row>
    <row r="1338" ht="22.5" customHeight="1">
      <c r="A1338" s="7" t="s">
        <v>3800</v>
      </c>
      <c r="B1338" s="8" t="s">
        <v>6312</v>
      </c>
      <c r="C1338" s="7" t="s">
        <v>6314</v>
      </c>
      <c r="D1338" s="7" t="s">
        <v>26</v>
      </c>
      <c r="E1338" s="7" t="s">
        <v>16</v>
      </c>
      <c r="F1338" s="7" t="s">
        <v>16</v>
      </c>
    </row>
    <row r="1339" ht="22.5" customHeight="1">
      <c r="A1339" s="7" t="s">
        <v>3800</v>
      </c>
      <c r="B1339" s="8" t="s">
        <v>6315</v>
      </c>
      <c r="C1339" s="7" t="s">
        <v>6316</v>
      </c>
      <c r="D1339" s="7" t="s">
        <v>16</v>
      </c>
      <c r="E1339" s="7" t="s">
        <v>3806</v>
      </c>
      <c r="F1339" s="7" t="s">
        <v>16</v>
      </c>
    </row>
    <row r="1340" ht="22.5" customHeight="1">
      <c r="A1340" s="7" t="s">
        <v>3807</v>
      </c>
      <c r="B1340" s="8" t="s">
        <v>6317</v>
      </c>
      <c r="C1340" s="7" t="s">
        <v>6318</v>
      </c>
      <c r="D1340" s="7" t="s">
        <v>16</v>
      </c>
      <c r="E1340" s="7" t="s">
        <v>3799</v>
      </c>
      <c r="F1340" s="7" t="s">
        <v>16</v>
      </c>
    </row>
    <row r="1341" ht="22.5" customHeight="1">
      <c r="A1341" s="7" t="s">
        <v>3807</v>
      </c>
      <c r="B1341" s="8" t="s">
        <v>6319</v>
      </c>
      <c r="C1341" s="7" t="s">
        <v>6320</v>
      </c>
      <c r="D1341" s="7" t="s">
        <v>16</v>
      </c>
      <c r="E1341" s="7" t="s">
        <v>3803</v>
      </c>
      <c r="F1341" s="7" t="s">
        <v>16</v>
      </c>
    </row>
    <row r="1342" ht="22.5" customHeight="1">
      <c r="A1342" s="7" t="s">
        <v>2725</v>
      </c>
      <c r="B1342" s="8" t="s">
        <v>6321</v>
      </c>
      <c r="C1342" s="7" t="s">
        <v>6322</v>
      </c>
      <c r="D1342" s="7" t="s">
        <v>16</v>
      </c>
      <c r="E1342" s="7" t="s">
        <v>3799</v>
      </c>
      <c r="F1342" s="7" t="s">
        <v>16</v>
      </c>
    </row>
    <row r="1343" ht="22.5" customHeight="1">
      <c r="A1343" s="7" t="s">
        <v>3827</v>
      </c>
      <c r="B1343" s="8" t="s">
        <v>6323</v>
      </c>
      <c r="C1343" s="7" t="s">
        <v>6324</v>
      </c>
      <c r="D1343" s="7" t="s">
        <v>16</v>
      </c>
      <c r="E1343" s="7" t="s">
        <v>3799</v>
      </c>
      <c r="F1343" s="7" t="s">
        <v>16</v>
      </c>
    </row>
    <row r="1344" ht="22.5" customHeight="1">
      <c r="A1344" s="7" t="s">
        <v>3827</v>
      </c>
      <c r="B1344" s="8" t="s">
        <v>6323</v>
      </c>
      <c r="C1344" s="7" t="s">
        <v>6325</v>
      </c>
      <c r="D1344" s="7" t="s">
        <v>16</v>
      </c>
      <c r="E1344" s="7" t="s">
        <v>3799</v>
      </c>
      <c r="F1344" s="7" t="s">
        <v>16</v>
      </c>
    </row>
    <row r="1345" ht="22.5" customHeight="1">
      <c r="A1345" s="7" t="s">
        <v>3807</v>
      </c>
      <c r="B1345" s="8" t="s">
        <v>6326</v>
      </c>
      <c r="C1345" s="7" t="s">
        <v>6327</v>
      </c>
      <c r="D1345" s="7" t="s">
        <v>16</v>
      </c>
      <c r="E1345" s="7" t="s">
        <v>3812</v>
      </c>
      <c r="F1345" s="7" t="s">
        <v>16</v>
      </c>
    </row>
    <row r="1346" ht="22.5" customHeight="1">
      <c r="A1346" s="7" t="s">
        <v>3807</v>
      </c>
      <c r="B1346" s="8" t="s">
        <v>6328</v>
      </c>
      <c r="C1346" s="7" t="s">
        <v>6329</v>
      </c>
      <c r="D1346" s="7" t="s">
        <v>16</v>
      </c>
      <c r="E1346" s="7" t="s">
        <v>3812</v>
      </c>
      <c r="F1346" s="7" t="s">
        <v>4107</v>
      </c>
    </row>
    <row r="1347" ht="22.5" customHeight="1">
      <c r="A1347" s="7" t="s">
        <v>3800</v>
      </c>
      <c r="B1347" s="8" t="s">
        <v>6330</v>
      </c>
      <c r="C1347" s="7" t="s">
        <v>6331</v>
      </c>
      <c r="D1347" s="7" t="s">
        <v>16</v>
      </c>
      <c r="E1347" s="7" t="s">
        <v>3812</v>
      </c>
      <c r="F1347" s="7" t="s">
        <v>16</v>
      </c>
    </row>
    <row r="1348" ht="22.5" customHeight="1">
      <c r="A1348" s="7" t="s">
        <v>3800</v>
      </c>
      <c r="B1348" s="8" t="s">
        <v>6332</v>
      </c>
      <c r="C1348" s="7" t="s">
        <v>6333</v>
      </c>
      <c r="D1348" s="7" t="s">
        <v>16</v>
      </c>
      <c r="E1348" s="7" t="s">
        <v>3812</v>
      </c>
      <c r="F1348" s="7" t="s">
        <v>16</v>
      </c>
    </row>
    <row r="1349" ht="22.5" customHeight="1">
      <c r="A1349" s="7" t="s">
        <v>3800</v>
      </c>
      <c r="B1349" s="8" t="s">
        <v>6334</v>
      </c>
      <c r="C1349" s="7" t="s">
        <v>6335</v>
      </c>
      <c r="D1349" s="7" t="s">
        <v>16</v>
      </c>
      <c r="E1349" s="7" t="s">
        <v>3806</v>
      </c>
      <c r="F1349" s="7" t="s">
        <v>5024</v>
      </c>
    </row>
    <row r="1350" ht="22.5" customHeight="1">
      <c r="A1350" s="7" t="s">
        <v>3800</v>
      </c>
      <c r="B1350" s="8" t="s">
        <v>6336</v>
      </c>
      <c r="C1350" s="7" t="s">
        <v>6337</v>
      </c>
      <c r="D1350" s="7" t="s">
        <v>16</v>
      </c>
      <c r="E1350" s="7" t="s">
        <v>3799</v>
      </c>
      <c r="F1350" s="7" t="s">
        <v>5024</v>
      </c>
    </row>
    <row r="1351" ht="22.5" customHeight="1">
      <c r="A1351" s="7" t="s">
        <v>3800</v>
      </c>
      <c r="B1351" s="8" t="s">
        <v>6338</v>
      </c>
      <c r="C1351" s="7" t="s">
        <v>6339</v>
      </c>
      <c r="D1351" s="7" t="s">
        <v>16</v>
      </c>
      <c r="E1351" s="7" t="s">
        <v>3812</v>
      </c>
      <c r="F1351" s="7" t="s">
        <v>16</v>
      </c>
    </row>
    <row r="1352" ht="22.5" customHeight="1">
      <c r="A1352" s="7" t="s">
        <v>2327</v>
      </c>
      <c r="B1352" s="8" t="s">
        <v>6340</v>
      </c>
      <c r="C1352" s="7" t="s">
        <v>6341</v>
      </c>
      <c r="D1352" s="7" t="s">
        <v>4744</v>
      </c>
      <c r="E1352" s="7" t="s">
        <v>3799</v>
      </c>
      <c r="F1352" s="7" t="s">
        <v>16</v>
      </c>
    </row>
    <row r="1353" ht="22.5" customHeight="1">
      <c r="A1353" s="7" t="s">
        <v>2327</v>
      </c>
      <c r="B1353" s="8" t="s">
        <v>6342</v>
      </c>
      <c r="C1353" s="7" t="s">
        <v>6343</v>
      </c>
      <c r="D1353" s="7" t="s">
        <v>26</v>
      </c>
      <c r="E1353" s="7" t="s">
        <v>16</v>
      </c>
      <c r="F1353" s="7" t="s">
        <v>16</v>
      </c>
    </row>
    <row r="1354" ht="22.5" customHeight="1">
      <c r="A1354" s="7" t="s">
        <v>3827</v>
      </c>
      <c r="B1354" s="8" t="s">
        <v>6344</v>
      </c>
      <c r="C1354" s="7" t="s">
        <v>6345</v>
      </c>
      <c r="D1354" s="7" t="s">
        <v>26</v>
      </c>
      <c r="E1354" s="7" t="s">
        <v>16</v>
      </c>
      <c r="F1354" s="7" t="s">
        <v>16</v>
      </c>
    </row>
    <row r="1355" ht="22.5" customHeight="1">
      <c r="A1355" s="7" t="s">
        <v>3827</v>
      </c>
      <c r="B1355" s="8" t="s">
        <v>6346</v>
      </c>
      <c r="C1355" s="7" t="s">
        <v>6347</v>
      </c>
      <c r="D1355" s="7" t="s">
        <v>26</v>
      </c>
      <c r="E1355" s="7" t="s">
        <v>16</v>
      </c>
      <c r="F1355" s="7" t="s">
        <v>16</v>
      </c>
    </row>
    <row r="1356" ht="22.5" customHeight="1">
      <c r="A1356" s="7" t="s">
        <v>3827</v>
      </c>
      <c r="B1356" s="8" t="s">
        <v>6348</v>
      </c>
      <c r="C1356" s="7" t="s">
        <v>6349</v>
      </c>
      <c r="D1356" s="7" t="s">
        <v>16</v>
      </c>
      <c r="E1356" s="7" t="s">
        <v>3806</v>
      </c>
      <c r="F1356" s="7" t="s">
        <v>3816</v>
      </c>
    </row>
    <row r="1357" ht="22.5" customHeight="1">
      <c r="A1357" s="7" t="s">
        <v>3800</v>
      </c>
      <c r="B1357" s="8" t="s">
        <v>6350</v>
      </c>
      <c r="C1357" s="7" t="s">
        <v>6351</v>
      </c>
      <c r="D1357" s="7" t="s">
        <v>26</v>
      </c>
      <c r="E1357" s="7" t="s">
        <v>16</v>
      </c>
      <c r="F1357" s="7" t="s">
        <v>16</v>
      </c>
    </row>
    <row r="1358" ht="22.5" customHeight="1">
      <c r="A1358" s="7" t="s">
        <v>3800</v>
      </c>
      <c r="B1358" s="8" t="s">
        <v>6352</v>
      </c>
      <c r="C1358" s="7" t="s">
        <v>6353</v>
      </c>
      <c r="D1358" s="7" t="s">
        <v>26</v>
      </c>
      <c r="E1358" s="7" t="s">
        <v>16</v>
      </c>
      <c r="F1358" s="7" t="s">
        <v>16</v>
      </c>
    </row>
    <row r="1359" ht="22.5" customHeight="1">
      <c r="A1359" s="7" t="s">
        <v>3800</v>
      </c>
      <c r="B1359" s="8" t="s">
        <v>6354</v>
      </c>
      <c r="C1359" s="7" t="s">
        <v>6355</v>
      </c>
      <c r="D1359" s="7" t="s">
        <v>16</v>
      </c>
      <c r="E1359" s="7" t="s">
        <v>3799</v>
      </c>
      <c r="F1359" s="7" t="s">
        <v>16</v>
      </c>
    </row>
    <row r="1360" ht="22.5" customHeight="1">
      <c r="A1360" s="7" t="s">
        <v>3800</v>
      </c>
      <c r="B1360" s="8" t="s">
        <v>6356</v>
      </c>
      <c r="C1360" s="7" t="s">
        <v>6357</v>
      </c>
      <c r="D1360" s="7" t="s">
        <v>16</v>
      </c>
      <c r="E1360" s="7" t="s">
        <v>3799</v>
      </c>
      <c r="F1360" s="7" t="s">
        <v>16</v>
      </c>
    </row>
    <row r="1361" ht="22.5" customHeight="1">
      <c r="A1361" s="7" t="s">
        <v>3800</v>
      </c>
      <c r="B1361" s="8" t="s">
        <v>6358</v>
      </c>
      <c r="C1361" s="7" t="s">
        <v>6359</v>
      </c>
      <c r="D1361" s="7" t="s">
        <v>16</v>
      </c>
      <c r="E1361" s="7" t="s">
        <v>3799</v>
      </c>
      <c r="F1361" s="7" t="s">
        <v>16</v>
      </c>
    </row>
    <row r="1362" ht="22.5" customHeight="1">
      <c r="A1362" s="7" t="s">
        <v>3807</v>
      </c>
      <c r="B1362" s="8" t="s">
        <v>6360</v>
      </c>
      <c r="C1362" s="7" t="s">
        <v>6361</v>
      </c>
      <c r="D1362" s="7" t="s">
        <v>16</v>
      </c>
      <c r="E1362" s="7" t="s">
        <v>3806</v>
      </c>
      <c r="F1362" s="7" t="s">
        <v>16</v>
      </c>
    </row>
    <row r="1363" ht="22.5" customHeight="1">
      <c r="A1363" s="7" t="s">
        <v>2725</v>
      </c>
      <c r="B1363" s="8" t="s">
        <v>6362</v>
      </c>
      <c r="C1363" s="7" t="s">
        <v>6363</v>
      </c>
      <c r="D1363" s="7" t="s">
        <v>16</v>
      </c>
      <c r="E1363" s="7" t="s">
        <v>3806</v>
      </c>
      <c r="F1363" s="7" t="s">
        <v>4671</v>
      </c>
    </row>
    <row r="1364" ht="22.5" customHeight="1">
      <c r="A1364" s="7" t="s">
        <v>2725</v>
      </c>
      <c r="B1364" s="8" t="s">
        <v>6364</v>
      </c>
      <c r="C1364" s="7" t="s">
        <v>6365</v>
      </c>
      <c r="D1364" s="7" t="s">
        <v>26</v>
      </c>
      <c r="E1364" s="7" t="s">
        <v>16</v>
      </c>
      <c r="F1364" s="7" t="s">
        <v>16</v>
      </c>
    </row>
    <row r="1365" ht="22.5" customHeight="1">
      <c r="A1365" s="7" t="s">
        <v>2725</v>
      </c>
      <c r="B1365" s="8" t="s">
        <v>6366</v>
      </c>
      <c r="C1365" s="7" t="s">
        <v>6367</v>
      </c>
      <c r="D1365" s="7" t="s">
        <v>16</v>
      </c>
      <c r="E1365" s="7" t="s">
        <v>3806</v>
      </c>
      <c r="F1365" s="7" t="s">
        <v>4107</v>
      </c>
    </row>
    <row r="1366" ht="22.5" customHeight="1">
      <c r="A1366" s="7" t="s">
        <v>2725</v>
      </c>
      <c r="B1366" s="8" t="s">
        <v>6366</v>
      </c>
      <c r="C1366" s="7" t="s">
        <v>6368</v>
      </c>
      <c r="D1366" s="7" t="s">
        <v>26</v>
      </c>
      <c r="E1366" s="7" t="s">
        <v>16</v>
      </c>
      <c r="F1366" s="7" t="s">
        <v>16</v>
      </c>
    </row>
    <row r="1367" ht="22.5" customHeight="1">
      <c r="A1367" s="7" t="s">
        <v>2725</v>
      </c>
      <c r="B1367" s="8" t="s">
        <v>6366</v>
      </c>
      <c r="C1367" s="7" t="s">
        <v>6369</v>
      </c>
      <c r="D1367" s="7" t="s">
        <v>26</v>
      </c>
      <c r="E1367" s="7" t="s">
        <v>16</v>
      </c>
      <c r="F1367" s="7" t="s">
        <v>16</v>
      </c>
    </row>
    <row r="1368" ht="22.5" customHeight="1">
      <c r="A1368" s="7" t="s">
        <v>3807</v>
      </c>
      <c r="B1368" s="8" t="s">
        <v>6370</v>
      </c>
      <c r="C1368" s="7" t="s">
        <v>6371</v>
      </c>
      <c r="D1368" s="7" t="s">
        <v>16</v>
      </c>
      <c r="E1368" s="7" t="s">
        <v>3806</v>
      </c>
      <c r="F1368" s="7" t="s">
        <v>16</v>
      </c>
    </row>
    <row r="1369" ht="22.5" customHeight="1">
      <c r="A1369" s="7" t="s">
        <v>3800</v>
      </c>
      <c r="B1369" s="8" t="s">
        <v>6372</v>
      </c>
      <c r="C1369" s="7" t="s">
        <v>6373</v>
      </c>
      <c r="D1369" s="7" t="s">
        <v>16</v>
      </c>
      <c r="E1369" s="7" t="s">
        <v>3806</v>
      </c>
      <c r="F1369" s="7" t="s">
        <v>16</v>
      </c>
    </row>
    <row r="1370" ht="22.5" customHeight="1">
      <c r="A1370" s="7" t="s">
        <v>3807</v>
      </c>
      <c r="B1370" s="8" t="s">
        <v>6374</v>
      </c>
      <c r="C1370" s="7" t="s">
        <v>6375</v>
      </c>
      <c r="D1370" s="7" t="s">
        <v>16</v>
      </c>
      <c r="E1370" s="7" t="s">
        <v>3803</v>
      </c>
      <c r="F1370" s="7" t="s">
        <v>3850</v>
      </c>
    </row>
    <row r="1371" ht="22.5" customHeight="1">
      <c r="A1371" s="7" t="s">
        <v>3807</v>
      </c>
      <c r="B1371" s="8" t="s">
        <v>6374</v>
      </c>
      <c r="C1371" s="7" t="s">
        <v>6376</v>
      </c>
      <c r="D1371" s="7" t="s">
        <v>26</v>
      </c>
      <c r="E1371" s="7" t="s">
        <v>16</v>
      </c>
      <c r="F1371" s="7" t="s">
        <v>16</v>
      </c>
    </row>
    <row r="1372" ht="22.5" customHeight="1">
      <c r="A1372" s="7" t="s">
        <v>3800</v>
      </c>
      <c r="B1372" s="8" t="s">
        <v>6377</v>
      </c>
      <c r="C1372" s="7" t="s">
        <v>6378</v>
      </c>
      <c r="D1372" s="7" t="s">
        <v>16</v>
      </c>
      <c r="E1372" s="7" t="s">
        <v>3799</v>
      </c>
      <c r="F1372" s="7" t="s">
        <v>16</v>
      </c>
    </row>
    <row r="1373" ht="22.5" customHeight="1">
      <c r="A1373" s="7" t="s">
        <v>3800</v>
      </c>
      <c r="B1373" s="8" t="s">
        <v>6379</v>
      </c>
      <c r="C1373" s="7" t="s">
        <v>6380</v>
      </c>
      <c r="D1373" s="7" t="s">
        <v>16</v>
      </c>
      <c r="E1373" s="7" t="s">
        <v>3803</v>
      </c>
      <c r="F1373" s="7" t="s">
        <v>3816</v>
      </c>
    </row>
    <row r="1374" ht="22.5" customHeight="1">
      <c r="A1374" s="7" t="s">
        <v>3827</v>
      </c>
      <c r="B1374" s="8" t="s">
        <v>6381</v>
      </c>
      <c r="C1374" s="7" t="s">
        <v>6382</v>
      </c>
      <c r="D1374" s="7" t="s">
        <v>26</v>
      </c>
      <c r="E1374" s="7" t="s">
        <v>16</v>
      </c>
      <c r="F1374" s="7" t="s">
        <v>16</v>
      </c>
    </row>
    <row r="1375" ht="22.5" customHeight="1">
      <c r="A1375" s="7" t="s">
        <v>3800</v>
      </c>
      <c r="B1375" s="8" t="s">
        <v>6383</v>
      </c>
      <c r="C1375" s="7" t="s">
        <v>6384</v>
      </c>
      <c r="D1375" s="7" t="s">
        <v>16</v>
      </c>
      <c r="E1375" s="7" t="s">
        <v>3806</v>
      </c>
      <c r="F1375" s="7" t="s">
        <v>16</v>
      </c>
    </row>
    <row r="1376" ht="22.5" customHeight="1">
      <c r="A1376" s="7" t="s">
        <v>3807</v>
      </c>
      <c r="B1376" s="8" t="s">
        <v>6385</v>
      </c>
      <c r="C1376" s="7" t="s">
        <v>6386</v>
      </c>
      <c r="D1376" s="7" t="s">
        <v>26</v>
      </c>
      <c r="E1376" s="7" t="s">
        <v>16</v>
      </c>
      <c r="F1376" s="7" t="s">
        <v>16</v>
      </c>
    </row>
    <row r="1377" ht="22.5" customHeight="1">
      <c r="A1377" s="7" t="s">
        <v>3800</v>
      </c>
      <c r="B1377" s="8" t="s">
        <v>6387</v>
      </c>
      <c r="C1377" s="7" t="s">
        <v>6388</v>
      </c>
      <c r="D1377" s="7" t="s">
        <v>26</v>
      </c>
      <c r="E1377" s="7" t="s">
        <v>16</v>
      </c>
      <c r="F1377" s="7" t="s">
        <v>16</v>
      </c>
    </row>
    <row r="1378" ht="22.5" customHeight="1">
      <c r="A1378" s="7" t="s">
        <v>2327</v>
      </c>
      <c r="B1378" s="8" t="s">
        <v>6389</v>
      </c>
      <c r="C1378" s="7" t="s">
        <v>6390</v>
      </c>
      <c r="D1378" s="7" t="s">
        <v>16</v>
      </c>
      <c r="E1378" s="7" t="s">
        <v>3799</v>
      </c>
      <c r="F1378" s="7" t="s">
        <v>3879</v>
      </c>
    </row>
    <row r="1379" ht="22.5" customHeight="1">
      <c r="A1379" s="7" t="s">
        <v>3800</v>
      </c>
      <c r="B1379" s="8" t="s">
        <v>6391</v>
      </c>
      <c r="C1379" s="7" t="s">
        <v>6392</v>
      </c>
      <c r="D1379" s="7" t="s">
        <v>16</v>
      </c>
      <c r="E1379" s="7" t="s">
        <v>3812</v>
      </c>
      <c r="F1379" s="7" t="s">
        <v>16</v>
      </c>
    </row>
    <row r="1380" ht="22.5" customHeight="1">
      <c r="A1380" s="7" t="s">
        <v>3837</v>
      </c>
      <c r="B1380" s="8" t="s">
        <v>6393</v>
      </c>
      <c r="C1380" s="7" t="s">
        <v>6394</v>
      </c>
      <c r="D1380" s="7" t="s">
        <v>16</v>
      </c>
      <c r="E1380" s="7" t="s">
        <v>3799</v>
      </c>
      <c r="F1380" s="7" t="s">
        <v>16</v>
      </c>
    </row>
    <row r="1381" ht="22.5" customHeight="1">
      <c r="A1381" s="7" t="s">
        <v>3837</v>
      </c>
      <c r="B1381" s="8" t="s">
        <v>6393</v>
      </c>
      <c r="C1381" s="7" t="s">
        <v>6395</v>
      </c>
      <c r="D1381" s="7" t="s">
        <v>26</v>
      </c>
      <c r="E1381" s="7" t="s">
        <v>16</v>
      </c>
      <c r="F1381" s="7" t="s">
        <v>16</v>
      </c>
    </row>
    <row r="1382" ht="22.5" customHeight="1">
      <c r="A1382" s="7" t="s">
        <v>3837</v>
      </c>
      <c r="B1382" s="8" t="s">
        <v>6393</v>
      </c>
      <c r="C1382" s="7" t="s">
        <v>6396</v>
      </c>
      <c r="D1382" s="7" t="s">
        <v>26</v>
      </c>
      <c r="E1382" s="7" t="s">
        <v>16</v>
      </c>
      <c r="F1382" s="7" t="s">
        <v>16</v>
      </c>
    </row>
    <row r="1383" ht="22.5" customHeight="1">
      <c r="A1383" s="7" t="s">
        <v>3837</v>
      </c>
      <c r="B1383" s="8" t="s">
        <v>6393</v>
      </c>
      <c r="C1383" s="7" t="s">
        <v>6397</v>
      </c>
      <c r="D1383" s="7" t="s">
        <v>26</v>
      </c>
      <c r="E1383" s="7" t="s">
        <v>16</v>
      </c>
      <c r="F1383" s="7" t="s">
        <v>16</v>
      </c>
    </row>
    <row r="1384" ht="22.5" customHeight="1">
      <c r="A1384" s="7" t="s">
        <v>3837</v>
      </c>
      <c r="B1384" s="8" t="s">
        <v>6393</v>
      </c>
      <c r="C1384" s="7" t="s">
        <v>6398</v>
      </c>
      <c r="D1384" s="7" t="s">
        <v>26</v>
      </c>
      <c r="E1384" s="7" t="s">
        <v>16</v>
      </c>
      <c r="F1384" s="7" t="s">
        <v>16</v>
      </c>
    </row>
    <row r="1385" ht="22.5" customHeight="1">
      <c r="A1385" s="7" t="s">
        <v>3837</v>
      </c>
      <c r="B1385" s="8" t="s">
        <v>6393</v>
      </c>
      <c r="C1385" s="7" t="s">
        <v>6399</v>
      </c>
      <c r="D1385" s="7" t="s">
        <v>26</v>
      </c>
      <c r="E1385" s="7" t="s">
        <v>16</v>
      </c>
      <c r="F1385" s="7" t="s">
        <v>16</v>
      </c>
    </row>
    <row r="1386" ht="22.5" customHeight="1">
      <c r="A1386" s="7" t="s">
        <v>3837</v>
      </c>
      <c r="B1386" s="8" t="s">
        <v>6393</v>
      </c>
      <c r="C1386" s="7" t="s">
        <v>6400</v>
      </c>
      <c r="D1386" s="7" t="s">
        <v>26</v>
      </c>
      <c r="E1386" s="7" t="s">
        <v>16</v>
      </c>
      <c r="F1386" s="7" t="s">
        <v>16</v>
      </c>
    </row>
    <row r="1387" ht="22.5" customHeight="1">
      <c r="A1387" s="7" t="s">
        <v>3800</v>
      </c>
      <c r="B1387" s="8" t="s">
        <v>6401</v>
      </c>
      <c r="C1387" s="7" t="s">
        <v>6402</v>
      </c>
      <c r="D1387" s="7" t="s">
        <v>16</v>
      </c>
      <c r="E1387" s="7" t="s">
        <v>3806</v>
      </c>
      <c r="F1387" s="7" t="s">
        <v>16</v>
      </c>
    </row>
    <row r="1388" ht="22.5" customHeight="1">
      <c r="A1388" s="7" t="s">
        <v>3800</v>
      </c>
      <c r="B1388" s="8" t="s">
        <v>6403</v>
      </c>
      <c r="C1388" s="7" t="s">
        <v>6404</v>
      </c>
      <c r="D1388" s="7" t="s">
        <v>26</v>
      </c>
      <c r="E1388" s="7" t="s">
        <v>16</v>
      </c>
      <c r="F1388" s="7" t="s">
        <v>16</v>
      </c>
    </row>
    <row r="1389" ht="22.5" customHeight="1">
      <c r="A1389" s="7" t="s">
        <v>3800</v>
      </c>
      <c r="B1389" s="8" t="s">
        <v>6405</v>
      </c>
      <c r="C1389" s="7" t="s">
        <v>6406</v>
      </c>
      <c r="D1389" s="7" t="s">
        <v>16</v>
      </c>
      <c r="E1389" s="7" t="s">
        <v>3799</v>
      </c>
      <c r="F1389" s="7" t="s">
        <v>16</v>
      </c>
    </row>
    <row r="1390" ht="22.5" customHeight="1">
      <c r="A1390" s="7" t="s">
        <v>3800</v>
      </c>
      <c r="B1390" s="8" t="s">
        <v>6407</v>
      </c>
      <c r="C1390" s="7" t="s">
        <v>6408</v>
      </c>
      <c r="D1390" s="7" t="s">
        <v>26</v>
      </c>
      <c r="E1390" s="7" t="s">
        <v>16</v>
      </c>
      <c r="F1390" s="7" t="s">
        <v>16</v>
      </c>
    </row>
    <row r="1391" ht="22.5" customHeight="1">
      <c r="A1391" s="7" t="s">
        <v>2327</v>
      </c>
      <c r="B1391" s="8" t="s">
        <v>6409</v>
      </c>
      <c r="C1391" s="7" t="s">
        <v>6410</v>
      </c>
      <c r="D1391" s="7" t="s">
        <v>16</v>
      </c>
      <c r="E1391" s="7" t="s">
        <v>3803</v>
      </c>
      <c r="F1391" s="7" t="s">
        <v>16</v>
      </c>
    </row>
    <row r="1392" ht="22.5" customHeight="1">
      <c r="A1392" s="7" t="s">
        <v>2327</v>
      </c>
      <c r="B1392" s="8" t="s">
        <v>6409</v>
      </c>
      <c r="C1392" s="7" t="s">
        <v>6411</v>
      </c>
      <c r="D1392" s="7" t="s">
        <v>26</v>
      </c>
      <c r="E1392" s="7" t="s">
        <v>16</v>
      </c>
      <c r="F1392" s="7" t="s">
        <v>16</v>
      </c>
    </row>
    <row r="1393" ht="22.5" customHeight="1">
      <c r="A1393" s="7" t="s">
        <v>2725</v>
      </c>
      <c r="B1393" s="8" t="s">
        <v>6412</v>
      </c>
      <c r="C1393" s="7" t="s">
        <v>6413</v>
      </c>
      <c r="D1393" s="7" t="s">
        <v>16</v>
      </c>
      <c r="E1393" s="7" t="s">
        <v>3799</v>
      </c>
      <c r="F1393" s="7" t="s">
        <v>16</v>
      </c>
    </row>
    <row r="1394" ht="22.5" customHeight="1">
      <c r="A1394" s="7" t="s">
        <v>3800</v>
      </c>
      <c r="B1394" s="8" t="s">
        <v>6414</v>
      </c>
      <c r="C1394" s="7" t="s">
        <v>6415</v>
      </c>
      <c r="D1394" s="7" t="s">
        <v>16</v>
      </c>
      <c r="E1394" s="7" t="s">
        <v>3799</v>
      </c>
      <c r="F1394" s="7" t="s">
        <v>16</v>
      </c>
    </row>
    <row r="1395" ht="22.5" customHeight="1">
      <c r="A1395" s="7" t="s">
        <v>3800</v>
      </c>
      <c r="B1395" s="8" t="s">
        <v>6414</v>
      </c>
      <c r="C1395" s="7" t="s">
        <v>6416</v>
      </c>
      <c r="D1395" s="7" t="s">
        <v>26</v>
      </c>
      <c r="E1395" s="7" t="s">
        <v>16</v>
      </c>
      <c r="F1395" s="7" t="s">
        <v>16</v>
      </c>
    </row>
    <row r="1396" ht="22.5" customHeight="1">
      <c r="A1396" s="7" t="s">
        <v>2725</v>
      </c>
      <c r="B1396" s="8" t="s">
        <v>6417</v>
      </c>
      <c r="C1396" s="7" t="s">
        <v>6418</v>
      </c>
      <c r="D1396" s="7" t="s">
        <v>26</v>
      </c>
      <c r="E1396" s="7" t="s">
        <v>16</v>
      </c>
      <c r="F1396" s="7" t="s">
        <v>16</v>
      </c>
    </row>
    <row r="1397" ht="22.5" customHeight="1">
      <c r="A1397" s="7" t="s">
        <v>3827</v>
      </c>
      <c r="B1397" s="8" t="s">
        <v>6419</v>
      </c>
      <c r="C1397" s="7" t="s">
        <v>6420</v>
      </c>
      <c r="D1397" s="7" t="s">
        <v>16</v>
      </c>
      <c r="E1397" s="7" t="s">
        <v>3806</v>
      </c>
      <c r="F1397" s="7" t="s">
        <v>16</v>
      </c>
    </row>
    <row r="1398" ht="22.5" customHeight="1">
      <c r="A1398" s="7" t="s">
        <v>3807</v>
      </c>
      <c r="B1398" s="8" t="s">
        <v>6421</v>
      </c>
      <c r="C1398" s="7" t="s">
        <v>6422</v>
      </c>
      <c r="D1398" s="7" t="s">
        <v>16</v>
      </c>
      <c r="E1398" s="7" t="s">
        <v>3803</v>
      </c>
      <c r="F1398" s="7" t="s">
        <v>16</v>
      </c>
    </row>
    <row r="1399" ht="22.5" customHeight="1">
      <c r="A1399" s="7" t="s">
        <v>3807</v>
      </c>
      <c r="B1399" s="8" t="s">
        <v>6421</v>
      </c>
      <c r="C1399" s="7" t="s">
        <v>6423</v>
      </c>
      <c r="D1399" s="7" t="s">
        <v>16</v>
      </c>
      <c r="E1399" s="7" t="s">
        <v>3803</v>
      </c>
      <c r="F1399" s="7" t="s">
        <v>16</v>
      </c>
    </row>
    <row r="1400" ht="22.5" customHeight="1">
      <c r="A1400" s="7" t="s">
        <v>3800</v>
      </c>
      <c r="B1400" s="8" t="s">
        <v>6424</v>
      </c>
      <c r="C1400" s="7" t="s">
        <v>6425</v>
      </c>
      <c r="D1400" s="7" t="s">
        <v>16</v>
      </c>
      <c r="E1400" s="7" t="s">
        <v>3799</v>
      </c>
      <c r="F1400" s="7" t="s">
        <v>16</v>
      </c>
    </row>
    <row r="1401" ht="22.5" customHeight="1">
      <c r="A1401" s="7" t="s">
        <v>3807</v>
      </c>
      <c r="B1401" s="8" t="s">
        <v>6426</v>
      </c>
      <c r="C1401" s="7" t="s">
        <v>6427</v>
      </c>
      <c r="D1401" s="7" t="s">
        <v>16</v>
      </c>
      <c r="E1401" s="7" t="s">
        <v>3799</v>
      </c>
      <c r="F1401" s="7" t="s">
        <v>16</v>
      </c>
    </row>
    <row r="1402" ht="22.5" customHeight="1">
      <c r="A1402" s="7" t="s">
        <v>3871</v>
      </c>
      <c r="B1402" s="8" t="s">
        <v>6428</v>
      </c>
      <c r="C1402" s="7" t="s">
        <v>6429</v>
      </c>
      <c r="D1402" s="7" t="s">
        <v>26</v>
      </c>
      <c r="E1402" s="7" t="s">
        <v>16</v>
      </c>
      <c r="F1402" s="7" t="s">
        <v>16</v>
      </c>
    </row>
    <row r="1403" ht="22.5" customHeight="1">
      <c r="A1403" s="7" t="s">
        <v>2725</v>
      </c>
      <c r="B1403" s="8" t="s">
        <v>6430</v>
      </c>
      <c r="C1403" s="7" t="s">
        <v>6431</v>
      </c>
      <c r="D1403" s="7" t="s">
        <v>16</v>
      </c>
      <c r="E1403" s="7" t="s">
        <v>3803</v>
      </c>
      <c r="F1403" s="7" t="s">
        <v>3850</v>
      </c>
    </row>
    <row r="1404" ht="22.5" customHeight="1">
      <c r="A1404" s="7" t="s">
        <v>2725</v>
      </c>
      <c r="B1404" s="8" t="s">
        <v>6432</v>
      </c>
      <c r="C1404" s="7" t="s">
        <v>6433</v>
      </c>
      <c r="D1404" s="7" t="s">
        <v>16</v>
      </c>
      <c r="E1404" s="7" t="s">
        <v>3806</v>
      </c>
      <c r="F1404" s="7" t="s">
        <v>16</v>
      </c>
    </row>
    <row r="1405" ht="22.5" customHeight="1">
      <c r="A1405" s="7" t="s">
        <v>3827</v>
      </c>
      <c r="B1405" s="8" t="s">
        <v>6434</v>
      </c>
      <c r="C1405" s="7" t="s">
        <v>6435</v>
      </c>
      <c r="D1405" s="7" t="s">
        <v>26</v>
      </c>
      <c r="E1405" s="7" t="s">
        <v>16</v>
      </c>
      <c r="F1405" s="7" t="s">
        <v>16</v>
      </c>
    </row>
    <row r="1406" ht="22.5" customHeight="1">
      <c r="A1406" s="7" t="s">
        <v>2725</v>
      </c>
      <c r="B1406" s="8" t="s">
        <v>6436</v>
      </c>
      <c r="C1406" s="7" t="s">
        <v>6437</v>
      </c>
      <c r="D1406" s="7" t="s">
        <v>16</v>
      </c>
      <c r="E1406" s="7" t="s">
        <v>3806</v>
      </c>
      <c r="F1406" s="7" t="s">
        <v>16</v>
      </c>
    </row>
    <row r="1407" ht="22.5" customHeight="1">
      <c r="A1407" s="7" t="s">
        <v>3800</v>
      </c>
      <c r="B1407" s="8" t="s">
        <v>6438</v>
      </c>
      <c r="C1407" s="7" t="s">
        <v>6439</v>
      </c>
      <c r="D1407" s="7" t="s">
        <v>16</v>
      </c>
      <c r="E1407" s="7" t="s">
        <v>3806</v>
      </c>
      <c r="F1407" s="7" t="s">
        <v>16</v>
      </c>
    </row>
    <row r="1408" ht="22.5" customHeight="1">
      <c r="A1408" s="7" t="s">
        <v>3800</v>
      </c>
      <c r="B1408" s="8" t="s">
        <v>6440</v>
      </c>
      <c r="C1408" s="7" t="s">
        <v>6441</v>
      </c>
      <c r="D1408" s="7" t="s">
        <v>26</v>
      </c>
      <c r="E1408" s="7" t="s">
        <v>16</v>
      </c>
      <c r="F1408" s="7" t="s">
        <v>16</v>
      </c>
    </row>
    <row r="1409" ht="22.5" customHeight="1">
      <c r="A1409" s="7" t="s">
        <v>3827</v>
      </c>
      <c r="B1409" s="8" t="s">
        <v>6442</v>
      </c>
      <c r="C1409" s="7" t="s">
        <v>6443</v>
      </c>
      <c r="D1409" s="7" t="s">
        <v>16</v>
      </c>
      <c r="E1409" s="7" t="s">
        <v>3806</v>
      </c>
      <c r="F1409" s="7" t="s">
        <v>16</v>
      </c>
    </row>
    <row r="1410" ht="22.5" customHeight="1">
      <c r="A1410" s="7" t="s">
        <v>3800</v>
      </c>
      <c r="B1410" s="8" t="s">
        <v>6444</v>
      </c>
      <c r="C1410" s="7" t="s">
        <v>6445</v>
      </c>
      <c r="D1410" s="7" t="s">
        <v>16</v>
      </c>
      <c r="E1410" s="7" t="s">
        <v>3806</v>
      </c>
      <c r="F1410" s="7" t="s">
        <v>16</v>
      </c>
    </row>
    <row r="1411" ht="22.5" customHeight="1">
      <c r="A1411" s="7" t="s">
        <v>2725</v>
      </c>
      <c r="B1411" s="8" t="s">
        <v>6446</v>
      </c>
      <c r="C1411" s="7" t="s">
        <v>6447</v>
      </c>
      <c r="D1411" s="7" t="s">
        <v>26</v>
      </c>
      <c r="E1411" s="7" t="s">
        <v>16</v>
      </c>
      <c r="F1411" s="7" t="s">
        <v>16</v>
      </c>
    </row>
    <row r="1412" ht="22.5" customHeight="1">
      <c r="A1412" s="7" t="s">
        <v>3800</v>
      </c>
      <c r="B1412" s="8" t="s">
        <v>6448</v>
      </c>
      <c r="C1412" s="7" t="s">
        <v>6449</v>
      </c>
      <c r="D1412" s="7" t="s">
        <v>26</v>
      </c>
      <c r="E1412" s="7" t="s">
        <v>16</v>
      </c>
      <c r="F1412" s="7" t="s">
        <v>16</v>
      </c>
    </row>
    <row r="1413" ht="22.5" customHeight="1">
      <c r="A1413" s="7" t="s">
        <v>3800</v>
      </c>
      <c r="B1413" s="8" t="s">
        <v>6450</v>
      </c>
      <c r="C1413" s="7" t="s">
        <v>6451</v>
      </c>
      <c r="D1413" s="7" t="s">
        <v>26</v>
      </c>
      <c r="E1413" s="7" t="s">
        <v>16</v>
      </c>
      <c r="F1413" s="7" t="s">
        <v>16</v>
      </c>
    </row>
    <row r="1414" ht="22.5" customHeight="1">
      <c r="A1414" s="7" t="s">
        <v>3837</v>
      </c>
      <c r="B1414" s="8" t="s">
        <v>6452</v>
      </c>
      <c r="C1414" s="7" t="s">
        <v>6453</v>
      </c>
      <c r="D1414" s="7" t="s">
        <v>16</v>
      </c>
      <c r="E1414" s="7" t="s">
        <v>3806</v>
      </c>
      <c r="F1414" s="7" t="s">
        <v>16</v>
      </c>
    </row>
    <row r="1415" ht="22.5" customHeight="1">
      <c r="A1415" s="7" t="s">
        <v>2327</v>
      </c>
      <c r="B1415" s="8" t="s">
        <v>6454</v>
      </c>
      <c r="C1415" s="7" t="s">
        <v>6455</v>
      </c>
      <c r="D1415" s="7" t="s">
        <v>26</v>
      </c>
      <c r="E1415" s="7" t="s">
        <v>16</v>
      </c>
      <c r="F1415" s="7" t="s">
        <v>16</v>
      </c>
    </row>
    <row r="1416" ht="22.5" customHeight="1">
      <c r="A1416" s="7" t="s">
        <v>3827</v>
      </c>
      <c r="B1416" s="8" t="s">
        <v>6456</v>
      </c>
      <c r="C1416" s="7" t="s">
        <v>6457</v>
      </c>
      <c r="D1416" s="7" t="s">
        <v>26</v>
      </c>
      <c r="E1416" s="7" t="s">
        <v>16</v>
      </c>
      <c r="F1416" s="7" t="s">
        <v>16</v>
      </c>
    </row>
    <row r="1417" ht="22.5" customHeight="1">
      <c r="A1417" s="7" t="s">
        <v>2327</v>
      </c>
      <c r="B1417" s="8" t="s">
        <v>6458</v>
      </c>
      <c r="C1417" s="7" t="s">
        <v>6459</v>
      </c>
      <c r="D1417" s="7" t="s">
        <v>26</v>
      </c>
      <c r="E1417" s="7" t="s">
        <v>16</v>
      </c>
      <c r="F1417" s="7" t="s">
        <v>16</v>
      </c>
    </row>
    <row r="1418" ht="22.5" customHeight="1">
      <c r="A1418" s="7" t="s">
        <v>3827</v>
      </c>
      <c r="B1418" s="8" t="s">
        <v>6460</v>
      </c>
      <c r="C1418" s="7" t="s">
        <v>6461</v>
      </c>
      <c r="D1418" s="7" t="s">
        <v>16</v>
      </c>
      <c r="E1418" s="7" t="s">
        <v>3806</v>
      </c>
      <c r="F1418" s="7" t="s">
        <v>3884</v>
      </c>
    </row>
    <row r="1419" ht="22.5" customHeight="1">
      <c r="A1419" s="7" t="s">
        <v>3827</v>
      </c>
      <c r="B1419" s="8" t="s">
        <v>6460</v>
      </c>
      <c r="C1419" s="7" t="s">
        <v>6462</v>
      </c>
      <c r="D1419" s="7" t="s">
        <v>26</v>
      </c>
      <c r="E1419" s="7" t="s">
        <v>16</v>
      </c>
      <c r="F1419" s="7" t="s">
        <v>16</v>
      </c>
    </row>
    <row r="1420" ht="22.5" customHeight="1">
      <c r="A1420" s="7" t="s">
        <v>2725</v>
      </c>
      <c r="B1420" s="8" t="s">
        <v>6463</v>
      </c>
      <c r="C1420" s="7" t="s">
        <v>6464</v>
      </c>
      <c r="D1420" s="7" t="s">
        <v>16</v>
      </c>
      <c r="E1420" s="7" t="s">
        <v>3806</v>
      </c>
      <c r="F1420" s="7" t="s">
        <v>4107</v>
      </c>
    </row>
    <row r="1421" ht="22.5" customHeight="1">
      <c r="A1421" s="7" t="s">
        <v>3800</v>
      </c>
      <c r="B1421" s="8" t="s">
        <v>6465</v>
      </c>
      <c r="C1421" s="7" t="s">
        <v>6466</v>
      </c>
      <c r="D1421" s="7" t="s">
        <v>26</v>
      </c>
      <c r="E1421" s="7" t="s">
        <v>16</v>
      </c>
      <c r="F1421" s="7" t="s">
        <v>16</v>
      </c>
    </row>
    <row r="1422" ht="22.5" customHeight="1">
      <c r="A1422" s="7" t="s">
        <v>3800</v>
      </c>
      <c r="B1422" s="8" t="s">
        <v>6467</v>
      </c>
      <c r="C1422" s="7" t="s">
        <v>6468</v>
      </c>
      <c r="D1422" s="7" t="s">
        <v>16</v>
      </c>
      <c r="E1422" s="7" t="s">
        <v>3812</v>
      </c>
      <c r="F1422" s="7" t="s">
        <v>16</v>
      </c>
    </row>
    <row r="1423" ht="22.5" customHeight="1">
      <c r="A1423" s="7" t="s">
        <v>3827</v>
      </c>
      <c r="B1423" s="8" t="s">
        <v>6469</v>
      </c>
      <c r="C1423" s="7" t="s">
        <v>6470</v>
      </c>
      <c r="D1423" s="7" t="s">
        <v>6471</v>
      </c>
      <c r="E1423" s="7" t="s">
        <v>3803</v>
      </c>
      <c r="F1423" s="7" t="s">
        <v>16</v>
      </c>
    </row>
    <row r="1424" ht="22.5" customHeight="1">
      <c r="A1424" s="7" t="s">
        <v>3871</v>
      </c>
      <c r="B1424" s="8" t="s">
        <v>6472</v>
      </c>
      <c r="C1424" s="7" t="s">
        <v>6473</v>
      </c>
      <c r="D1424" s="7" t="s">
        <v>6471</v>
      </c>
      <c r="E1424" s="7" t="s">
        <v>3803</v>
      </c>
      <c r="F1424" s="7" t="s">
        <v>16</v>
      </c>
    </row>
    <row r="1425" ht="22.5" customHeight="1">
      <c r="A1425" s="7" t="s">
        <v>3871</v>
      </c>
      <c r="B1425" s="8" t="s">
        <v>6474</v>
      </c>
      <c r="C1425" s="7" t="s">
        <v>6475</v>
      </c>
      <c r="D1425" s="7" t="s">
        <v>6471</v>
      </c>
      <c r="E1425" s="7" t="s">
        <v>3806</v>
      </c>
      <c r="F1425" s="7" t="s">
        <v>16</v>
      </c>
    </row>
    <row r="1426" ht="22.5" customHeight="1">
      <c r="A1426" s="7" t="s">
        <v>3827</v>
      </c>
      <c r="B1426" s="8" t="s">
        <v>6476</v>
      </c>
      <c r="C1426" s="7" t="s">
        <v>6477</v>
      </c>
      <c r="D1426" s="7" t="s">
        <v>16</v>
      </c>
      <c r="E1426" s="7" t="s">
        <v>3799</v>
      </c>
      <c r="F1426" s="7" t="s">
        <v>16</v>
      </c>
    </row>
    <row r="1427" ht="22.5" customHeight="1">
      <c r="A1427" s="7" t="s">
        <v>2725</v>
      </c>
      <c r="B1427" s="8" t="s">
        <v>6478</v>
      </c>
      <c r="C1427" s="7" t="s">
        <v>6479</v>
      </c>
      <c r="D1427" s="7" t="s">
        <v>16</v>
      </c>
      <c r="E1427" s="7" t="s">
        <v>3806</v>
      </c>
      <c r="F1427" s="7" t="s">
        <v>3884</v>
      </c>
    </row>
    <row r="1428" ht="22.5" customHeight="1">
      <c r="A1428" s="7" t="s">
        <v>3800</v>
      </c>
      <c r="B1428" s="8" t="s">
        <v>6480</v>
      </c>
      <c r="C1428" s="7" t="s">
        <v>6481</v>
      </c>
      <c r="D1428" s="7" t="s">
        <v>16</v>
      </c>
      <c r="E1428" s="7" t="s">
        <v>3806</v>
      </c>
      <c r="F1428" s="7" t="s">
        <v>4671</v>
      </c>
    </row>
    <row r="1429" ht="22.5" customHeight="1">
      <c r="A1429" s="7" t="s">
        <v>3807</v>
      </c>
      <c r="B1429" s="8" t="s">
        <v>6482</v>
      </c>
      <c r="C1429" s="7" t="s">
        <v>6483</v>
      </c>
      <c r="D1429" s="7" t="s">
        <v>16</v>
      </c>
      <c r="E1429" s="7" t="s">
        <v>3799</v>
      </c>
      <c r="F1429" s="7" t="s">
        <v>16</v>
      </c>
    </row>
    <row r="1430" ht="22.5" customHeight="1">
      <c r="A1430" s="7" t="s">
        <v>3807</v>
      </c>
      <c r="B1430" s="8" t="s">
        <v>6484</v>
      </c>
      <c r="C1430" s="7" t="s">
        <v>6485</v>
      </c>
      <c r="D1430" s="7" t="s">
        <v>16</v>
      </c>
      <c r="E1430" s="7" t="s">
        <v>3806</v>
      </c>
      <c r="F1430" s="7" t="s">
        <v>16</v>
      </c>
    </row>
    <row r="1431" ht="22.5" customHeight="1">
      <c r="A1431" s="7" t="s">
        <v>3807</v>
      </c>
      <c r="B1431" s="8" t="s">
        <v>6484</v>
      </c>
      <c r="C1431" s="7" t="s">
        <v>6486</v>
      </c>
      <c r="D1431" s="7" t="s">
        <v>26</v>
      </c>
      <c r="E1431" s="7" t="s">
        <v>16</v>
      </c>
      <c r="F1431" s="7" t="s">
        <v>16</v>
      </c>
    </row>
    <row r="1432" ht="22.5" customHeight="1">
      <c r="A1432" s="7" t="s">
        <v>3837</v>
      </c>
      <c r="B1432" s="8" t="s">
        <v>6487</v>
      </c>
      <c r="C1432" s="7" t="s">
        <v>6488</v>
      </c>
      <c r="D1432" s="7" t="s">
        <v>16</v>
      </c>
      <c r="E1432" s="7" t="s">
        <v>3799</v>
      </c>
      <c r="F1432" s="7" t="s">
        <v>16</v>
      </c>
    </row>
    <row r="1433" ht="22.5" customHeight="1">
      <c r="A1433" s="7" t="s">
        <v>2725</v>
      </c>
      <c r="B1433" s="8" t="s">
        <v>6489</v>
      </c>
      <c r="C1433" s="7" t="s">
        <v>6490</v>
      </c>
      <c r="D1433" s="7" t="s">
        <v>16</v>
      </c>
      <c r="E1433" s="7" t="s">
        <v>3799</v>
      </c>
      <c r="F1433" s="7" t="s">
        <v>16</v>
      </c>
    </row>
    <row r="1434" ht="22.5" customHeight="1">
      <c r="A1434" s="7" t="s">
        <v>3800</v>
      </c>
      <c r="B1434" s="8" t="s">
        <v>6491</v>
      </c>
      <c r="C1434" s="7" t="s">
        <v>6492</v>
      </c>
      <c r="D1434" s="7" t="s">
        <v>16</v>
      </c>
      <c r="E1434" s="7" t="s">
        <v>3812</v>
      </c>
      <c r="F1434" s="7" t="s">
        <v>16</v>
      </c>
    </row>
    <row r="1435" ht="22.5" customHeight="1">
      <c r="A1435" s="7" t="s">
        <v>3807</v>
      </c>
      <c r="B1435" s="8" t="s">
        <v>6493</v>
      </c>
      <c r="C1435" s="7" t="s">
        <v>6494</v>
      </c>
      <c r="D1435" s="7" t="s">
        <v>16</v>
      </c>
      <c r="E1435" s="7" t="s">
        <v>3799</v>
      </c>
      <c r="F1435" s="7" t="s">
        <v>16</v>
      </c>
    </row>
    <row r="1436" ht="22.5" customHeight="1">
      <c r="A1436" s="7" t="s">
        <v>3807</v>
      </c>
      <c r="B1436" s="8" t="s">
        <v>6493</v>
      </c>
      <c r="C1436" s="7" t="s">
        <v>6495</v>
      </c>
      <c r="D1436" s="7" t="s">
        <v>26</v>
      </c>
      <c r="E1436" s="7" t="s">
        <v>16</v>
      </c>
      <c r="F1436" s="7" t="s">
        <v>16</v>
      </c>
    </row>
    <row r="1437" ht="22.5" customHeight="1">
      <c r="A1437" s="7" t="s">
        <v>2725</v>
      </c>
      <c r="B1437" s="8" t="s">
        <v>6496</v>
      </c>
      <c r="C1437" s="7" t="s">
        <v>6497</v>
      </c>
      <c r="D1437" s="7" t="s">
        <v>16</v>
      </c>
      <c r="E1437" s="7" t="s">
        <v>3806</v>
      </c>
      <c r="F1437" s="7" t="s">
        <v>16</v>
      </c>
    </row>
    <row r="1438" ht="22.5" customHeight="1">
      <c r="A1438" s="7" t="s">
        <v>2725</v>
      </c>
      <c r="B1438" s="8" t="s">
        <v>6498</v>
      </c>
      <c r="C1438" s="7" t="s">
        <v>6499</v>
      </c>
      <c r="D1438" s="7" t="s">
        <v>26</v>
      </c>
      <c r="E1438" s="7" t="s">
        <v>16</v>
      </c>
      <c r="F1438" s="7" t="s">
        <v>16</v>
      </c>
    </row>
    <row r="1439" ht="22.5" customHeight="1">
      <c r="A1439" s="7" t="s">
        <v>3800</v>
      </c>
      <c r="B1439" s="8" t="s">
        <v>6500</v>
      </c>
      <c r="C1439" s="7" t="s">
        <v>6501</v>
      </c>
      <c r="D1439" s="7" t="s">
        <v>16</v>
      </c>
      <c r="E1439" s="7" t="s">
        <v>3806</v>
      </c>
      <c r="F1439" s="7" t="s">
        <v>16</v>
      </c>
    </row>
    <row r="1440" ht="22.5" customHeight="1">
      <c r="A1440" s="7" t="s">
        <v>3800</v>
      </c>
      <c r="B1440" s="8" t="s">
        <v>6502</v>
      </c>
      <c r="C1440" s="7" t="s">
        <v>6503</v>
      </c>
      <c r="D1440" s="7" t="s">
        <v>26</v>
      </c>
      <c r="E1440" s="7" t="s">
        <v>16</v>
      </c>
      <c r="F1440" s="7" t="s">
        <v>16</v>
      </c>
    </row>
    <row r="1441" ht="22.5" customHeight="1">
      <c r="A1441" s="7" t="s">
        <v>3800</v>
      </c>
      <c r="B1441" s="8" t="s">
        <v>6504</v>
      </c>
      <c r="C1441" s="7" t="s">
        <v>6505</v>
      </c>
      <c r="D1441" s="7" t="s">
        <v>16</v>
      </c>
      <c r="E1441" s="7" t="s">
        <v>3806</v>
      </c>
      <c r="F1441" s="7" t="s">
        <v>16</v>
      </c>
    </row>
    <row r="1442" ht="22.5" customHeight="1">
      <c r="A1442" s="7" t="s">
        <v>3827</v>
      </c>
      <c r="B1442" s="8" t="s">
        <v>6506</v>
      </c>
      <c r="C1442" s="7" t="s">
        <v>6507</v>
      </c>
      <c r="D1442" s="7" t="s">
        <v>16</v>
      </c>
      <c r="E1442" s="7" t="s">
        <v>3799</v>
      </c>
      <c r="F1442" s="7" t="s">
        <v>3879</v>
      </c>
    </row>
    <row r="1443" ht="22.5" customHeight="1">
      <c r="A1443" s="7" t="s">
        <v>3827</v>
      </c>
      <c r="B1443" s="8" t="s">
        <v>6506</v>
      </c>
      <c r="C1443" s="7" t="s">
        <v>6508</v>
      </c>
      <c r="D1443" s="7" t="s">
        <v>16</v>
      </c>
      <c r="E1443" s="7" t="s">
        <v>3799</v>
      </c>
      <c r="F1443" s="7" t="s">
        <v>3879</v>
      </c>
    </row>
    <row r="1444" ht="22.5" customHeight="1">
      <c r="A1444" s="7" t="s">
        <v>3837</v>
      </c>
      <c r="B1444" s="8" t="s">
        <v>6509</v>
      </c>
      <c r="C1444" s="7" t="s">
        <v>6510</v>
      </c>
      <c r="D1444" s="7" t="s">
        <v>16</v>
      </c>
      <c r="E1444" s="7" t="s">
        <v>3799</v>
      </c>
      <c r="F1444" s="7" t="s">
        <v>16</v>
      </c>
    </row>
    <row r="1445" ht="22.5" customHeight="1">
      <c r="A1445" s="7" t="s">
        <v>3837</v>
      </c>
      <c r="B1445" s="8" t="s">
        <v>6509</v>
      </c>
      <c r="C1445" s="7" t="s">
        <v>6511</v>
      </c>
      <c r="D1445" s="7" t="s">
        <v>26</v>
      </c>
      <c r="E1445" s="7" t="s">
        <v>16</v>
      </c>
      <c r="F1445" s="7" t="s">
        <v>16</v>
      </c>
    </row>
    <row r="1446" ht="22.5" customHeight="1">
      <c r="A1446" s="7" t="s">
        <v>3837</v>
      </c>
      <c r="B1446" s="8" t="s">
        <v>6509</v>
      </c>
      <c r="C1446" s="7" t="s">
        <v>6512</v>
      </c>
      <c r="D1446" s="7" t="s">
        <v>26</v>
      </c>
      <c r="E1446" s="7" t="s">
        <v>16</v>
      </c>
      <c r="F1446" s="7" t="s">
        <v>16</v>
      </c>
    </row>
    <row r="1447" ht="22.5" customHeight="1">
      <c r="A1447" s="7" t="s">
        <v>3837</v>
      </c>
      <c r="B1447" s="8" t="s">
        <v>6509</v>
      </c>
      <c r="C1447" s="7" t="s">
        <v>6513</v>
      </c>
      <c r="D1447" s="7" t="s">
        <v>26</v>
      </c>
      <c r="E1447" s="7" t="s">
        <v>16</v>
      </c>
      <c r="F1447" s="7" t="s">
        <v>16</v>
      </c>
    </row>
    <row r="1448" ht="22.5" customHeight="1">
      <c r="A1448" s="7" t="s">
        <v>3837</v>
      </c>
      <c r="B1448" s="8" t="s">
        <v>6509</v>
      </c>
      <c r="C1448" s="7" t="s">
        <v>6514</v>
      </c>
      <c r="D1448" s="7" t="s">
        <v>26</v>
      </c>
      <c r="E1448" s="7" t="s">
        <v>16</v>
      </c>
      <c r="F1448" s="7" t="s">
        <v>16</v>
      </c>
    </row>
    <row r="1449" ht="22.5" customHeight="1">
      <c r="A1449" s="7" t="s">
        <v>3800</v>
      </c>
      <c r="B1449" s="8" t="s">
        <v>6515</v>
      </c>
      <c r="C1449" s="7" t="s">
        <v>6516</v>
      </c>
      <c r="D1449" s="7" t="s">
        <v>26</v>
      </c>
      <c r="E1449" s="7" t="s">
        <v>16</v>
      </c>
      <c r="F1449" s="7" t="s">
        <v>16</v>
      </c>
    </row>
    <row r="1450" ht="22.5" customHeight="1">
      <c r="A1450" s="7" t="s">
        <v>3827</v>
      </c>
      <c r="B1450" s="8" t="s">
        <v>6517</v>
      </c>
      <c r="C1450" s="7" t="s">
        <v>6518</v>
      </c>
      <c r="D1450" s="7" t="s">
        <v>16</v>
      </c>
      <c r="E1450" s="7" t="s">
        <v>3812</v>
      </c>
      <c r="F1450" s="7" t="s">
        <v>16</v>
      </c>
    </row>
    <row r="1451" ht="22.5" customHeight="1">
      <c r="A1451" s="7" t="s">
        <v>3800</v>
      </c>
      <c r="B1451" s="8" t="s">
        <v>6519</v>
      </c>
      <c r="C1451" s="7" t="s">
        <v>6520</v>
      </c>
      <c r="D1451" s="7" t="s">
        <v>16</v>
      </c>
      <c r="E1451" s="7" t="s">
        <v>3799</v>
      </c>
      <c r="F1451" s="7" t="s">
        <v>16</v>
      </c>
    </row>
    <row r="1452" ht="22.5" customHeight="1">
      <c r="A1452" s="7" t="s">
        <v>2725</v>
      </c>
      <c r="B1452" s="8" t="s">
        <v>6521</v>
      </c>
      <c r="C1452" s="7" t="s">
        <v>6522</v>
      </c>
      <c r="D1452" s="7" t="s">
        <v>16</v>
      </c>
      <c r="E1452" s="7" t="s">
        <v>3799</v>
      </c>
      <c r="F1452" s="7" t="s">
        <v>16</v>
      </c>
    </row>
    <row r="1453" ht="22.5" customHeight="1">
      <c r="A1453" s="7" t="s">
        <v>3837</v>
      </c>
      <c r="B1453" s="8" t="s">
        <v>6523</v>
      </c>
      <c r="C1453" s="7" t="s">
        <v>6524</v>
      </c>
      <c r="D1453" s="7" t="s">
        <v>16</v>
      </c>
      <c r="E1453" s="7" t="s">
        <v>3803</v>
      </c>
      <c r="F1453" s="7" t="s">
        <v>16</v>
      </c>
    </row>
    <row r="1454" ht="22.5" customHeight="1">
      <c r="A1454" s="7" t="s">
        <v>3837</v>
      </c>
      <c r="B1454" s="8" t="s">
        <v>6525</v>
      </c>
      <c r="C1454" s="7" t="s">
        <v>6526</v>
      </c>
      <c r="D1454" s="7" t="s">
        <v>16</v>
      </c>
      <c r="E1454" s="7" t="s">
        <v>3806</v>
      </c>
      <c r="F1454" s="7" t="s">
        <v>16</v>
      </c>
    </row>
    <row r="1455" ht="22.5" customHeight="1">
      <c r="A1455" s="7" t="s">
        <v>3837</v>
      </c>
      <c r="B1455" s="8" t="s">
        <v>6525</v>
      </c>
      <c r="C1455" s="7" t="s">
        <v>6527</v>
      </c>
      <c r="D1455" s="7" t="s">
        <v>26</v>
      </c>
      <c r="E1455" s="7" t="s">
        <v>16</v>
      </c>
      <c r="F1455" s="7" t="s">
        <v>16</v>
      </c>
    </row>
    <row r="1456" ht="22.5" customHeight="1">
      <c r="A1456" s="7" t="s">
        <v>3837</v>
      </c>
      <c r="B1456" s="8" t="s">
        <v>6525</v>
      </c>
      <c r="C1456" s="7" t="s">
        <v>6528</v>
      </c>
      <c r="D1456" s="7" t="s">
        <v>26</v>
      </c>
      <c r="E1456" s="7" t="s">
        <v>16</v>
      </c>
      <c r="F1456" s="7" t="s">
        <v>16</v>
      </c>
    </row>
    <row r="1457" ht="22.5" customHeight="1">
      <c r="A1457" s="7" t="s">
        <v>3800</v>
      </c>
      <c r="B1457" s="8" t="s">
        <v>6529</v>
      </c>
      <c r="C1457" s="7" t="s">
        <v>6530</v>
      </c>
      <c r="D1457" s="7" t="s">
        <v>16</v>
      </c>
      <c r="E1457" s="7" t="s">
        <v>3806</v>
      </c>
      <c r="F1457" s="7" t="s">
        <v>16</v>
      </c>
    </row>
    <row r="1458" ht="22.5" customHeight="1">
      <c r="A1458" s="7" t="s">
        <v>3800</v>
      </c>
      <c r="B1458" s="8" t="s">
        <v>6531</v>
      </c>
      <c r="C1458" s="7" t="s">
        <v>6532</v>
      </c>
      <c r="D1458" s="7" t="s">
        <v>26</v>
      </c>
      <c r="E1458" s="7" t="s">
        <v>16</v>
      </c>
      <c r="F1458" s="7" t="s">
        <v>16</v>
      </c>
    </row>
    <row r="1459" ht="22.5" customHeight="1">
      <c r="A1459" s="7" t="s">
        <v>2725</v>
      </c>
      <c r="B1459" s="8" t="s">
        <v>6533</v>
      </c>
      <c r="C1459" s="7" t="s">
        <v>6534</v>
      </c>
      <c r="D1459" s="7" t="s">
        <v>16</v>
      </c>
      <c r="E1459" s="7" t="s">
        <v>3799</v>
      </c>
      <c r="F1459" s="7" t="s">
        <v>3879</v>
      </c>
    </row>
    <row r="1460" ht="22.5" customHeight="1">
      <c r="A1460" s="7" t="s">
        <v>3827</v>
      </c>
      <c r="B1460" s="8" t="s">
        <v>6535</v>
      </c>
      <c r="C1460" s="7" t="s">
        <v>6536</v>
      </c>
      <c r="D1460" s="7" t="s">
        <v>16</v>
      </c>
      <c r="E1460" s="7" t="s">
        <v>3799</v>
      </c>
      <c r="F1460" s="7" t="s">
        <v>3904</v>
      </c>
    </row>
    <row r="1461" ht="22.5" customHeight="1">
      <c r="A1461" s="7" t="s">
        <v>3800</v>
      </c>
      <c r="B1461" s="8" t="s">
        <v>6537</v>
      </c>
      <c r="C1461" s="7" t="s">
        <v>6538</v>
      </c>
      <c r="D1461" s="7" t="s">
        <v>26</v>
      </c>
      <c r="E1461" s="7" t="s">
        <v>16</v>
      </c>
      <c r="F1461" s="7" t="s">
        <v>16</v>
      </c>
    </row>
    <row r="1462" ht="22.5" customHeight="1">
      <c r="A1462" s="7" t="s">
        <v>3800</v>
      </c>
      <c r="B1462" s="8" t="s">
        <v>6539</v>
      </c>
      <c r="C1462" s="7" t="s">
        <v>6540</v>
      </c>
      <c r="D1462" s="7" t="s">
        <v>16</v>
      </c>
      <c r="E1462" s="7" t="s">
        <v>3806</v>
      </c>
      <c r="F1462" s="7" t="s">
        <v>16</v>
      </c>
    </row>
    <row r="1463" ht="22.5" customHeight="1">
      <c r="A1463" s="7" t="s">
        <v>3827</v>
      </c>
      <c r="B1463" s="8" t="s">
        <v>6541</v>
      </c>
      <c r="C1463" s="7" t="s">
        <v>6542</v>
      </c>
      <c r="D1463" s="7" t="s">
        <v>16</v>
      </c>
      <c r="E1463" s="7" t="s">
        <v>3806</v>
      </c>
      <c r="F1463" s="7" t="s">
        <v>16</v>
      </c>
    </row>
    <row r="1464" ht="22.5" customHeight="1">
      <c r="A1464" s="7" t="s">
        <v>3807</v>
      </c>
      <c r="B1464" s="8" t="s">
        <v>6543</v>
      </c>
      <c r="C1464" s="7" t="s">
        <v>6544</v>
      </c>
      <c r="D1464" s="7" t="s">
        <v>16</v>
      </c>
      <c r="E1464" s="7" t="s">
        <v>3799</v>
      </c>
      <c r="F1464" s="7" t="s">
        <v>3945</v>
      </c>
    </row>
    <row r="1465" ht="22.5" customHeight="1">
      <c r="A1465" s="7" t="s">
        <v>3807</v>
      </c>
      <c r="B1465" s="8" t="s">
        <v>6545</v>
      </c>
      <c r="C1465" s="7" t="s">
        <v>6546</v>
      </c>
      <c r="D1465" s="7" t="s">
        <v>16</v>
      </c>
      <c r="E1465" s="7" t="s">
        <v>3806</v>
      </c>
      <c r="F1465" s="7" t="s">
        <v>16</v>
      </c>
    </row>
    <row r="1466" ht="22.5" customHeight="1">
      <c r="A1466" s="7" t="s">
        <v>3800</v>
      </c>
      <c r="B1466" s="8" t="s">
        <v>6547</v>
      </c>
      <c r="C1466" s="7" t="s">
        <v>6548</v>
      </c>
      <c r="D1466" s="7" t="s">
        <v>26</v>
      </c>
      <c r="E1466" s="7" t="s">
        <v>16</v>
      </c>
      <c r="F1466" s="7" t="s">
        <v>16</v>
      </c>
    </row>
    <row r="1467" ht="22.5" customHeight="1">
      <c r="A1467" s="7" t="s">
        <v>3800</v>
      </c>
      <c r="B1467" s="8" t="s">
        <v>6549</v>
      </c>
      <c r="C1467" s="7" t="s">
        <v>6550</v>
      </c>
      <c r="D1467" s="7" t="s">
        <v>26</v>
      </c>
      <c r="E1467" s="7" t="s">
        <v>16</v>
      </c>
      <c r="F1467" s="7" t="s">
        <v>16</v>
      </c>
    </row>
    <row r="1468" ht="22.5" customHeight="1">
      <c r="A1468" s="7" t="s">
        <v>3827</v>
      </c>
      <c r="B1468" s="8" t="s">
        <v>6551</v>
      </c>
      <c r="C1468" s="7" t="s">
        <v>6552</v>
      </c>
      <c r="D1468" s="7" t="s">
        <v>16</v>
      </c>
      <c r="E1468" s="7" t="s">
        <v>3799</v>
      </c>
      <c r="F1468" s="7" t="s">
        <v>3879</v>
      </c>
    </row>
    <row r="1469" ht="22.5" customHeight="1">
      <c r="A1469" s="7" t="s">
        <v>3800</v>
      </c>
      <c r="B1469" s="8" t="s">
        <v>6553</v>
      </c>
      <c r="C1469" s="7" t="s">
        <v>6554</v>
      </c>
      <c r="D1469" s="7" t="s">
        <v>26</v>
      </c>
      <c r="E1469" s="7" t="s">
        <v>16</v>
      </c>
      <c r="F1469" s="7" t="s">
        <v>16</v>
      </c>
    </row>
    <row r="1470" ht="22.5" customHeight="1">
      <c r="A1470" s="7" t="s">
        <v>3837</v>
      </c>
      <c r="B1470" s="8" t="s">
        <v>6555</v>
      </c>
      <c r="C1470" s="7" t="s">
        <v>6556</v>
      </c>
      <c r="D1470" s="7" t="s">
        <v>16</v>
      </c>
      <c r="E1470" s="7" t="s">
        <v>3799</v>
      </c>
      <c r="F1470" s="7" t="s">
        <v>16</v>
      </c>
    </row>
    <row r="1471" ht="22.5" customHeight="1">
      <c r="A1471" s="7" t="s">
        <v>3837</v>
      </c>
      <c r="B1471" s="8" t="s">
        <v>6557</v>
      </c>
      <c r="C1471" s="7" t="s">
        <v>6558</v>
      </c>
      <c r="D1471" s="7" t="s">
        <v>16</v>
      </c>
      <c r="E1471" s="7" t="s">
        <v>3799</v>
      </c>
      <c r="F1471" s="7" t="s">
        <v>16</v>
      </c>
    </row>
    <row r="1472" ht="22.5" customHeight="1">
      <c r="A1472" s="7" t="s">
        <v>3827</v>
      </c>
      <c r="B1472" s="8" t="s">
        <v>6559</v>
      </c>
      <c r="C1472" s="7" t="s">
        <v>6560</v>
      </c>
      <c r="D1472" s="7" t="s">
        <v>16</v>
      </c>
      <c r="E1472" s="7" t="s">
        <v>3806</v>
      </c>
      <c r="F1472" s="7" t="s">
        <v>16</v>
      </c>
    </row>
    <row r="1473" ht="22.5" customHeight="1">
      <c r="A1473" s="7" t="s">
        <v>3800</v>
      </c>
      <c r="B1473" s="8" t="s">
        <v>6561</v>
      </c>
      <c r="C1473" s="7" t="s">
        <v>6562</v>
      </c>
      <c r="D1473" s="7" t="s">
        <v>16</v>
      </c>
      <c r="E1473" s="7" t="s">
        <v>3799</v>
      </c>
      <c r="F1473" s="7" t="s">
        <v>16</v>
      </c>
    </row>
    <row r="1474" ht="22.5" customHeight="1">
      <c r="A1474" s="7" t="s">
        <v>3800</v>
      </c>
      <c r="B1474" s="8" t="s">
        <v>6563</v>
      </c>
      <c r="C1474" s="7" t="s">
        <v>6564</v>
      </c>
      <c r="D1474" s="7" t="s">
        <v>16</v>
      </c>
      <c r="E1474" s="7" t="s">
        <v>3806</v>
      </c>
      <c r="F1474" s="7" t="s">
        <v>16</v>
      </c>
    </row>
    <row r="1475" ht="22.5" customHeight="1">
      <c r="A1475" s="7" t="s">
        <v>2725</v>
      </c>
      <c r="B1475" s="8" t="s">
        <v>6565</v>
      </c>
      <c r="C1475" s="7" t="s">
        <v>6566</v>
      </c>
      <c r="D1475" s="7" t="s">
        <v>16</v>
      </c>
      <c r="E1475" s="7" t="s">
        <v>3803</v>
      </c>
      <c r="F1475" s="7" t="s">
        <v>3850</v>
      </c>
    </row>
    <row r="1476" ht="22.5" customHeight="1">
      <c r="A1476" s="7" t="s">
        <v>2725</v>
      </c>
      <c r="B1476" s="8" t="s">
        <v>6565</v>
      </c>
      <c r="C1476" s="7" t="s">
        <v>6567</v>
      </c>
      <c r="D1476" s="7" t="s">
        <v>16</v>
      </c>
      <c r="E1476" s="7" t="s">
        <v>3803</v>
      </c>
      <c r="F1476" s="7" t="s">
        <v>3850</v>
      </c>
    </row>
    <row r="1477" ht="22.5" customHeight="1">
      <c r="A1477" s="7" t="s">
        <v>2725</v>
      </c>
      <c r="B1477" s="8" t="s">
        <v>6568</v>
      </c>
      <c r="C1477" s="7" t="s">
        <v>6569</v>
      </c>
      <c r="D1477" s="7" t="s">
        <v>16</v>
      </c>
      <c r="E1477" s="7" t="s">
        <v>3806</v>
      </c>
      <c r="F1477" s="7" t="s">
        <v>4671</v>
      </c>
    </row>
    <row r="1478" ht="22.5" customHeight="1">
      <c r="A1478" s="7" t="s">
        <v>2725</v>
      </c>
      <c r="B1478" s="8" t="s">
        <v>6568</v>
      </c>
      <c r="C1478" s="7" t="s">
        <v>6570</v>
      </c>
      <c r="D1478" s="7" t="s">
        <v>26</v>
      </c>
      <c r="E1478" s="7" t="s">
        <v>16</v>
      </c>
      <c r="F1478" s="7" t="s">
        <v>16</v>
      </c>
    </row>
    <row r="1479" ht="22.5" customHeight="1">
      <c r="A1479" s="7" t="s">
        <v>2725</v>
      </c>
      <c r="B1479" s="8" t="s">
        <v>6571</v>
      </c>
      <c r="C1479" s="7" t="s">
        <v>6572</v>
      </c>
      <c r="D1479" s="7" t="s">
        <v>16</v>
      </c>
      <c r="E1479" s="7" t="s">
        <v>3806</v>
      </c>
      <c r="F1479" s="7" t="s">
        <v>3884</v>
      </c>
    </row>
    <row r="1480" ht="22.5" customHeight="1">
      <c r="A1480" s="7" t="s">
        <v>3807</v>
      </c>
      <c r="B1480" s="8" t="s">
        <v>6573</v>
      </c>
      <c r="C1480" s="7" t="s">
        <v>6574</v>
      </c>
      <c r="D1480" s="7" t="s">
        <v>16</v>
      </c>
      <c r="E1480" s="7" t="s">
        <v>3799</v>
      </c>
      <c r="F1480" s="7" t="s">
        <v>16</v>
      </c>
    </row>
    <row r="1481" ht="22.5" customHeight="1">
      <c r="A1481" s="7" t="s">
        <v>3807</v>
      </c>
      <c r="B1481" s="8" t="s">
        <v>6573</v>
      </c>
      <c r="C1481" s="7" t="s">
        <v>6575</v>
      </c>
      <c r="D1481" s="7" t="s">
        <v>16</v>
      </c>
      <c r="E1481" s="7" t="s">
        <v>3799</v>
      </c>
      <c r="F1481" s="7" t="s">
        <v>16</v>
      </c>
    </row>
    <row r="1482" ht="22.5" customHeight="1">
      <c r="A1482" s="7" t="s">
        <v>3807</v>
      </c>
      <c r="B1482" s="8" t="s">
        <v>6576</v>
      </c>
      <c r="C1482" s="7" t="s">
        <v>6577</v>
      </c>
      <c r="D1482" s="7" t="s">
        <v>16</v>
      </c>
      <c r="E1482" s="7" t="s">
        <v>3799</v>
      </c>
      <c r="F1482" s="7" t="s">
        <v>16</v>
      </c>
    </row>
    <row r="1483" ht="22.5" customHeight="1">
      <c r="A1483" s="7" t="s">
        <v>3837</v>
      </c>
      <c r="B1483" s="8" t="s">
        <v>6578</v>
      </c>
      <c r="C1483" s="7" t="s">
        <v>6579</v>
      </c>
      <c r="D1483" s="7" t="s">
        <v>26</v>
      </c>
      <c r="E1483" s="7" t="s">
        <v>16</v>
      </c>
      <c r="F1483" s="7" t="s">
        <v>16</v>
      </c>
    </row>
    <row r="1484" ht="22.5" customHeight="1">
      <c r="A1484" s="7" t="s">
        <v>3807</v>
      </c>
      <c r="B1484" s="8" t="s">
        <v>6580</v>
      </c>
      <c r="C1484" s="7" t="s">
        <v>6581</v>
      </c>
      <c r="D1484" s="7" t="s">
        <v>16</v>
      </c>
      <c r="E1484" s="7" t="s">
        <v>3799</v>
      </c>
      <c r="F1484" s="7" t="s">
        <v>16</v>
      </c>
    </row>
    <row r="1485" ht="22.5" customHeight="1">
      <c r="A1485" s="7" t="s">
        <v>3807</v>
      </c>
      <c r="B1485" s="8" t="s">
        <v>6582</v>
      </c>
      <c r="C1485" s="7" t="s">
        <v>6583</v>
      </c>
      <c r="D1485" s="7" t="s">
        <v>16</v>
      </c>
      <c r="E1485" s="7" t="s">
        <v>3803</v>
      </c>
      <c r="F1485" s="7" t="s">
        <v>3850</v>
      </c>
    </row>
    <row r="1486" ht="22.5" customHeight="1">
      <c r="A1486" s="7" t="s">
        <v>3827</v>
      </c>
      <c r="B1486" s="8" t="s">
        <v>6584</v>
      </c>
      <c r="C1486" s="7" t="s">
        <v>6585</v>
      </c>
      <c r="D1486" s="7" t="s">
        <v>16</v>
      </c>
      <c r="E1486" s="7" t="s">
        <v>3799</v>
      </c>
      <c r="F1486" s="7" t="s">
        <v>16</v>
      </c>
    </row>
    <row r="1487" ht="22.5" customHeight="1">
      <c r="A1487" s="7" t="s">
        <v>3827</v>
      </c>
      <c r="B1487" s="8" t="s">
        <v>6584</v>
      </c>
      <c r="C1487" s="7" t="s">
        <v>6586</v>
      </c>
      <c r="D1487" s="7" t="s">
        <v>26</v>
      </c>
      <c r="E1487" s="7" t="s">
        <v>16</v>
      </c>
      <c r="F1487" s="7" t="s">
        <v>16</v>
      </c>
    </row>
    <row r="1488" ht="22.5" customHeight="1">
      <c r="A1488" s="7" t="s">
        <v>2327</v>
      </c>
      <c r="B1488" s="8" t="s">
        <v>6587</v>
      </c>
      <c r="C1488" s="7" t="s">
        <v>6588</v>
      </c>
      <c r="D1488" s="7" t="s">
        <v>16</v>
      </c>
      <c r="E1488" s="7" t="s">
        <v>3799</v>
      </c>
      <c r="F1488" s="7" t="s">
        <v>16</v>
      </c>
    </row>
    <row r="1489" ht="22.5" customHeight="1">
      <c r="A1489" s="7" t="s">
        <v>2327</v>
      </c>
      <c r="B1489" s="8" t="s">
        <v>6587</v>
      </c>
      <c r="C1489" s="7" t="s">
        <v>6589</v>
      </c>
      <c r="D1489" s="7" t="s">
        <v>26</v>
      </c>
      <c r="E1489" s="7" t="s">
        <v>16</v>
      </c>
      <c r="F1489" s="7" t="s">
        <v>16</v>
      </c>
    </row>
    <row r="1490" ht="22.5" customHeight="1">
      <c r="A1490" s="7" t="s">
        <v>2327</v>
      </c>
      <c r="B1490" s="8" t="s">
        <v>6587</v>
      </c>
      <c r="C1490" s="7" t="s">
        <v>6590</v>
      </c>
      <c r="D1490" s="7" t="s">
        <v>26</v>
      </c>
      <c r="E1490" s="7" t="s">
        <v>16</v>
      </c>
      <c r="F1490" s="7" t="s">
        <v>16</v>
      </c>
    </row>
    <row r="1491" ht="22.5" customHeight="1">
      <c r="A1491" s="7" t="s">
        <v>2327</v>
      </c>
      <c r="B1491" s="8" t="s">
        <v>6587</v>
      </c>
      <c r="C1491" s="7" t="s">
        <v>6591</v>
      </c>
      <c r="D1491" s="7" t="s">
        <v>26</v>
      </c>
      <c r="E1491" s="7" t="s">
        <v>16</v>
      </c>
      <c r="F1491" s="7" t="s">
        <v>16</v>
      </c>
    </row>
    <row r="1492" ht="22.5" customHeight="1">
      <c r="A1492" s="7" t="s">
        <v>2327</v>
      </c>
      <c r="B1492" s="8" t="s">
        <v>6587</v>
      </c>
      <c r="C1492" s="7" t="s">
        <v>6592</v>
      </c>
      <c r="D1492" s="7" t="s">
        <v>26</v>
      </c>
      <c r="E1492" s="7" t="s">
        <v>16</v>
      </c>
      <c r="F1492" s="7" t="s">
        <v>16</v>
      </c>
    </row>
    <row r="1493" ht="22.5" customHeight="1">
      <c r="A1493" s="7" t="s">
        <v>2327</v>
      </c>
      <c r="B1493" s="8" t="s">
        <v>6587</v>
      </c>
      <c r="C1493" s="7" t="s">
        <v>6593</v>
      </c>
      <c r="D1493" s="7" t="s">
        <v>26</v>
      </c>
      <c r="E1493" s="7" t="s">
        <v>16</v>
      </c>
      <c r="F1493" s="7" t="s">
        <v>16</v>
      </c>
    </row>
    <row r="1494" ht="22.5" customHeight="1">
      <c r="A1494" s="7" t="s">
        <v>2327</v>
      </c>
      <c r="B1494" s="8" t="s">
        <v>6587</v>
      </c>
      <c r="C1494" s="7" t="s">
        <v>6594</v>
      </c>
      <c r="D1494" s="7" t="s">
        <v>26</v>
      </c>
      <c r="E1494" s="7" t="s">
        <v>16</v>
      </c>
      <c r="F1494" s="7" t="s">
        <v>16</v>
      </c>
    </row>
    <row r="1495" ht="22.5" customHeight="1">
      <c r="A1495" s="7" t="s">
        <v>3837</v>
      </c>
      <c r="B1495" s="8" t="s">
        <v>6595</v>
      </c>
      <c r="C1495" s="7" t="s">
        <v>6596</v>
      </c>
      <c r="D1495" s="7" t="s">
        <v>16</v>
      </c>
      <c r="E1495" s="7" t="s">
        <v>3812</v>
      </c>
      <c r="F1495" s="7" t="s">
        <v>16</v>
      </c>
    </row>
    <row r="1496" ht="22.5" customHeight="1">
      <c r="A1496" s="7" t="s">
        <v>3871</v>
      </c>
      <c r="B1496" s="8" t="s">
        <v>6597</v>
      </c>
      <c r="C1496" s="7" t="s">
        <v>6598</v>
      </c>
      <c r="D1496" s="7" t="s">
        <v>26</v>
      </c>
      <c r="E1496" s="7" t="s">
        <v>16</v>
      </c>
      <c r="F1496" s="7" t="s">
        <v>16</v>
      </c>
    </row>
    <row r="1497" ht="22.5" customHeight="1">
      <c r="A1497" s="7" t="s">
        <v>3871</v>
      </c>
      <c r="B1497" s="8" t="s">
        <v>6597</v>
      </c>
      <c r="C1497" s="7" t="s">
        <v>6599</v>
      </c>
      <c r="D1497" s="7" t="s">
        <v>26</v>
      </c>
      <c r="E1497" s="7" t="s">
        <v>16</v>
      </c>
      <c r="F1497" s="7" t="s">
        <v>16</v>
      </c>
    </row>
    <row r="1498" ht="22.5" customHeight="1">
      <c r="A1498" s="7" t="s">
        <v>3800</v>
      </c>
      <c r="B1498" s="8" t="s">
        <v>6600</v>
      </c>
      <c r="C1498" s="7" t="s">
        <v>6601</v>
      </c>
      <c r="D1498" s="7" t="s">
        <v>16</v>
      </c>
      <c r="E1498" s="7" t="s">
        <v>3799</v>
      </c>
      <c r="F1498" s="7" t="s">
        <v>16</v>
      </c>
    </row>
    <row r="1499" ht="22.5" customHeight="1">
      <c r="A1499" s="7" t="s">
        <v>3800</v>
      </c>
      <c r="B1499" s="8" t="s">
        <v>6600</v>
      </c>
      <c r="C1499" s="7" t="s">
        <v>6602</v>
      </c>
      <c r="D1499" s="7" t="s">
        <v>26</v>
      </c>
      <c r="E1499" s="7" t="s">
        <v>16</v>
      </c>
      <c r="F1499" s="7" t="s">
        <v>16</v>
      </c>
    </row>
    <row r="1500" ht="22.5" customHeight="1">
      <c r="A1500" s="7" t="s">
        <v>3800</v>
      </c>
      <c r="B1500" s="8" t="s">
        <v>6603</v>
      </c>
      <c r="C1500" s="7" t="s">
        <v>6604</v>
      </c>
      <c r="D1500" s="7" t="s">
        <v>16</v>
      </c>
      <c r="E1500" s="7" t="s">
        <v>3799</v>
      </c>
      <c r="F1500" s="7" t="s">
        <v>3879</v>
      </c>
    </row>
    <row r="1501" ht="22.5" customHeight="1">
      <c r="A1501" s="7" t="s">
        <v>2327</v>
      </c>
      <c r="B1501" s="8" t="s">
        <v>6605</v>
      </c>
      <c r="C1501" s="7" t="s">
        <v>6606</v>
      </c>
      <c r="D1501" s="7" t="s">
        <v>16</v>
      </c>
      <c r="E1501" s="7" t="s">
        <v>3799</v>
      </c>
      <c r="F1501" s="7" t="s">
        <v>16</v>
      </c>
    </row>
    <row r="1502" ht="22.5" customHeight="1">
      <c r="A1502" s="7" t="s">
        <v>2327</v>
      </c>
      <c r="B1502" s="8" t="s">
        <v>6605</v>
      </c>
      <c r="C1502" s="7" t="s">
        <v>6607</v>
      </c>
      <c r="D1502" s="7" t="s">
        <v>26</v>
      </c>
      <c r="E1502" s="7" t="s">
        <v>16</v>
      </c>
      <c r="F1502" s="7" t="s">
        <v>16</v>
      </c>
    </row>
    <row r="1503" ht="22.5" customHeight="1">
      <c r="A1503" s="7" t="s">
        <v>2725</v>
      </c>
      <c r="B1503" s="8" t="s">
        <v>6608</v>
      </c>
      <c r="C1503" s="7" t="s">
        <v>6609</v>
      </c>
      <c r="D1503" s="7" t="s">
        <v>16</v>
      </c>
      <c r="E1503" s="7" t="s">
        <v>3799</v>
      </c>
      <c r="F1503" s="7" t="s">
        <v>3879</v>
      </c>
    </row>
    <row r="1504" ht="22.5" customHeight="1">
      <c r="A1504" s="7" t="s">
        <v>3827</v>
      </c>
      <c r="B1504" s="8" t="s">
        <v>6610</v>
      </c>
      <c r="C1504" s="7" t="s">
        <v>6611</v>
      </c>
      <c r="D1504" s="7" t="s">
        <v>16</v>
      </c>
      <c r="E1504" s="7" t="s">
        <v>3799</v>
      </c>
      <c r="F1504" s="7" t="s">
        <v>4107</v>
      </c>
    </row>
    <row r="1505" ht="22.5" customHeight="1">
      <c r="A1505" s="7" t="s">
        <v>2725</v>
      </c>
      <c r="B1505" s="8" t="s">
        <v>6612</v>
      </c>
      <c r="C1505" s="7" t="s">
        <v>6613</v>
      </c>
      <c r="D1505" s="7" t="s">
        <v>16</v>
      </c>
      <c r="E1505" s="7" t="s">
        <v>3799</v>
      </c>
      <c r="F1505" s="7" t="s">
        <v>16</v>
      </c>
    </row>
    <row r="1506" ht="22.5" customHeight="1">
      <c r="A1506" s="7" t="s">
        <v>3807</v>
      </c>
      <c r="B1506" s="8" t="s">
        <v>6614</v>
      </c>
      <c r="C1506" s="7" t="s">
        <v>6615</v>
      </c>
      <c r="D1506" s="7" t="s">
        <v>16</v>
      </c>
      <c r="E1506" s="7" t="s">
        <v>3803</v>
      </c>
      <c r="F1506" s="7" t="s">
        <v>16</v>
      </c>
    </row>
    <row r="1507" ht="22.5" customHeight="1">
      <c r="A1507" s="7" t="s">
        <v>3807</v>
      </c>
      <c r="B1507" s="8" t="s">
        <v>6616</v>
      </c>
      <c r="C1507" s="7" t="s">
        <v>6617</v>
      </c>
      <c r="D1507" s="7" t="s">
        <v>26</v>
      </c>
      <c r="E1507" s="7" t="s">
        <v>16</v>
      </c>
      <c r="F1507" s="7" t="s">
        <v>16</v>
      </c>
    </row>
    <row r="1508" ht="22.5" customHeight="1">
      <c r="A1508" s="7" t="s">
        <v>3807</v>
      </c>
      <c r="B1508" s="8" t="s">
        <v>6616</v>
      </c>
      <c r="C1508" s="7" t="s">
        <v>6618</v>
      </c>
      <c r="D1508" s="7" t="s">
        <v>26</v>
      </c>
      <c r="E1508" s="7" t="s">
        <v>16</v>
      </c>
      <c r="F1508" s="7" t="s">
        <v>16</v>
      </c>
    </row>
    <row r="1509" ht="22.5" customHeight="1">
      <c r="A1509" s="7" t="s">
        <v>2327</v>
      </c>
      <c r="B1509" s="8" t="s">
        <v>6619</v>
      </c>
      <c r="C1509" s="7" t="s">
        <v>6620</v>
      </c>
      <c r="D1509" s="7" t="s">
        <v>16</v>
      </c>
      <c r="E1509" s="7" t="s">
        <v>3812</v>
      </c>
      <c r="F1509" s="7" t="s">
        <v>16</v>
      </c>
    </row>
    <row r="1510" ht="22.5" customHeight="1">
      <c r="A1510" s="7" t="s">
        <v>2327</v>
      </c>
      <c r="B1510" s="8" t="s">
        <v>6619</v>
      </c>
      <c r="C1510" s="7" t="s">
        <v>6621</v>
      </c>
      <c r="D1510" s="7" t="s">
        <v>26</v>
      </c>
      <c r="E1510" s="7" t="s">
        <v>16</v>
      </c>
      <c r="F1510" s="7" t="s">
        <v>16</v>
      </c>
    </row>
    <row r="1511" ht="22.5" customHeight="1">
      <c r="A1511" s="7" t="s">
        <v>3837</v>
      </c>
      <c r="B1511" s="8" t="s">
        <v>6622</v>
      </c>
      <c r="C1511" s="7" t="s">
        <v>6623</v>
      </c>
      <c r="D1511" s="7" t="s">
        <v>16</v>
      </c>
      <c r="E1511" s="7" t="s">
        <v>3799</v>
      </c>
      <c r="F1511" s="7" t="s">
        <v>16</v>
      </c>
    </row>
    <row r="1512" ht="22.5" customHeight="1">
      <c r="A1512" s="7" t="s">
        <v>3837</v>
      </c>
      <c r="B1512" s="8" t="s">
        <v>6622</v>
      </c>
      <c r="C1512" s="7" t="s">
        <v>6624</v>
      </c>
      <c r="D1512" s="7" t="s">
        <v>26</v>
      </c>
      <c r="E1512" s="7" t="s">
        <v>16</v>
      </c>
      <c r="F1512" s="7" t="s">
        <v>16</v>
      </c>
    </row>
    <row r="1513" ht="22.5" customHeight="1">
      <c r="A1513" s="7" t="s">
        <v>3837</v>
      </c>
      <c r="B1513" s="8" t="s">
        <v>6622</v>
      </c>
      <c r="C1513" s="7" t="s">
        <v>6625</v>
      </c>
      <c r="D1513" s="7" t="s">
        <v>26</v>
      </c>
      <c r="E1513" s="7" t="s">
        <v>16</v>
      </c>
      <c r="F1513" s="7" t="s">
        <v>16</v>
      </c>
    </row>
    <row r="1514" ht="22.5" customHeight="1">
      <c r="A1514" s="7" t="s">
        <v>3827</v>
      </c>
      <c r="B1514" s="8" t="s">
        <v>6626</v>
      </c>
      <c r="C1514" s="7" t="s">
        <v>6627</v>
      </c>
      <c r="D1514" s="7" t="s">
        <v>26</v>
      </c>
      <c r="E1514" s="7" t="s">
        <v>16</v>
      </c>
      <c r="F1514" s="7" t="s">
        <v>16</v>
      </c>
    </row>
    <row r="1515" ht="22.5" customHeight="1">
      <c r="A1515" s="7" t="s">
        <v>2327</v>
      </c>
      <c r="B1515" s="8" t="s">
        <v>6628</v>
      </c>
      <c r="C1515" s="7" t="s">
        <v>6629</v>
      </c>
      <c r="D1515" s="7" t="s">
        <v>26</v>
      </c>
      <c r="E1515" s="7" t="s">
        <v>16</v>
      </c>
      <c r="F1515" s="7" t="s">
        <v>16</v>
      </c>
    </row>
    <row r="1516" ht="22.5" customHeight="1">
      <c r="A1516" s="7" t="s">
        <v>3827</v>
      </c>
      <c r="B1516" s="8" t="s">
        <v>6630</v>
      </c>
      <c r="C1516" s="7" t="s">
        <v>6631</v>
      </c>
      <c r="D1516" s="7" t="s">
        <v>26</v>
      </c>
      <c r="E1516" s="7" t="s">
        <v>16</v>
      </c>
      <c r="F1516" s="7" t="s">
        <v>16</v>
      </c>
    </row>
    <row r="1517" ht="22.5" customHeight="1">
      <c r="A1517" s="7" t="s">
        <v>2327</v>
      </c>
      <c r="B1517" s="8" t="s">
        <v>6632</v>
      </c>
      <c r="C1517" s="7" t="s">
        <v>6633</v>
      </c>
      <c r="D1517" s="7" t="s">
        <v>16</v>
      </c>
      <c r="E1517" s="7" t="s">
        <v>3799</v>
      </c>
      <c r="F1517" s="7" t="s">
        <v>16</v>
      </c>
    </row>
    <row r="1518" ht="22.5" customHeight="1">
      <c r="A1518" s="7" t="s">
        <v>2725</v>
      </c>
      <c r="B1518" s="8" t="s">
        <v>6634</v>
      </c>
      <c r="C1518" s="7" t="s">
        <v>6635</v>
      </c>
      <c r="D1518" s="7" t="s">
        <v>16</v>
      </c>
      <c r="E1518" s="7" t="s">
        <v>3799</v>
      </c>
      <c r="F1518" s="7" t="s">
        <v>16</v>
      </c>
    </row>
    <row r="1519" ht="22.5" customHeight="1">
      <c r="A1519" s="7" t="s">
        <v>3800</v>
      </c>
      <c r="B1519" s="8" t="s">
        <v>6636</v>
      </c>
      <c r="C1519" s="7" t="s">
        <v>6637</v>
      </c>
      <c r="D1519" s="7" t="s">
        <v>16</v>
      </c>
      <c r="E1519" s="7" t="s">
        <v>3806</v>
      </c>
      <c r="F1519" s="7" t="s">
        <v>16</v>
      </c>
    </row>
    <row r="1520" ht="22.5" customHeight="1">
      <c r="A1520" s="7" t="s">
        <v>2725</v>
      </c>
      <c r="B1520" s="8" t="s">
        <v>6638</v>
      </c>
      <c r="C1520" s="7" t="s">
        <v>6639</v>
      </c>
      <c r="D1520" s="7" t="s">
        <v>16</v>
      </c>
      <c r="E1520" s="7" t="s">
        <v>3799</v>
      </c>
      <c r="F1520" s="7" t="s">
        <v>16</v>
      </c>
    </row>
    <row r="1521" ht="22.5" customHeight="1">
      <c r="A1521" s="7" t="s">
        <v>3800</v>
      </c>
      <c r="B1521" s="8" t="s">
        <v>6640</v>
      </c>
      <c r="C1521" s="7" t="s">
        <v>6641</v>
      </c>
      <c r="D1521" s="7" t="s">
        <v>16</v>
      </c>
      <c r="E1521" s="7" t="s">
        <v>3799</v>
      </c>
      <c r="F1521" s="7" t="s">
        <v>16</v>
      </c>
    </row>
    <row r="1522" ht="22.5" customHeight="1">
      <c r="A1522" s="7" t="s">
        <v>3800</v>
      </c>
      <c r="B1522" s="8" t="s">
        <v>6642</v>
      </c>
      <c r="C1522" s="7" t="s">
        <v>6643</v>
      </c>
      <c r="D1522" s="7" t="s">
        <v>26</v>
      </c>
      <c r="E1522" s="7" t="s">
        <v>16</v>
      </c>
      <c r="F1522" s="7" t="s">
        <v>16</v>
      </c>
    </row>
    <row r="1523" ht="22.5" customHeight="1">
      <c r="A1523" s="7" t="s">
        <v>3800</v>
      </c>
      <c r="B1523" s="8" t="s">
        <v>6644</v>
      </c>
      <c r="C1523" s="7" t="s">
        <v>6645</v>
      </c>
      <c r="D1523" s="7" t="s">
        <v>26</v>
      </c>
      <c r="E1523" s="7" t="s">
        <v>16</v>
      </c>
      <c r="F1523" s="7" t="s">
        <v>16</v>
      </c>
    </row>
    <row r="1524" ht="22.5" customHeight="1">
      <c r="A1524" s="7" t="s">
        <v>2327</v>
      </c>
      <c r="B1524" s="8" t="s">
        <v>6646</v>
      </c>
      <c r="C1524" s="7" t="s">
        <v>6647</v>
      </c>
      <c r="D1524" s="7" t="s">
        <v>16</v>
      </c>
      <c r="E1524" s="7" t="s">
        <v>3799</v>
      </c>
      <c r="F1524" s="7" t="s">
        <v>16</v>
      </c>
    </row>
    <row r="1525" ht="22.5" customHeight="1">
      <c r="A1525" s="7" t="s">
        <v>2327</v>
      </c>
      <c r="B1525" s="8" t="s">
        <v>6646</v>
      </c>
      <c r="C1525" s="7" t="s">
        <v>6648</v>
      </c>
      <c r="D1525" s="7" t="s">
        <v>16</v>
      </c>
      <c r="E1525" s="7" t="s">
        <v>3799</v>
      </c>
      <c r="F1525" s="7" t="s">
        <v>16</v>
      </c>
    </row>
    <row r="1526" ht="22.5" customHeight="1">
      <c r="A1526" s="7" t="s">
        <v>3800</v>
      </c>
      <c r="B1526" s="8" t="s">
        <v>6649</v>
      </c>
      <c r="C1526" s="7" t="s">
        <v>6650</v>
      </c>
      <c r="D1526" s="7" t="s">
        <v>151</v>
      </c>
      <c r="E1526" s="7" t="s">
        <v>3806</v>
      </c>
      <c r="F1526" s="7" t="s">
        <v>16</v>
      </c>
    </row>
    <row r="1527" ht="22.5" customHeight="1">
      <c r="A1527" s="7" t="s">
        <v>3800</v>
      </c>
      <c r="B1527" s="8" t="s">
        <v>6651</v>
      </c>
      <c r="C1527" s="7" t="s">
        <v>6652</v>
      </c>
      <c r="D1527" s="7" t="s">
        <v>16</v>
      </c>
      <c r="E1527" s="7" t="s">
        <v>3803</v>
      </c>
      <c r="F1527" s="7" t="s">
        <v>3850</v>
      </c>
    </row>
    <row r="1528" ht="22.5" customHeight="1">
      <c r="A1528" s="7" t="s">
        <v>3800</v>
      </c>
      <c r="B1528" s="8" t="s">
        <v>6653</v>
      </c>
      <c r="C1528" s="7" t="s">
        <v>6654</v>
      </c>
      <c r="D1528" s="7" t="s">
        <v>26</v>
      </c>
      <c r="E1528" s="7" t="s">
        <v>16</v>
      </c>
      <c r="F1528" s="7" t="s">
        <v>16</v>
      </c>
    </row>
    <row r="1529" ht="22.5" customHeight="1">
      <c r="A1529" s="7" t="s">
        <v>3800</v>
      </c>
      <c r="B1529" s="8" t="s">
        <v>6655</v>
      </c>
      <c r="C1529" s="7" t="s">
        <v>6656</v>
      </c>
      <c r="D1529" s="7" t="s">
        <v>26</v>
      </c>
      <c r="E1529" s="7" t="s">
        <v>16</v>
      </c>
      <c r="F1529" s="7" t="s">
        <v>16</v>
      </c>
    </row>
    <row r="1530" ht="22.5" customHeight="1">
      <c r="A1530" s="7" t="s">
        <v>3800</v>
      </c>
      <c r="B1530" s="8" t="s">
        <v>6657</v>
      </c>
      <c r="C1530" s="7" t="s">
        <v>6658</v>
      </c>
      <c r="D1530" s="7" t="s">
        <v>16</v>
      </c>
      <c r="E1530" s="7" t="s">
        <v>3806</v>
      </c>
      <c r="F1530" s="7" t="s">
        <v>16</v>
      </c>
    </row>
    <row r="1531" ht="22.5" customHeight="1">
      <c r="A1531" s="7" t="s">
        <v>3800</v>
      </c>
      <c r="B1531" s="8" t="s">
        <v>6659</v>
      </c>
      <c r="C1531" s="7" t="s">
        <v>6660</v>
      </c>
      <c r="D1531" s="7" t="s">
        <v>16</v>
      </c>
      <c r="E1531" s="7" t="s">
        <v>3799</v>
      </c>
      <c r="F1531" s="7" t="s">
        <v>5024</v>
      </c>
    </row>
    <row r="1532" ht="22.5" customHeight="1">
      <c r="A1532" s="7" t="s">
        <v>3807</v>
      </c>
      <c r="B1532" s="8" t="s">
        <v>6661</v>
      </c>
      <c r="C1532" s="7" t="s">
        <v>6662</v>
      </c>
      <c r="D1532" s="7" t="s">
        <v>26</v>
      </c>
      <c r="E1532" s="7" t="s">
        <v>16</v>
      </c>
      <c r="F1532" s="7" t="s">
        <v>16</v>
      </c>
    </row>
    <row r="1533" ht="22.5" customHeight="1">
      <c r="A1533" s="7" t="s">
        <v>3807</v>
      </c>
      <c r="B1533" s="8" t="s">
        <v>6663</v>
      </c>
      <c r="C1533" s="7" t="s">
        <v>6664</v>
      </c>
      <c r="D1533" s="7" t="s">
        <v>26</v>
      </c>
      <c r="E1533" s="7" t="s">
        <v>16</v>
      </c>
      <c r="F1533" s="7" t="s">
        <v>16</v>
      </c>
    </row>
    <row r="1534" ht="22.5" customHeight="1">
      <c r="A1534" s="7" t="s">
        <v>3807</v>
      </c>
      <c r="B1534" s="8" t="s">
        <v>6665</v>
      </c>
      <c r="C1534" s="7" t="s">
        <v>6666</v>
      </c>
      <c r="D1534" s="7" t="s">
        <v>26</v>
      </c>
      <c r="E1534" s="7" t="s">
        <v>16</v>
      </c>
      <c r="F1534" s="7" t="s">
        <v>16</v>
      </c>
    </row>
    <row r="1535" ht="22.5" customHeight="1">
      <c r="A1535" s="7" t="s">
        <v>3807</v>
      </c>
      <c r="B1535" s="8" t="s">
        <v>6667</v>
      </c>
      <c r="C1535" s="7" t="s">
        <v>6668</v>
      </c>
      <c r="D1535" s="7" t="s">
        <v>16</v>
      </c>
      <c r="E1535" s="7" t="s">
        <v>3806</v>
      </c>
      <c r="F1535" s="7" t="s">
        <v>16</v>
      </c>
    </row>
    <row r="1536" ht="22.5" customHeight="1">
      <c r="A1536" s="7" t="s">
        <v>3871</v>
      </c>
      <c r="B1536" s="8" t="s">
        <v>6669</v>
      </c>
      <c r="C1536" s="7" t="s">
        <v>6670</v>
      </c>
      <c r="D1536" s="7" t="s">
        <v>26</v>
      </c>
      <c r="E1536" s="7" t="s">
        <v>16</v>
      </c>
      <c r="F1536" s="7" t="s">
        <v>16</v>
      </c>
    </row>
    <row r="1537" ht="22.5" customHeight="1">
      <c r="A1537" s="7" t="s">
        <v>3871</v>
      </c>
      <c r="B1537" s="8" t="s">
        <v>6669</v>
      </c>
      <c r="C1537" s="7" t="s">
        <v>6671</v>
      </c>
      <c r="D1537" s="7" t="s">
        <v>26</v>
      </c>
      <c r="E1537" s="7" t="s">
        <v>16</v>
      </c>
      <c r="F1537" s="7" t="s">
        <v>16</v>
      </c>
    </row>
    <row r="1538" ht="22.5" customHeight="1">
      <c r="A1538" s="7" t="s">
        <v>3871</v>
      </c>
      <c r="B1538" s="8" t="s">
        <v>6669</v>
      </c>
      <c r="C1538" s="7" t="s">
        <v>6672</v>
      </c>
      <c r="D1538" s="7" t="s">
        <v>26</v>
      </c>
      <c r="E1538" s="7" t="s">
        <v>16</v>
      </c>
      <c r="F1538" s="7" t="s">
        <v>16</v>
      </c>
    </row>
    <row r="1539" ht="22.5" customHeight="1">
      <c r="A1539" s="7" t="s">
        <v>3800</v>
      </c>
      <c r="B1539" s="8" t="s">
        <v>6673</v>
      </c>
      <c r="C1539" s="7" t="s">
        <v>6674</v>
      </c>
      <c r="D1539" s="7" t="s">
        <v>26</v>
      </c>
      <c r="E1539" s="7" t="s">
        <v>16</v>
      </c>
      <c r="F1539" s="7" t="s">
        <v>16</v>
      </c>
    </row>
    <row r="1540" ht="22.5" customHeight="1">
      <c r="A1540" s="7" t="s">
        <v>3827</v>
      </c>
      <c r="B1540" s="8" t="s">
        <v>6675</v>
      </c>
      <c r="C1540" s="7" t="s">
        <v>6676</v>
      </c>
      <c r="D1540" s="7" t="s">
        <v>26</v>
      </c>
      <c r="E1540" s="7" t="s">
        <v>16</v>
      </c>
      <c r="F1540" s="7" t="s">
        <v>16</v>
      </c>
    </row>
    <row r="1541" ht="22.5" customHeight="1">
      <c r="A1541" s="7" t="s">
        <v>2327</v>
      </c>
      <c r="B1541" s="8" t="s">
        <v>6677</v>
      </c>
      <c r="C1541" s="7" t="s">
        <v>6678</v>
      </c>
      <c r="D1541" s="7" t="s">
        <v>3850</v>
      </c>
      <c r="E1541" s="7" t="s">
        <v>3803</v>
      </c>
      <c r="F1541" s="7" t="s">
        <v>3850</v>
      </c>
    </row>
    <row r="1542" ht="22.5" customHeight="1">
      <c r="A1542" s="7" t="s">
        <v>3807</v>
      </c>
      <c r="B1542" s="8" t="s">
        <v>6679</v>
      </c>
      <c r="C1542" s="7" t="s">
        <v>6680</v>
      </c>
      <c r="D1542" s="7" t="s">
        <v>26</v>
      </c>
      <c r="E1542" s="7" t="s">
        <v>16</v>
      </c>
      <c r="F1542" s="7" t="s">
        <v>16</v>
      </c>
    </row>
    <row r="1543" ht="22.5" customHeight="1">
      <c r="A1543" s="7" t="s">
        <v>3827</v>
      </c>
      <c r="B1543" s="8" t="s">
        <v>6681</v>
      </c>
      <c r="C1543" s="7" t="s">
        <v>6682</v>
      </c>
      <c r="D1543" s="7" t="s">
        <v>26</v>
      </c>
      <c r="E1543" s="7" t="s">
        <v>16</v>
      </c>
      <c r="F1543" s="7" t="s">
        <v>16</v>
      </c>
    </row>
    <row r="1544" ht="22.5" customHeight="1">
      <c r="A1544" s="7" t="s">
        <v>2725</v>
      </c>
      <c r="B1544" s="8" t="s">
        <v>6683</v>
      </c>
      <c r="C1544" s="7" t="s">
        <v>6684</v>
      </c>
      <c r="D1544" s="7" t="s">
        <v>16</v>
      </c>
      <c r="E1544" s="7" t="s">
        <v>3806</v>
      </c>
      <c r="F1544" s="7" t="s">
        <v>3884</v>
      </c>
    </row>
    <row r="1545" ht="22.5" customHeight="1">
      <c r="A1545" s="7" t="s">
        <v>2725</v>
      </c>
      <c r="B1545" s="8" t="s">
        <v>6685</v>
      </c>
      <c r="C1545" s="7" t="s">
        <v>6686</v>
      </c>
      <c r="D1545" s="7" t="s">
        <v>16</v>
      </c>
      <c r="E1545" s="7" t="s">
        <v>3806</v>
      </c>
      <c r="F1545" s="7" t="s">
        <v>16</v>
      </c>
    </row>
    <row r="1546" ht="22.5" customHeight="1">
      <c r="A1546" s="7" t="s">
        <v>2725</v>
      </c>
      <c r="B1546" s="8" t="s">
        <v>6687</v>
      </c>
      <c r="C1546" s="7" t="s">
        <v>6688</v>
      </c>
      <c r="D1546" s="7" t="s">
        <v>16</v>
      </c>
      <c r="E1546" s="7" t="s">
        <v>3806</v>
      </c>
      <c r="F1546" s="7" t="s">
        <v>16</v>
      </c>
    </row>
    <row r="1547" ht="22.5" customHeight="1">
      <c r="A1547" s="7" t="s">
        <v>3800</v>
      </c>
      <c r="B1547" s="8" t="s">
        <v>6689</v>
      </c>
      <c r="C1547" s="7" t="s">
        <v>6690</v>
      </c>
      <c r="D1547" s="7" t="s">
        <v>16</v>
      </c>
      <c r="E1547" s="7" t="s">
        <v>3799</v>
      </c>
      <c r="F1547" s="7" t="s">
        <v>3879</v>
      </c>
    </row>
    <row r="1548" ht="22.5" customHeight="1">
      <c r="A1548" s="7" t="s">
        <v>3800</v>
      </c>
      <c r="B1548" s="8" t="s">
        <v>6691</v>
      </c>
      <c r="C1548" s="7" t="s">
        <v>6692</v>
      </c>
      <c r="D1548" s="7" t="s">
        <v>16</v>
      </c>
      <c r="E1548" s="7" t="s">
        <v>3812</v>
      </c>
      <c r="F1548" s="7" t="s">
        <v>3879</v>
      </c>
    </row>
    <row r="1549" ht="22.5" customHeight="1">
      <c r="A1549" s="7" t="s">
        <v>2327</v>
      </c>
      <c r="B1549" s="8" t="s">
        <v>6693</v>
      </c>
      <c r="C1549" s="7" t="s">
        <v>6694</v>
      </c>
      <c r="D1549" s="7" t="s">
        <v>16</v>
      </c>
      <c r="E1549" s="7" t="s">
        <v>3806</v>
      </c>
      <c r="F1549" s="7" t="s">
        <v>16</v>
      </c>
    </row>
    <row r="1550" ht="22.5" customHeight="1">
      <c r="A1550" s="7" t="s">
        <v>3827</v>
      </c>
      <c r="B1550" s="8" t="s">
        <v>6695</v>
      </c>
      <c r="C1550" s="7" t="s">
        <v>6696</v>
      </c>
      <c r="D1550" s="7" t="s">
        <v>26</v>
      </c>
      <c r="E1550" s="7" t="s">
        <v>16</v>
      </c>
      <c r="F1550" s="7" t="s">
        <v>16</v>
      </c>
    </row>
    <row r="1551" ht="22.5" customHeight="1">
      <c r="A1551" s="7" t="s">
        <v>3837</v>
      </c>
      <c r="B1551" s="8" t="s">
        <v>6697</v>
      </c>
      <c r="C1551" s="7" t="s">
        <v>6698</v>
      </c>
      <c r="D1551" s="7" t="s">
        <v>16</v>
      </c>
      <c r="E1551" s="7" t="s">
        <v>3812</v>
      </c>
      <c r="F1551" s="7" t="s">
        <v>16</v>
      </c>
    </row>
    <row r="1552" ht="22.5" customHeight="1">
      <c r="A1552" s="7" t="s">
        <v>2725</v>
      </c>
      <c r="B1552" s="8" t="s">
        <v>6699</v>
      </c>
      <c r="C1552" s="7" t="s">
        <v>6700</v>
      </c>
      <c r="D1552" s="7" t="s">
        <v>26</v>
      </c>
      <c r="E1552" s="7" t="s">
        <v>16</v>
      </c>
      <c r="F1552" s="7" t="s">
        <v>16</v>
      </c>
    </row>
    <row r="1553" ht="22.5" customHeight="1">
      <c r="A1553" s="7" t="s">
        <v>3807</v>
      </c>
      <c r="B1553" s="8" t="s">
        <v>6701</v>
      </c>
      <c r="C1553" s="7" t="s">
        <v>6702</v>
      </c>
      <c r="D1553" s="7" t="s">
        <v>16</v>
      </c>
      <c r="E1553" s="7" t="s">
        <v>3803</v>
      </c>
      <c r="F1553" s="7" t="s">
        <v>3850</v>
      </c>
    </row>
    <row r="1554" ht="22.5" customHeight="1">
      <c r="A1554" s="7" t="s">
        <v>2725</v>
      </c>
      <c r="B1554" s="8" t="s">
        <v>6703</v>
      </c>
      <c r="C1554" s="7" t="s">
        <v>6704</v>
      </c>
      <c r="D1554" s="7" t="s">
        <v>16</v>
      </c>
      <c r="E1554" s="7" t="s">
        <v>3803</v>
      </c>
      <c r="F1554" s="7" t="s">
        <v>3850</v>
      </c>
    </row>
    <row r="1555" ht="22.5" customHeight="1">
      <c r="A1555" s="7" t="s">
        <v>3807</v>
      </c>
      <c r="B1555" s="8" t="s">
        <v>6705</v>
      </c>
      <c r="C1555" s="7" t="s">
        <v>6706</v>
      </c>
      <c r="D1555" s="7" t="s">
        <v>26</v>
      </c>
      <c r="E1555" s="7" t="s">
        <v>16</v>
      </c>
      <c r="F1555" s="7" t="s">
        <v>16</v>
      </c>
    </row>
    <row r="1556" ht="22.5" customHeight="1">
      <c r="A1556" s="7" t="s">
        <v>3827</v>
      </c>
      <c r="B1556" s="8" t="s">
        <v>6707</v>
      </c>
      <c r="C1556" s="7" t="s">
        <v>6708</v>
      </c>
      <c r="D1556" s="7" t="s">
        <v>26</v>
      </c>
      <c r="E1556" s="7" t="s">
        <v>16</v>
      </c>
      <c r="F1556" s="7" t="s">
        <v>16</v>
      </c>
    </row>
    <row r="1557" ht="22.5" customHeight="1">
      <c r="A1557" s="7" t="s">
        <v>2327</v>
      </c>
      <c r="B1557" s="8" t="s">
        <v>6709</v>
      </c>
      <c r="C1557" s="7" t="s">
        <v>6710</v>
      </c>
      <c r="D1557" s="7" t="s">
        <v>16</v>
      </c>
      <c r="E1557" s="7" t="s">
        <v>3799</v>
      </c>
      <c r="F1557" s="7" t="s">
        <v>3850</v>
      </c>
    </row>
    <row r="1558" ht="22.5" customHeight="1">
      <c r="A1558" s="7" t="s">
        <v>2327</v>
      </c>
      <c r="B1558" s="8" t="s">
        <v>6709</v>
      </c>
      <c r="C1558" s="7" t="s">
        <v>6711</v>
      </c>
      <c r="D1558" s="7" t="s">
        <v>26</v>
      </c>
      <c r="E1558" s="7" t="s">
        <v>16</v>
      </c>
      <c r="F1558" s="7" t="s">
        <v>16</v>
      </c>
    </row>
    <row r="1559" ht="22.5" customHeight="1">
      <c r="A1559" s="7" t="s">
        <v>2327</v>
      </c>
      <c r="B1559" s="8" t="s">
        <v>6709</v>
      </c>
      <c r="C1559" s="7" t="s">
        <v>6712</v>
      </c>
      <c r="D1559" s="7" t="s">
        <v>26</v>
      </c>
      <c r="E1559" s="7" t="s">
        <v>16</v>
      </c>
      <c r="F1559" s="7" t="s">
        <v>16</v>
      </c>
    </row>
    <row r="1560" ht="22.5" customHeight="1">
      <c r="A1560" s="7" t="s">
        <v>2327</v>
      </c>
      <c r="B1560" s="8" t="s">
        <v>6709</v>
      </c>
      <c r="C1560" s="7" t="s">
        <v>6713</v>
      </c>
      <c r="D1560" s="7" t="s">
        <v>26</v>
      </c>
      <c r="E1560" s="7" t="s">
        <v>16</v>
      </c>
      <c r="F1560" s="7" t="s">
        <v>16</v>
      </c>
    </row>
    <row r="1561" ht="22.5" customHeight="1">
      <c r="A1561" s="7" t="s">
        <v>2327</v>
      </c>
      <c r="B1561" s="8" t="s">
        <v>6714</v>
      </c>
      <c r="C1561" s="7" t="s">
        <v>6715</v>
      </c>
      <c r="D1561" s="7" t="s">
        <v>26</v>
      </c>
      <c r="E1561" s="7" t="s">
        <v>16</v>
      </c>
      <c r="F1561" s="7" t="s">
        <v>16</v>
      </c>
    </row>
    <row r="1562" ht="22.5" customHeight="1">
      <c r="A1562" s="7" t="s">
        <v>2327</v>
      </c>
      <c r="B1562" s="8" t="s">
        <v>6716</v>
      </c>
      <c r="C1562" s="7" t="s">
        <v>6717</v>
      </c>
      <c r="D1562" s="7" t="s">
        <v>26</v>
      </c>
      <c r="E1562" s="7" t="s">
        <v>16</v>
      </c>
      <c r="F1562" s="7" t="s">
        <v>16</v>
      </c>
    </row>
    <row r="1563" ht="22.5" customHeight="1">
      <c r="A1563" s="7" t="s">
        <v>2327</v>
      </c>
      <c r="B1563" s="8" t="s">
        <v>6718</v>
      </c>
      <c r="C1563" s="7" t="s">
        <v>6719</v>
      </c>
      <c r="D1563" s="7" t="s">
        <v>26</v>
      </c>
      <c r="E1563" s="7" t="s">
        <v>16</v>
      </c>
      <c r="F1563" s="7" t="s">
        <v>16</v>
      </c>
    </row>
    <row r="1564" ht="22.5" customHeight="1">
      <c r="A1564" s="7" t="s">
        <v>2327</v>
      </c>
      <c r="B1564" s="8" t="s">
        <v>6720</v>
      </c>
      <c r="C1564" s="7" t="s">
        <v>6721</v>
      </c>
      <c r="D1564" s="7" t="s">
        <v>26</v>
      </c>
      <c r="E1564" s="7" t="s">
        <v>16</v>
      </c>
      <c r="F1564" s="7" t="s">
        <v>16</v>
      </c>
    </row>
    <row r="1565" ht="22.5" customHeight="1">
      <c r="A1565" s="7" t="s">
        <v>3827</v>
      </c>
      <c r="B1565" s="8" t="s">
        <v>6722</v>
      </c>
      <c r="C1565" s="7" t="s">
        <v>6723</v>
      </c>
      <c r="D1565" s="7" t="s">
        <v>16</v>
      </c>
      <c r="E1565" s="7" t="s">
        <v>3799</v>
      </c>
      <c r="F1565" s="7" t="s">
        <v>16</v>
      </c>
    </row>
    <row r="1566" ht="22.5" customHeight="1">
      <c r="A1566" s="7" t="s">
        <v>3827</v>
      </c>
      <c r="B1566" s="8" t="s">
        <v>6724</v>
      </c>
      <c r="C1566" s="7" t="s">
        <v>6725</v>
      </c>
      <c r="D1566" s="7" t="s">
        <v>16</v>
      </c>
      <c r="E1566" s="7" t="s">
        <v>3799</v>
      </c>
      <c r="F1566" s="7" t="s">
        <v>16</v>
      </c>
    </row>
    <row r="1567" ht="22.5" customHeight="1">
      <c r="A1567" s="7" t="s">
        <v>3827</v>
      </c>
      <c r="B1567" s="8" t="s">
        <v>6724</v>
      </c>
      <c r="C1567" s="7" t="s">
        <v>6726</v>
      </c>
      <c r="D1567" s="7" t="s">
        <v>26</v>
      </c>
      <c r="E1567" s="7" t="s">
        <v>16</v>
      </c>
      <c r="F1567" s="7" t="s">
        <v>16</v>
      </c>
    </row>
    <row r="1568" ht="22.5" customHeight="1">
      <c r="A1568" s="7" t="s">
        <v>3800</v>
      </c>
      <c r="B1568" s="8" t="s">
        <v>6727</v>
      </c>
      <c r="C1568" s="7" t="s">
        <v>6728</v>
      </c>
      <c r="D1568" s="7" t="s">
        <v>16</v>
      </c>
      <c r="E1568" s="7" t="s">
        <v>3806</v>
      </c>
      <c r="F1568" s="7" t="s">
        <v>16</v>
      </c>
    </row>
    <row r="1569" ht="22.5" customHeight="1">
      <c r="A1569" s="7" t="s">
        <v>2725</v>
      </c>
      <c r="B1569" s="8" t="s">
        <v>6729</v>
      </c>
      <c r="C1569" s="7" t="s">
        <v>6730</v>
      </c>
      <c r="D1569" s="7" t="s">
        <v>16</v>
      </c>
      <c r="E1569" s="7" t="s">
        <v>3799</v>
      </c>
      <c r="F1569" s="7" t="s">
        <v>16</v>
      </c>
    </row>
    <row r="1570" ht="22.5" customHeight="1">
      <c r="A1570" s="7" t="s">
        <v>2725</v>
      </c>
      <c r="B1570" s="8" t="s">
        <v>6729</v>
      </c>
      <c r="C1570" s="7" t="s">
        <v>6731</v>
      </c>
      <c r="D1570" s="7" t="s">
        <v>26</v>
      </c>
      <c r="E1570" s="7" t="s">
        <v>16</v>
      </c>
      <c r="F1570" s="7" t="s">
        <v>16</v>
      </c>
    </row>
    <row r="1571" ht="22.5" customHeight="1">
      <c r="A1571" s="7" t="s">
        <v>3800</v>
      </c>
      <c r="B1571" s="8" t="s">
        <v>6732</v>
      </c>
      <c r="C1571" s="7" t="s">
        <v>6733</v>
      </c>
      <c r="D1571" s="7" t="s">
        <v>16</v>
      </c>
      <c r="E1571" s="7" t="s">
        <v>3806</v>
      </c>
      <c r="F1571" s="7" t="s">
        <v>16</v>
      </c>
    </row>
    <row r="1572" ht="22.5" customHeight="1">
      <c r="A1572" s="7" t="s">
        <v>3800</v>
      </c>
      <c r="B1572" s="8" t="s">
        <v>6734</v>
      </c>
      <c r="C1572" s="7" t="s">
        <v>6735</v>
      </c>
      <c r="D1572" s="7" t="s">
        <v>16</v>
      </c>
      <c r="E1572" s="7" t="s">
        <v>3799</v>
      </c>
      <c r="F1572" s="7" t="s">
        <v>3879</v>
      </c>
    </row>
    <row r="1573" ht="22.5" customHeight="1">
      <c r="A1573" s="7" t="s">
        <v>2725</v>
      </c>
      <c r="B1573" s="8" t="s">
        <v>6736</v>
      </c>
      <c r="C1573" s="7" t="s">
        <v>6737</v>
      </c>
      <c r="D1573" s="7" t="s">
        <v>16</v>
      </c>
      <c r="E1573" s="7" t="s">
        <v>3799</v>
      </c>
      <c r="F1573" s="7" t="s">
        <v>3879</v>
      </c>
    </row>
    <row r="1574" ht="22.5" customHeight="1">
      <c r="A1574" s="7" t="s">
        <v>3800</v>
      </c>
      <c r="B1574" s="8" t="s">
        <v>6738</v>
      </c>
      <c r="C1574" s="7" t="s">
        <v>6739</v>
      </c>
      <c r="D1574" s="7" t="s">
        <v>26</v>
      </c>
      <c r="E1574" s="7" t="s">
        <v>16</v>
      </c>
      <c r="F1574" s="7" t="s">
        <v>16</v>
      </c>
    </row>
    <row r="1575" ht="22.5" customHeight="1">
      <c r="A1575" s="7" t="s">
        <v>2725</v>
      </c>
      <c r="B1575" s="8" t="s">
        <v>6740</v>
      </c>
      <c r="C1575" s="7" t="s">
        <v>6741</v>
      </c>
      <c r="D1575" s="7" t="s">
        <v>26</v>
      </c>
      <c r="E1575" s="7" t="s">
        <v>16</v>
      </c>
      <c r="F1575" s="7" t="s">
        <v>16</v>
      </c>
    </row>
    <row r="1576" ht="22.5" customHeight="1">
      <c r="A1576" s="7" t="s">
        <v>3800</v>
      </c>
      <c r="B1576" s="8" t="s">
        <v>6742</v>
      </c>
      <c r="C1576" s="7" t="s">
        <v>6743</v>
      </c>
      <c r="D1576" s="7" t="s">
        <v>26</v>
      </c>
      <c r="E1576" s="7" t="s">
        <v>16</v>
      </c>
      <c r="F1576" s="7" t="s">
        <v>16</v>
      </c>
    </row>
    <row r="1577" ht="22.5" customHeight="1">
      <c r="A1577" s="7" t="s">
        <v>3800</v>
      </c>
      <c r="B1577" s="8" t="s">
        <v>6744</v>
      </c>
      <c r="C1577" s="7" t="s">
        <v>6745</v>
      </c>
      <c r="D1577" s="7" t="s">
        <v>26</v>
      </c>
      <c r="E1577" s="7" t="s">
        <v>16</v>
      </c>
      <c r="F1577" s="7" t="s">
        <v>16</v>
      </c>
    </row>
    <row r="1578" ht="22.5" customHeight="1">
      <c r="A1578" s="7" t="s">
        <v>3827</v>
      </c>
      <c r="B1578" s="8" t="s">
        <v>6746</v>
      </c>
      <c r="C1578" s="7" t="s">
        <v>6747</v>
      </c>
      <c r="D1578" s="7" t="s">
        <v>16</v>
      </c>
      <c r="E1578" s="7" t="s">
        <v>3799</v>
      </c>
      <c r="F1578" s="7" t="s">
        <v>16</v>
      </c>
    </row>
    <row r="1579" ht="22.5" customHeight="1">
      <c r="A1579" s="7" t="s">
        <v>3800</v>
      </c>
      <c r="B1579" s="8" t="s">
        <v>6748</v>
      </c>
      <c r="C1579" s="7" t="s">
        <v>6749</v>
      </c>
      <c r="D1579" s="7" t="s">
        <v>16</v>
      </c>
      <c r="E1579" s="7" t="s">
        <v>3806</v>
      </c>
      <c r="F1579" s="7" t="s">
        <v>16</v>
      </c>
    </row>
    <row r="1580" ht="22.5" customHeight="1">
      <c r="A1580" s="7" t="s">
        <v>3837</v>
      </c>
      <c r="B1580" s="8" t="s">
        <v>6750</v>
      </c>
      <c r="C1580" s="7" t="s">
        <v>6751</v>
      </c>
      <c r="D1580" s="7" t="s">
        <v>26</v>
      </c>
      <c r="E1580" s="7" t="s">
        <v>16</v>
      </c>
      <c r="F1580" s="7" t="s">
        <v>16</v>
      </c>
    </row>
    <row r="1581" ht="22.5" customHeight="1">
      <c r="A1581" s="7" t="s">
        <v>3800</v>
      </c>
      <c r="B1581" s="8" t="s">
        <v>6752</v>
      </c>
      <c r="C1581" s="7" t="s">
        <v>6753</v>
      </c>
      <c r="D1581" s="7" t="s">
        <v>26</v>
      </c>
      <c r="E1581" s="7" t="s">
        <v>16</v>
      </c>
      <c r="F1581" s="7" t="s">
        <v>16</v>
      </c>
    </row>
    <row r="1582" ht="22.5" customHeight="1">
      <c r="A1582" s="7" t="s">
        <v>3827</v>
      </c>
      <c r="B1582" s="8" t="s">
        <v>6754</v>
      </c>
      <c r="C1582" s="7" t="s">
        <v>6755</v>
      </c>
      <c r="D1582" s="7" t="s">
        <v>26</v>
      </c>
      <c r="E1582" s="7" t="s">
        <v>16</v>
      </c>
      <c r="F1582" s="7" t="s">
        <v>16</v>
      </c>
    </row>
    <row r="1583" ht="22.5" customHeight="1">
      <c r="A1583" s="7" t="s">
        <v>3800</v>
      </c>
      <c r="B1583" s="8" t="s">
        <v>6756</v>
      </c>
      <c r="C1583" s="7" t="s">
        <v>6757</v>
      </c>
      <c r="D1583" s="7" t="s">
        <v>26</v>
      </c>
      <c r="E1583" s="7" t="s">
        <v>16</v>
      </c>
      <c r="F1583" s="7" t="s">
        <v>16</v>
      </c>
    </row>
    <row r="1584" ht="22.5" customHeight="1">
      <c r="A1584" s="7" t="s">
        <v>3807</v>
      </c>
      <c r="B1584" s="8" t="s">
        <v>6758</v>
      </c>
      <c r="C1584" s="7" t="s">
        <v>6759</v>
      </c>
      <c r="D1584" s="7" t="s">
        <v>4510</v>
      </c>
      <c r="E1584" s="7" t="s">
        <v>3806</v>
      </c>
      <c r="F1584" s="7" t="s">
        <v>16</v>
      </c>
    </row>
    <row r="1585" ht="22.5" customHeight="1">
      <c r="A1585" s="7" t="s">
        <v>3807</v>
      </c>
      <c r="B1585" s="8" t="s">
        <v>6760</v>
      </c>
      <c r="C1585" s="7" t="s">
        <v>6761</v>
      </c>
      <c r="D1585" s="7" t="s">
        <v>26</v>
      </c>
      <c r="E1585" s="7" t="s">
        <v>16</v>
      </c>
      <c r="F1585" s="7" t="s">
        <v>16</v>
      </c>
    </row>
    <row r="1586" ht="22.5" customHeight="1">
      <c r="A1586" s="7" t="s">
        <v>2725</v>
      </c>
      <c r="B1586" s="8" t="s">
        <v>6762</v>
      </c>
      <c r="C1586" s="7" t="s">
        <v>6763</v>
      </c>
      <c r="D1586" s="7" t="s">
        <v>26</v>
      </c>
      <c r="E1586" s="7" t="s">
        <v>16</v>
      </c>
      <c r="F1586" s="7" t="s">
        <v>16</v>
      </c>
    </row>
    <row r="1587" ht="22.5" customHeight="1">
      <c r="A1587" s="7" t="s">
        <v>3807</v>
      </c>
      <c r="B1587" s="8" t="s">
        <v>6764</v>
      </c>
      <c r="C1587" s="7" t="s">
        <v>6765</v>
      </c>
      <c r="D1587" s="7" t="s">
        <v>26</v>
      </c>
      <c r="E1587" s="7" t="s">
        <v>16</v>
      </c>
      <c r="F1587" s="7" t="s">
        <v>16</v>
      </c>
    </row>
    <row r="1588" ht="22.5" customHeight="1">
      <c r="A1588" s="7" t="s">
        <v>3800</v>
      </c>
      <c r="B1588" s="8" t="s">
        <v>6766</v>
      </c>
      <c r="C1588" s="7" t="s">
        <v>6767</v>
      </c>
      <c r="D1588" s="7" t="s">
        <v>16</v>
      </c>
      <c r="E1588" s="7" t="s">
        <v>3803</v>
      </c>
      <c r="F1588" s="7" t="s">
        <v>3816</v>
      </c>
    </row>
    <row r="1589" ht="22.5" customHeight="1">
      <c r="A1589" s="7" t="s">
        <v>2725</v>
      </c>
      <c r="B1589" s="8" t="s">
        <v>6768</v>
      </c>
      <c r="C1589" s="7" t="s">
        <v>6769</v>
      </c>
      <c r="D1589" s="7" t="s">
        <v>26</v>
      </c>
      <c r="E1589" s="7" t="s">
        <v>16</v>
      </c>
      <c r="F1589" s="7" t="s">
        <v>16</v>
      </c>
    </row>
    <row r="1590" ht="22.5" customHeight="1">
      <c r="A1590" s="7" t="s">
        <v>3800</v>
      </c>
      <c r="B1590" s="8" t="s">
        <v>6770</v>
      </c>
      <c r="C1590" s="7" t="s">
        <v>6771</v>
      </c>
      <c r="D1590" s="7" t="s">
        <v>16</v>
      </c>
      <c r="E1590" s="7" t="s">
        <v>3806</v>
      </c>
      <c r="F1590" s="7" t="s">
        <v>16</v>
      </c>
    </row>
    <row r="1591" ht="22.5" customHeight="1">
      <c r="A1591" s="7" t="s">
        <v>3827</v>
      </c>
      <c r="B1591" s="8" t="s">
        <v>6772</v>
      </c>
      <c r="C1591" s="7" t="s">
        <v>6773</v>
      </c>
      <c r="D1591" s="7" t="s">
        <v>26</v>
      </c>
      <c r="E1591" s="7" t="s">
        <v>16</v>
      </c>
      <c r="F1591" s="7" t="s">
        <v>16</v>
      </c>
    </row>
    <row r="1592" ht="22.5" customHeight="1">
      <c r="A1592" s="7" t="s">
        <v>3800</v>
      </c>
      <c r="B1592" s="8" t="s">
        <v>6774</v>
      </c>
      <c r="C1592" s="7" t="s">
        <v>6775</v>
      </c>
      <c r="D1592" s="7" t="s">
        <v>26</v>
      </c>
      <c r="E1592" s="7" t="s">
        <v>16</v>
      </c>
      <c r="F1592" s="7" t="s">
        <v>16</v>
      </c>
    </row>
    <row r="1593" ht="22.5" customHeight="1">
      <c r="A1593" s="7" t="s">
        <v>3807</v>
      </c>
      <c r="B1593" s="8" t="s">
        <v>6776</v>
      </c>
      <c r="C1593" s="7" t="s">
        <v>6777</v>
      </c>
      <c r="D1593" s="7" t="s">
        <v>26</v>
      </c>
      <c r="E1593" s="7" t="s">
        <v>16</v>
      </c>
      <c r="F1593" s="7" t="s">
        <v>16</v>
      </c>
    </row>
    <row r="1594" ht="22.5" customHeight="1">
      <c r="A1594" s="7" t="s">
        <v>3800</v>
      </c>
      <c r="B1594" s="8" t="s">
        <v>6778</v>
      </c>
      <c r="C1594" s="7" t="s">
        <v>6779</v>
      </c>
      <c r="D1594" s="7" t="s">
        <v>26</v>
      </c>
      <c r="E1594" s="7" t="s">
        <v>16</v>
      </c>
      <c r="F1594" s="7" t="s">
        <v>16</v>
      </c>
    </row>
    <row r="1595" ht="22.5" customHeight="1">
      <c r="A1595" s="7" t="s">
        <v>3837</v>
      </c>
      <c r="B1595" s="8" t="s">
        <v>6780</v>
      </c>
      <c r="C1595" s="7" t="s">
        <v>6781</v>
      </c>
      <c r="D1595" s="7" t="s">
        <v>16</v>
      </c>
      <c r="E1595" s="7" t="s">
        <v>3806</v>
      </c>
      <c r="F1595" s="7" t="s">
        <v>16</v>
      </c>
    </row>
    <row r="1596" ht="22.5" customHeight="1">
      <c r="A1596" s="7" t="s">
        <v>2725</v>
      </c>
      <c r="B1596" s="8" t="s">
        <v>6782</v>
      </c>
      <c r="C1596" s="7" t="s">
        <v>6783</v>
      </c>
      <c r="D1596" s="7" t="s">
        <v>16</v>
      </c>
      <c r="E1596" s="7" t="s">
        <v>3799</v>
      </c>
      <c r="F1596" s="7" t="s">
        <v>3879</v>
      </c>
    </row>
    <row r="1597" ht="22.5" customHeight="1">
      <c r="A1597" s="7" t="s">
        <v>3800</v>
      </c>
      <c r="B1597" s="8" t="s">
        <v>6784</v>
      </c>
      <c r="C1597" s="7" t="s">
        <v>6785</v>
      </c>
      <c r="D1597" s="7" t="s">
        <v>16</v>
      </c>
      <c r="E1597" s="7" t="s">
        <v>3806</v>
      </c>
      <c r="F1597" s="7" t="s">
        <v>3964</v>
      </c>
    </row>
    <row r="1598" ht="22.5" customHeight="1">
      <c r="A1598" s="7" t="s">
        <v>3800</v>
      </c>
      <c r="B1598" s="8" t="s">
        <v>6784</v>
      </c>
      <c r="C1598" s="7" t="s">
        <v>6786</v>
      </c>
      <c r="D1598" s="7" t="s">
        <v>26</v>
      </c>
      <c r="E1598" s="7" t="s">
        <v>16</v>
      </c>
      <c r="F1598" s="7" t="s">
        <v>16</v>
      </c>
    </row>
    <row r="1599" ht="22.5" customHeight="1">
      <c r="A1599" s="7" t="s">
        <v>3827</v>
      </c>
      <c r="B1599" s="8" t="s">
        <v>6787</v>
      </c>
      <c r="C1599" s="7" t="s">
        <v>6788</v>
      </c>
      <c r="D1599" s="7" t="s">
        <v>26</v>
      </c>
      <c r="E1599" s="7" t="s">
        <v>16</v>
      </c>
      <c r="F1599" s="7" t="s">
        <v>16</v>
      </c>
    </row>
    <row r="1600" ht="22.5" customHeight="1">
      <c r="A1600" s="7" t="s">
        <v>2327</v>
      </c>
      <c r="B1600" s="8" t="s">
        <v>6789</v>
      </c>
      <c r="C1600" s="7" t="s">
        <v>6790</v>
      </c>
      <c r="D1600" s="7" t="s">
        <v>4033</v>
      </c>
      <c r="E1600" s="7" t="s">
        <v>3803</v>
      </c>
      <c r="F1600" s="7" t="s">
        <v>16</v>
      </c>
    </row>
    <row r="1601" ht="22.5" customHeight="1">
      <c r="A1601" s="7" t="s">
        <v>3837</v>
      </c>
      <c r="B1601" s="8" t="s">
        <v>6791</v>
      </c>
      <c r="C1601" s="7" t="s">
        <v>6792</v>
      </c>
      <c r="D1601" s="7" t="s">
        <v>16</v>
      </c>
      <c r="E1601" s="7" t="s">
        <v>3806</v>
      </c>
      <c r="F1601" s="7" t="s">
        <v>16</v>
      </c>
    </row>
    <row r="1602" ht="22.5" customHeight="1">
      <c r="A1602" s="7" t="s">
        <v>2327</v>
      </c>
      <c r="B1602" s="8" t="s">
        <v>6793</v>
      </c>
      <c r="C1602" s="7" t="s">
        <v>6794</v>
      </c>
      <c r="D1602" s="7" t="s">
        <v>16</v>
      </c>
      <c r="E1602" s="7" t="s">
        <v>3799</v>
      </c>
      <c r="F1602" s="7" t="s">
        <v>16</v>
      </c>
    </row>
    <row r="1603" ht="22.5" customHeight="1">
      <c r="A1603" s="7" t="s">
        <v>2327</v>
      </c>
      <c r="B1603" s="8" t="s">
        <v>6793</v>
      </c>
      <c r="C1603" s="7" t="s">
        <v>6795</v>
      </c>
      <c r="D1603" s="7" t="s">
        <v>16</v>
      </c>
      <c r="E1603" s="7" t="s">
        <v>3799</v>
      </c>
      <c r="F1603" s="7" t="s">
        <v>16</v>
      </c>
    </row>
    <row r="1604" ht="22.5" customHeight="1">
      <c r="A1604" s="7" t="s">
        <v>3800</v>
      </c>
      <c r="B1604" s="8" t="s">
        <v>6796</v>
      </c>
      <c r="C1604" s="7" t="s">
        <v>6797</v>
      </c>
      <c r="D1604" s="7" t="s">
        <v>16</v>
      </c>
      <c r="E1604" s="7" t="s">
        <v>3812</v>
      </c>
      <c r="F1604" s="7" t="s">
        <v>4107</v>
      </c>
    </row>
    <row r="1605" ht="22.5" customHeight="1">
      <c r="A1605" s="7" t="s">
        <v>3800</v>
      </c>
      <c r="B1605" s="8" t="s">
        <v>6798</v>
      </c>
      <c r="C1605" s="7" t="s">
        <v>6799</v>
      </c>
      <c r="D1605" s="7" t="s">
        <v>16</v>
      </c>
      <c r="E1605" s="7" t="s">
        <v>3799</v>
      </c>
      <c r="F1605" s="7" t="s">
        <v>3945</v>
      </c>
    </row>
    <row r="1606" ht="22.5" customHeight="1">
      <c r="A1606" s="7" t="s">
        <v>3800</v>
      </c>
      <c r="B1606" s="8" t="s">
        <v>6800</v>
      </c>
      <c r="C1606" s="7" t="s">
        <v>6801</v>
      </c>
      <c r="D1606" s="7" t="s">
        <v>26</v>
      </c>
      <c r="E1606" s="7" t="s">
        <v>16</v>
      </c>
      <c r="F1606" s="7" t="s">
        <v>16</v>
      </c>
    </row>
    <row r="1607" ht="22.5" customHeight="1">
      <c r="A1607" s="7" t="s">
        <v>3800</v>
      </c>
      <c r="B1607" s="8" t="s">
        <v>6800</v>
      </c>
      <c r="C1607" s="7" t="s">
        <v>6802</v>
      </c>
      <c r="D1607" s="7" t="s">
        <v>26</v>
      </c>
      <c r="E1607" s="7" t="s">
        <v>16</v>
      </c>
      <c r="F1607" s="7" t="s">
        <v>16</v>
      </c>
    </row>
    <row r="1608" ht="22.5" customHeight="1">
      <c r="A1608" s="7" t="s">
        <v>3800</v>
      </c>
      <c r="B1608" s="8" t="s">
        <v>6800</v>
      </c>
      <c r="C1608" s="7" t="s">
        <v>6803</v>
      </c>
      <c r="D1608" s="7" t="s">
        <v>26</v>
      </c>
      <c r="E1608" s="7" t="s">
        <v>16</v>
      </c>
      <c r="F1608" s="7" t="s">
        <v>16</v>
      </c>
    </row>
    <row r="1609" ht="22.5" customHeight="1">
      <c r="A1609" s="7" t="s">
        <v>3800</v>
      </c>
      <c r="B1609" s="8" t="s">
        <v>6800</v>
      </c>
      <c r="C1609" s="7" t="s">
        <v>6804</v>
      </c>
      <c r="D1609" s="7" t="s">
        <v>26</v>
      </c>
      <c r="E1609" s="7" t="s">
        <v>16</v>
      </c>
      <c r="F1609" s="7" t="s">
        <v>16</v>
      </c>
    </row>
    <row r="1610" ht="22.5" customHeight="1">
      <c r="A1610" s="7" t="s">
        <v>3800</v>
      </c>
      <c r="B1610" s="8" t="s">
        <v>6800</v>
      </c>
      <c r="C1610" s="7" t="s">
        <v>6805</v>
      </c>
      <c r="D1610" s="7" t="s">
        <v>26</v>
      </c>
      <c r="E1610" s="7" t="s">
        <v>16</v>
      </c>
      <c r="F1610" s="7" t="s">
        <v>16</v>
      </c>
    </row>
    <row r="1611" ht="22.5" customHeight="1">
      <c r="A1611" s="7" t="s">
        <v>3807</v>
      </c>
      <c r="B1611" s="8" t="s">
        <v>6806</v>
      </c>
      <c r="C1611" s="7" t="s">
        <v>6807</v>
      </c>
      <c r="D1611" s="7" t="s">
        <v>16</v>
      </c>
      <c r="E1611" s="7" t="s">
        <v>3806</v>
      </c>
      <c r="F1611" s="7" t="s">
        <v>16</v>
      </c>
    </row>
    <row r="1612" ht="22.5" customHeight="1">
      <c r="A1612" s="7" t="s">
        <v>3807</v>
      </c>
      <c r="B1612" s="8" t="s">
        <v>6806</v>
      </c>
      <c r="C1612" s="7" t="s">
        <v>6808</v>
      </c>
      <c r="D1612" s="7" t="s">
        <v>26</v>
      </c>
      <c r="E1612" s="7" t="s">
        <v>16</v>
      </c>
      <c r="F1612" s="7" t="s">
        <v>16</v>
      </c>
    </row>
    <row r="1613" ht="22.5" customHeight="1">
      <c r="A1613" s="7" t="s">
        <v>3807</v>
      </c>
      <c r="B1613" s="8" t="s">
        <v>6809</v>
      </c>
      <c r="C1613" s="7" t="s">
        <v>6810</v>
      </c>
      <c r="D1613" s="7" t="s">
        <v>16</v>
      </c>
      <c r="E1613" s="7" t="s">
        <v>3803</v>
      </c>
      <c r="F1613" s="7" t="s">
        <v>16</v>
      </c>
    </row>
    <row r="1614" ht="22.5" customHeight="1">
      <c r="A1614" s="7" t="s">
        <v>3807</v>
      </c>
      <c r="B1614" s="8" t="s">
        <v>6811</v>
      </c>
      <c r="C1614" s="7" t="s">
        <v>6812</v>
      </c>
      <c r="D1614" s="7" t="s">
        <v>16</v>
      </c>
      <c r="E1614" s="7" t="s">
        <v>3806</v>
      </c>
      <c r="F1614" s="7" t="s">
        <v>3816</v>
      </c>
    </row>
    <row r="1615" ht="22.5" customHeight="1">
      <c r="A1615" s="7" t="s">
        <v>3807</v>
      </c>
      <c r="B1615" s="8" t="s">
        <v>6813</v>
      </c>
      <c r="C1615" s="7" t="s">
        <v>6814</v>
      </c>
      <c r="D1615" s="7" t="s">
        <v>16</v>
      </c>
      <c r="E1615" s="7" t="s">
        <v>3806</v>
      </c>
      <c r="F1615" s="7" t="s">
        <v>16</v>
      </c>
    </row>
    <row r="1616" ht="22.5" customHeight="1">
      <c r="A1616" s="7" t="s">
        <v>3807</v>
      </c>
      <c r="B1616" s="8" t="s">
        <v>6815</v>
      </c>
      <c r="C1616" s="7" t="s">
        <v>6816</v>
      </c>
      <c r="D1616" s="7" t="s">
        <v>16</v>
      </c>
      <c r="E1616" s="7" t="s">
        <v>3806</v>
      </c>
      <c r="F1616" s="7" t="s">
        <v>16</v>
      </c>
    </row>
    <row r="1617" ht="22.5" customHeight="1">
      <c r="A1617" s="7" t="s">
        <v>2327</v>
      </c>
      <c r="B1617" s="8" t="s">
        <v>6817</v>
      </c>
      <c r="C1617" s="7" t="s">
        <v>6818</v>
      </c>
      <c r="D1617" s="7" t="s">
        <v>26</v>
      </c>
      <c r="E1617" s="7" t="s">
        <v>16</v>
      </c>
      <c r="F1617" s="7" t="s">
        <v>16</v>
      </c>
    </row>
    <row r="1618" ht="22.5" customHeight="1">
      <c r="A1618" s="7" t="s">
        <v>3800</v>
      </c>
      <c r="B1618" s="8" t="s">
        <v>6819</v>
      </c>
      <c r="C1618" s="7" t="s">
        <v>6820</v>
      </c>
      <c r="D1618" s="7" t="s">
        <v>16</v>
      </c>
      <c r="E1618" s="7" t="s">
        <v>3803</v>
      </c>
      <c r="F1618" s="7" t="s">
        <v>3850</v>
      </c>
    </row>
    <row r="1619" ht="22.5" customHeight="1">
      <c r="A1619" s="7" t="s">
        <v>3827</v>
      </c>
      <c r="B1619" s="8" t="s">
        <v>6821</v>
      </c>
      <c r="C1619" s="7" t="s">
        <v>6822</v>
      </c>
      <c r="D1619" s="7" t="s">
        <v>16</v>
      </c>
      <c r="E1619" s="7" t="s">
        <v>3803</v>
      </c>
      <c r="F1619" s="7" t="s">
        <v>16</v>
      </c>
    </row>
    <row r="1620" ht="22.5" customHeight="1">
      <c r="A1620" s="7" t="s">
        <v>3871</v>
      </c>
      <c r="B1620" s="8" t="s">
        <v>6823</v>
      </c>
      <c r="C1620" s="7" t="s">
        <v>6824</v>
      </c>
      <c r="D1620" s="7" t="s">
        <v>26</v>
      </c>
      <c r="E1620" s="7" t="s">
        <v>16</v>
      </c>
      <c r="F1620" s="7" t="s">
        <v>16</v>
      </c>
    </row>
    <row r="1621" ht="22.5" customHeight="1">
      <c r="A1621" s="7" t="s">
        <v>3800</v>
      </c>
      <c r="B1621" s="8" t="s">
        <v>6825</v>
      </c>
      <c r="C1621" s="7" t="s">
        <v>6826</v>
      </c>
      <c r="D1621" s="7" t="s">
        <v>26</v>
      </c>
      <c r="E1621" s="7" t="s">
        <v>16</v>
      </c>
      <c r="F1621" s="7" t="s">
        <v>16</v>
      </c>
    </row>
    <row r="1622" ht="22.5" customHeight="1">
      <c r="A1622" s="7" t="s">
        <v>3837</v>
      </c>
      <c r="B1622" s="8" t="s">
        <v>6827</v>
      </c>
      <c r="C1622" s="7" t="s">
        <v>6828</v>
      </c>
      <c r="D1622" s="7" t="s">
        <v>16</v>
      </c>
      <c r="E1622" s="7" t="s">
        <v>3806</v>
      </c>
      <c r="F1622" s="7" t="s">
        <v>16</v>
      </c>
    </row>
    <row r="1623" ht="22.5" customHeight="1">
      <c r="A1623" s="7" t="s">
        <v>2327</v>
      </c>
      <c r="B1623" s="8" t="s">
        <v>6829</v>
      </c>
      <c r="C1623" s="7" t="s">
        <v>6830</v>
      </c>
      <c r="D1623" s="7" t="s">
        <v>16</v>
      </c>
      <c r="E1623" s="7" t="s">
        <v>3803</v>
      </c>
      <c r="F1623" s="7" t="s">
        <v>3964</v>
      </c>
    </row>
    <row r="1624" ht="22.5" customHeight="1">
      <c r="A1624" s="7" t="s">
        <v>2327</v>
      </c>
      <c r="B1624" s="8" t="s">
        <v>6831</v>
      </c>
      <c r="C1624" s="7" t="s">
        <v>6832</v>
      </c>
      <c r="D1624" s="7" t="s">
        <v>16</v>
      </c>
      <c r="E1624" s="7" t="s">
        <v>3806</v>
      </c>
      <c r="F1624" s="7" t="s">
        <v>16</v>
      </c>
    </row>
    <row r="1625" ht="22.5" customHeight="1">
      <c r="A1625" s="7" t="s">
        <v>3837</v>
      </c>
      <c r="B1625" s="8" t="s">
        <v>6833</v>
      </c>
      <c r="C1625" s="7" t="s">
        <v>6834</v>
      </c>
      <c r="D1625" s="7" t="s">
        <v>16</v>
      </c>
      <c r="E1625" s="7" t="s">
        <v>3799</v>
      </c>
      <c r="F1625" s="7" t="s">
        <v>16</v>
      </c>
    </row>
    <row r="1626" ht="22.5" customHeight="1">
      <c r="A1626" s="7" t="s">
        <v>3800</v>
      </c>
      <c r="B1626" s="8" t="s">
        <v>6835</v>
      </c>
      <c r="C1626" s="7" t="s">
        <v>6836</v>
      </c>
      <c r="D1626" s="7" t="s">
        <v>26</v>
      </c>
      <c r="E1626" s="7" t="s">
        <v>16</v>
      </c>
      <c r="F1626" s="7" t="s">
        <v>16</v>
      </c>
    </row>
    <row r="1627" ht="22.5" customHeight="1">
      <c r="A1627" s="7" t="s">
        <v>3800</v>
      </c>
      <c r="B1627" s="8" t="s">
        <v>6837</v>
      </c>
      <c r="C1627" s="7" t="s">
        <v>6838</v>
      </c>
      <c r="D1627" s="7" t="s">
        <v>4859</v>
      </c>
      <c r="E1627" s="7" t="s">
        <v>3799</v>
      </c>
      <c r="F1627" s="7" t="s">
        <v>16</v>
      </c>
    </row>
    <row r="1628" ht="22.5" customHeight="1">
      <c r="A1628" s="7" t="s">
        <v>2725</v>
      </c>
      <c r="B1628" s="8" t="s">
        <v>6839</v>
      </c>
      <c r="C1628" s="7" t="s">
        <v>6840</v>
      </c>
      <c r="D1628" s="7" t="s">
        <v>16</v>
      </c>
      <c r="E1628" s="7" t="s">
        <v>3806</v>
      </c>
      <c r="F1628" s="7" t="s">
        <v>16</v>
      </c>
    </row>
    <row r="1629" ht="22.5" customHeight="1">
      <c r="A1629" s="7" t="s">
        <v>3807</v>
      </c>
      <c r="B1629" s="8" t="s">
        <v>6841</v>
      </c>
      <c r="C1629" s="7" t="s">
        <v>6842</v>
      </c>
      <c r="D1629" s="7" t="s">
        <v>26</v>
      </c>
      <c r="E1629" s="7" t="s">
        <v>16</v>
      </c>
      <c r="F1629" s="7" t="s">
        <v>16</v>
      </c>
    </row>
    <row r="1630" ht="22.5" customHeight="1">
      <c r="A1630" s="7" t="s">
        <v>2725</v>
      </c>
      <c r="B1630" s="8" t="s">
        <v>6843</v>
      </c>
      <c r="C1630" s="7" t="s">
        <v>6844</v>
      </c>
      <c r="D1630" s="7" t="s">
        <v>26</v>
      </c>
      <c r="E1630" s="7" t="s">
        <v>16</v>
      </c>
      <c r="F1630" s="7" t="s">
        <v>16</v>
      </c>
    </row>
    <row r="1631" ht="22.5" customHeight="1">
      <c r="A1631" s="7" t="s">
        <v>2327</v>
      </c>
      <c r="B1631" s="8" t="s">
        <v>6845</v>
      </c>
      <c r="C1631" s="7" t="s">
        <v>6846</v>
      </c>
      <c r="D1631" s="7" t="s">
        <v>16</v>
      </c>
      <c r="E1631" s="7" t="s">
        <v>3806</v>
      </c>
      <c r="F1631" s="7" t="s">
        <v>4671</v>
      </c>
    </row>
    <row r="1632" ht="22.5" customHeight="1">
      <c r="A1632" s="7" t="s">
        <v>2327</v>
      </c>
      <c r="B1632" s="8" t="s">
        <v>6845</v>
      </c>
      <c r="C1632" s="7" t="s">
        <v>6847</v>
      </c>
      <c r="D1632" s="7" t="s">
        <v>26</v>
      </c>
      <c r="E1632" s="7" t="s">
        <v>16</v>
      </c>
      <c r="F1632" s="7" t="s">
        <v>16</v>
      </c>
    </row>
    <row r="1633" ht="22.5" customHeight="1">
      <c r="A1633" s="7" t="s">
        <v>3827</v>
      </c>
      <c r="B1633" s="8" t="s">
        <v>6848</v>
      </c>
      <c r="C1633" s="7" t="s">
        <v>6849</v>
      </c>
      <c r="D1633" s="7" t="s">
        <v>16</v>
      </c>
      <c r="E1633" s="7" t="s">
        <v>3806</v>
      </c>
      <c r="F1633" s="7" t="s">
        <v>16</v>
      </c>
    </row>
    <row r="1634" ht="22.5" customHeight="1">
      <c r="A1634" s="7" t="s">
        <v>3837</v>
      </c>
      <c r="B1634" s="8" t="s">
        <v>6850</v>
      </c>
      <c r="C1634" s="7" t="s">
        <v>6851</v>
      </c>
      <c r="D1634" s="7" t="s">
        <v>16</v>
      </c>
      <c r="E1634" s="7" t="s">
        <v>3799</v>
      </c>
      <c r="F1634" s="7" t="s">
        <v>16</v>
      </c>
    </row>
    <row r="1635" ht="22.5" customHeight="1">
      <c r="A1635" s="7" t="s">
        <v>3827</v>
      </c>
      <c r="B1635" s="8" t="s">
        <v>6852</v>
      </c>
      <c r="C1635" s="7" t="s">
        <v>6853</v>
      </c>
      <c r="D1635" s="7" t="s">
        <v>16</v>
      </c>
      <c r="E1635" s="7" t="s">
        <v>3799</v>
      </c>
      <c r="F1635" s="7" t="s">
        <v>3879</v>
      </c>
    </row>
    <row r="1636" ht="22.5" customHeight="1">
      <c r="A1636" s="7" t="s">
        <v>3800</v>
      </c>
      <c r="B1636" s="8" t="s">
        <v>6854</v>
      </c>
      <c r="C1636" s="7" t="s">
        <v>6855</v>
      </c>
      <c r="D1636" s="7" t="s">
        <v>16</v>
      </c>
      <c r="E1636" s="7" t="s">
        <v>3799</v>
      </c>
      <c r="F1636" s="7" t="s">
        <v>3879</v>
      </c>
    </row>
    <row r="1637" ht="22.5" customHeight="1">
      <c r="A1637" s="7" t="s">
        <v>3800</v>
      </c>
      <c r="B1637" s="8" t="s">
        <v>6856</v>
      </c>
      <c r="C1637" s="7" t="s">
        <v>6857</v>
      </c>
      <c r="D1637" s="7" t="s">
        <v>151</v>
      </c>
      <c r="E1637" s="7" t="s">
        <v>3799</v>
      </c>
      <c r="F1637" s="7" t="s">
        <v>3879</v>
      </c>
    </row>
    <row r="1638" ht="22.5" customHeight="1">
      <c r="A1638" s="7" t="s">
        <v>3800</v>
      </c>
      <c r="B1638" s="8" t="s">
        <v>6858</v>
      </c>
      <c r="C1638" s="7" t="s">
        <v>6859</v>
      </c>
      <c r="D1638" s="7" t="s">
        <v>16</v>
      </c>
      <c r="E1638" s="7" t="s">
        <v>3799</v>
      </c>
      <c r="F1638" s="7" t="s">
        <v>3879</v>
      </c>
    </row>
    <row r="1639" ht="22.5" customHeight="1">
      <c r="A1639" s="7" t="s">
        <v>3800</v>
      </c>
      <c r="B1639" s="8" t="s">
        <v>6860</v>
      </c>
      <c r="C1639" s="7" t="s">
        <v>6861</v>
      </c>
      <c r="D1639" s="7" t="s">
        <v>16</v>
      </c>
      <c r="E1639" s="7" t="s">
        <v>3799</v>
      </c>
      <c r="F1639" s="7" t="s">
        <v>3879</v>
      </c>
    </row>
    <row r="1640" ht="22.5" customHeight="1">
      <c r="A1640" s="7" t="s">
        <v>3800</v>
      </c>
      <c r="B1640" s="8" t="s">
        <v>6862</v>
      </c>
      <c r="C1640" s="7" t="s">
        <v>6863</v>
      </c>
      <c r="D1640" s="7" t="s">
        <v>16</v>
      </c>
      <c r="E1640" s="7" t="s">
        <v>3799</v>
      </c>
      <c r="F1640" s="7" t="s">
        <v>3945</v>
      </c>
    </row>
    <row r="1641" ht="22.5" customHeight="1">
      <c r="A1641" s="7" t="s">
        <v>3807</v>
      </c>
      <c r="B1641" s="8" t="s">
        <v>6864</v>
      </c>
      <c r="C1641" s="7" t="s">
        <v>6865</v>
      </c>
      <c r="D1641" s="7" t="s">
        <v>16</v>
      </c>
      <c r="E1641" s="7" t="s">
        <v>3799</v>
      </c>
      <c r="F1641" s="7" t="s">
        <v>16</v>
      </c>
    </row>
    <row r="1642" ht="22.5" customHeight="1">
      <c r="A1642" s="7" t="s">
        <v>3807</v>
      </c>
      <c r="B1642" s="8" t="s">
        <v>6864</v>
      </c>
      <c r="C1642" s="7" t="s">
        <v>6866</v>
      </c>
      <c r="D1642" s="7" t="s">
        <v>26</v>
      </c>
      <c r="E1642" s="7" t="s">
        <v>16</v>
      </c>
      <c r="F1642" s="7" t="s">
        <v>16</v>
      </c>
    </row>
    <row r="1643" ht="22.5" customHeight="1">
      <c r="A1643" s="7" t="s">
        <v>3807</v>
      </c>
      <c r="B1643" s="8" t="s">
        <v>6864</v>
      </c>
      <c r="C1643" s="7" t="s">
        <v>6867</v>
      </c>
      <c r="D1643" s="7" t="s">
        <v>26</v>
      </c>
      <c r="E1643" s="7" t="s">
        <v>16</v>
      </c>
      <c r="F1643" s="7" t="s">
        <v>16</v>
      </c>
    </row>
    <row r="1644" ht="22.5" customHeight="1">
      <c r="A1644" s="7" t="s">
        <v>2725</v>
      </c>
      <c r="B1644" s="8" t="s">
        <v>6868</v>
      </c>
      <c r="C1644" s="7" t="s">
        <v>6869</v>
      </c>
      <c r="D1644" s="7" t="s">
        <v>16</v>
      </c>
      <c r="E1644" s="7" t="s">
        <v>3806</v>
      </c>
      <c r="F1644" s="7" t="s">
        <v>3884</v>
      </c>
    </row>
    <row r="1645" ht="22.5" customHeight="1">
      <c r="A1645" s="7" t="s">
        <v>2725</v>
      </c>
      <c r="B1645" s="8" t="s">
        <v>6870</v>
      </c>
      <c r="C1645" s="7" t="s">
        <v>6871</v>
      </c>
      <c r="D1645" s="7" t="s">
        <v>16</v>
      </c>
      <c r="E1645" s="7" t="s">
        <v>3799</v>
      </c>
      <c r="F1645" s="7" t="s">
        <v>3945</v>
      </c>
    </row>
    <row r="1646" ht="22.5" customHeight="1">
      <c r="A1646" s="7" t="s">
        <v>3800</v>
      </c>
      <c r="B1646" s="8" t="s">
        <v>6872</v>
      </c>
      <c r="C1646" s="7" t="s">
        <v>6873</v>
      </c>
      <c r="D1646" s="7" t="s">
        <v>26</v>
      </c>
      <c r="E1646" s="7" t="s">
        <v>16</v>
      </c>
      <c r="F1646" s="7" t="s">
        <v>16</v>
      </c>
    </row>
    <row r="1647" ht="22.5" customHeight="1">
      <c r="A1647" s="7" t="s">
        <v>3807</v>
      </c>
      <c r="B1647" s="8" t="s">
        <v>6874</v>
      </c>
      <c r="C1647" s="7" t="s">
        <v>6875</v>
      </c>
      <c r="D1647" s="7" t="s">
        <v>16</v>
      </c>
      <c r="E1647" s="7" t="s">
        <v>3799</v>
      </c>
      <c r="F1647" s="7" t="s">
        <v>4107</v>
      </c>
    </row>
    <row r="1648" ht="22.5" customHeight="1">
      <c r="A1648" s="7" t="s">
        <v>3800</v>
      </c>
      <c r="B1648" s="8" t="s">
        <v>6876</v>
      </c>
      <c r="C1648" s="7" t="s">
        <v>6877</v>
      </c>
      <c r="D1648" s="7" t="s">
        <v>16</v>
      </c>
      <c r="E1648" s="7" t="s">
        <v>3803</v>
      </c>
      <c r="F1648" s="7" t="s">
        <v>3850</v>
      </c>
    </row>
    <row r="1649" ht="22.5" customHeight="1">
      <c r="A1649" s="7" t="s">
        <v>3837</v>
      </c>
      <c r="B1649" s="8" t="s">
        <v>6878</v>
      </c>
      <c r="C1649" s="7" t="s">
        <v>6879</v>
      </c>
      <c r="D1649" s="7" t="s">
        <v>16</v>
      </c>
      <c r="E1649" s="7" t="s">
        <v>3806</v>
      </c>
      <c r="F1649" s="7" t="s">
        <v>16</v>
      </c>
    </row>
    <row r="1650" ht="22.5" customHeight="1">
      <c r="A1650" s="7" t="s">
        <v>3807</v>
      </c>
      <c r="B1650" s="8" t="s">
        <v>6880</v>
      </c>
      <c r="C1650" s="7" t="s">
        <v>6881</v>
      </c>
      <c r="D1650" s="7" t="s">
        <v>16</v>
      </c>
      <c r="E1650" s="7" t="s">
        <v>3799</v>
      </c>
      <c r="F1650" s="7" t="s">
        <v>16</v>
      </c>
    </row>
    <row r="1651" ht="22.5" customHeight="1">
      <c r="A1651" s="7" t="s">
        <v>3827</v>
      </c>
      <c r="B1651" s="8" t="s">
        <v>6882</v>
      </c>
      <c r="C1651" s="7" t="s">
        <v>6883</v>
      </c>
      <c r="D1651" s="7" t="s">
        <v>26</v>
      </c>
      <c r="E1651" s="7" t="s">
        <v>16</v>
      </c>
      <c r="F1651" s="7" t="s">
        <v>16</v>
      </c>
    </row>
    <row r="1652" ht="22.5" customHeight="1">
      <c r="A1652" s="7" t="s">
        <v>3807</v>
      </c>
      <c r="B1652" s="8" t="s">
        <v>6884</v>
      </c>
      <c r="C1652" s="7" t="s">
        <v>6885</v>
      </c>
      <c r="D1652" s="7" t="s">
        <v>16</v>
      </c>
      <c r="E1652" s="7" t="s">
        <v>3799</v>
      </c>
      <c r="F1652" s="7" t="s">
        <v>16</v>
      </c>
    </row>
    <row r="1653" ht="22.5" customHeight="1">
      <c r="A1653" s="7" t="s">
        <v>2725</v>
      </c>
      <c r="B1653" s="8" t="s">
        <v>6886</v>
      </c>
      <c r="C1653" s="7" t="s">
        <v>6887</v>
      </c>
      <c r="D1653" s="7" t="s">
        <v>26</v>
      </c>
      <c r="E1653" s="7" t="s">
        <v>16</v>
      </c>
      <c r="F1653" s="7" t="s">
        <v>16</v>
      </c>
    </row>
    <row r="1654" ht="22.5" customHeight="1">
      <c r="A1654" s="7" t="s">
        <v>3827</v>
      </c>
      <c r="B1654" s="8" t="s">
        <v>6888</v>
      </c>
      <c r="C1654" s="7" t="s">
        <v>6889</v>
      </c>
      <c r="D1654" s="7" t="s">
        <v>26</v>
      </c>
      <c r="E1654" s="7" t="s">
        <v>16</v>
      </c>
      <c r="F1654" s="7" t="s">
        <v>16</v>
      </c>
    </row>
    <row r="1655" ht="22.5" customHeight="1">
      <c r="A1655" s="7" t="s">
        <v>3800</v>
      </c>
      <c r="B1655" s="8" t="s">
        <v>6890</v>
      </c>
      <c r="C1655" s="7" t="s">
        <v>6891</v>
      </c>
      <c r="D1655" s="7" t="s">
        <v>16</v>
      </c>
      <c r="E1655" s="7" t="s">
        <v>3799</v>
      </c>
      <c r="F1655" s="7" t="s">
        <v>16</v>
      </c>
    </row>
    <row r="1656" ht="22.5" customHeight="1">
      <c r="A1656" s="7" t="s">
        <v>3800</v>
      </c>
      <c r="B1656" s="8" t="s">
        <v>6892</v>
      </c>
      <c r="C1656" s="7" t="s">
        <v>6893</v>
      </c>
      <c r="D1656" s="7" t="s">
        <v>26</v>
      </c>
      <c r="E1656" s="7" t="s">
        <v>16</v>
      </c>
      <c r="F1656" s="7" t="s">
        <v>16</v>
      </c>
    </row>
    <row r="1657" ht="22.5" customHeight="1">
      <c r="A1657" s="7" t="s">
        <v>2725</v>
      </c>
      <c r="B1657" s="8" t="s">
        <v>6894</v>
      </c>
      <c r="C1657" s="7" t="s">
        <v>6895</v>
      </c>
      <c r="D1657" s="7" t="s">
        <v>3884</v>
      </c>
      <c r="E1657" s="7" t="s">
        <v>3806</v>
      </c>
      <c r="F1657" s="7" t="s">
        <v>3884</v>
      </c>
    </row>
    <row r="1658" ht="22.5" customHeight="1">
      <c r="A1658" s="7" t="s">
        <v>3807</v>
      </c>
      <c r="B1658" s="8" t="s">
        <v>6896</v>
      </c>
      <c r="C1658" s="7" t="s">
        <v>6897</v>
      </c>
      <c r="D1658" s="7" t="s">
        <v>16</v>
      </c>
      <c r="E1658" s="7" t="s">
        <v>3799</v>
      </c>
      <c r="F1658" s="7" t="s">
        <v>3904</v>
      </c>
    </row>
    <row r="1659" ht="22.5" customHeight="1">
      <c r="A1659" s="7" t="s">
        <v>3807</v>
      </c>
      <c r="B1659" s="8" t="s">
        <v>6896</v>
      </c>
      <c r="C1659" s="7" t="s">
        <v>6898</v>
      </c>
      <c r="D1659" s="7" t="s">
        <v>16</v>
      </c>
      <c r="E1659" s="7" t="s">
        <v>3799</v>
      </c>
      <c r="F1659" s="7" t="s">
        <v>3904</v>
      </c>
    </row>
    <row r="1660" ht="22.5" customHeight="1">
      <c r="A1660" s="7" t="s">
        <v>3807</v>
      </c>
      <c r="B1660" s="8" t="s">
        <v>6899</v>
      </c>
      <c r="C1660" s="7" t="s">
        <v>6900</v>
      </c>
      <c r="D1660" s="7" t="s">
        <v>4033</v>
      </c>
      <c r="E1660" s="7" t="s">
        <v>3803</v>
      </c>
      <c r="F1660" s="7" t="s">
        <v>16</v>
      </c>
    </row>
    <row r="1661" ht="22.5" customHeight="1">
      <c r="A1661" s="7" t="s">
        <v>3800</v>
      </c>
      <c r="B1661" s="8" t="s">
        <v>6901</v>
      </c>
      <c r="C1661" s="7" t="s">
        <v>6902</v>
      </c>
      <c r="D1661" s="7" t="s">
        <v>26</v>
      </c>
      <c r="E1661" s="7" t="s">
        <v>16</v>
      </c>
      <c r="F1661" s="7" t="s">
        <v>16</v>
      </c>
    </row>
    <row r="1662" ht="22.5" customHeight="1">
      <c r="A1662" s="7" t="s">
        <v>2327</v>
      </c>
      <c r="B1662" s="8" t="s">
        <v>6903</v>
      </c>
      <c r="C1662" s="7" t="s">
        <v>6904</v>
      </c>
      <c r="D1662" s="7" t="s">
        <v>26</v>
      </c>
      <c r="E1662" s="7" t="s">
        <v>16</v>
      </c>
      <c r="F1662" s="7" t="s">
        <v>16</v>
      </c>
    </row>
    <row r="1663" ht="22.5" customHeight="1">
      <c r="A1663" s="7" t="s">
        <v>2725</v>
      </c>
      <c r="B1663" s="8" t="s">
        <v>6905</v>
      </c>
      <c r="C1663" s="7" t="s">
        <v>6906</v>
      </c>
      <c r="D1663" s="7" t="s">
        <v>16</v>
      </c>
      <c r="E1663" s="7" t="s">
        <v>3812</v>
      </c>
      <c r="F1663" s="7" t="s">
        <v>16</v>
      </c>
    </row>
    <row r="1664" ht="22.5" customHeight="1">
      <c r="A1664" s="7" t="s">
        <v>2725</v>
      </c>
      <c r="B1664" s="8" t="s">
        <v>6905</v>
      </c>
      <c r="C1664" s="7" t="s">
        <v>6907</v>
      </c>
      <c r="D1664" s="7" t="s">
        <v>26</v>
      </c>
      <c r="E1664" s="7" t="s">
        <v>16</v>
      </c>
      <c r="F1664" s="7" t="s">
        <v>16</v>
      </c>
    </row>
    <row r="1665" ht="22.5" customHeight="1">
      <c r="A1665" s="7" t="s">
        <v>3800</v>
      </c>
      <c r="B1665" s="8" t="s">
        <v>6908</v>
      </c>
      <c r="C1665" s="7" t="s">
        <v>6909</v>
      </c>
      <c r="D1665" s="7" t="s">
        <v>26</v>
      </c>
      <c r="E1665" s="7" t="s">
        <v>16</v>
      </c>
      <c r="F1665" s="7" t="s">
        <v>16</v>
      </c>
    </row>
    <row r="1666" ht="22.5" customHeight="1">
      <c r="A1666" s="7" t="s">
        <v>3800</v>
      </c>
      <c r="B1666" s="8" t="s">
        <v>6910</v>
      </c>
      <c r="C1666" s="7" t="s">
        <v>6911</v>
      </c>
      <c r="D1666" s="7" t="s">
        <v>26</v>
      </c>
      <c r="E1666" s="7" t="s">
        <v>16</v>
      </c>
      <c r="F1666" s="7" t="s">
        <v>16</v>
      </c>
    </row>
    <row r="1667" ht="22.5" customHeight="1">
      <c r="A1667" s="7" t="s">
        <v>3800</v>
      </c>
      <c r="B1667" s="8" t="s">
        <v>6912</v>
      </c>
      <c r="C1667" s="7" t="s">
        <v>6913</v>
      </c>
      <c r="D1667" s="7" t="s">
        <v>26</v>
      </c>
      <c r="E1667" s="7" t="s">
        <v>16</v>
      </c>
      <c r="F1667" s="7" t="s">
        <v>16</v>
      </c>
    </row>
    <row r="1668" ht="22.5" customHeight="1">
      <c r="A1668" s="7" t="s">
        <v>3800</v>
      </c>
      <c r="B1668" s="8" t="s">
        <v>6914</v>
      </c>
      <c r="C1668" s="7" t="s">
        <v>6915</v>
      </c>
      <c r="D1668" s="7" t="s">
        <v>26</v>
      </c>
      <c r="E1668" s="7" t="s">
        <v>16</v>
      </c>
      <c r="F1668" s="7" t="s">
        <v>16</v>
      </c>
    </row>
    <row r="1669" ht="22.5" customHeight="1">
      <c r="A1669" s="7" t="s">
        <v>3827</v>
      </c>
      <c r="B1669" s="8" t="s">
        <v>6916</v>
      </c>
      <c r="C1669" s="7" t="s">
        <v>6917</v>
      </c>
      <c r="D1669" s="7" t="s">
        <v>16</v>
      </c>
      <c r="E1669" s="7" t="s">
        <v>3806</v>
      </c>
      <c r="F1669" s="7" t="s">
        <v>3884</v>
      </c>
    </row>
    <row r="1670" ht="22.5" customHeight="1">
      <c r="A1670" s="7" t="s">
        <v>3827</v>
      </c>
      <c r="B1670" s="8" t="s">
        <v>6916</v>
      </c>
      <c r="C1670" s="7" t="s">
        <v>6918</v>
      </c>
      <c r="D1670" s="7" t="s">
        <v>26</v>
      </c>
      <c r="E1670" s="7" t="s">
        <v>16</v>
      </c>
      <c r="F1670" s="7" t="s">
        <v>16</v>
      </c>
    </row>
    <row r="1671" ht="22.5" customHeight="1">
      <c r="A1671" s="7" t="s">
        <v>3827</v>
      </c>
      <c r="B1671" s="8" t="s">
        <v>6916</v>
      </c>
      <c r="C1671" s="7" t="s">
        <v>6919</v>
      </c>
      <c r="D1671" s="7" t="s">
        <v>26</v>
      </c>
      <c r="E1671" s="7" t="s">
        <v>16</v>
      </c>
      <c r="F1671" s="7" t="s">
        <v>16</v>
      </c>
    </row>
    <row r="1672" ht="22.5" customHeight="1">
      <c r="A1672" s="7" t="s">
        <v>3800</v>
      </c>
      <c r="B1672" s="8" t="s">
        <v>6920</v>
      </c>
      <c r="C1672" s="7" t="s">
        <v>6921</v>
      </c>
      <c r="D1672" s="7" t="s">
        <v>16</v>
      </c>
      <c r="E1672" s="7" t="s">
        <v>3812</v>
      </c>
      <c r="F1672" s="7" t="s">
        <v>3879</v>
      </c>
    </row>
    <row r="1673" ht="22.5" customHeight="1">
      <c r="A1673" s="7" t="s">
        <v>2725</v>
      </c>
      <c r="B1673" s="8" t="s">
        <v>6922</v>
      </c>
      <c r="C1673" s="7" t="s">
        <v>6923</v>
      </c>
      <c r="D1673" s="7" t="s">
        <v>16</v>
      </c>
      <c r="E1673" s="7" t="s">
        <v>3799</v>
      </c>
      <c r="F1673" s="7" t="s">
        <v>16</v>
      </c>
    </row>
    <row r="1674" ht="22.5" customHeight="1">
      <c r="A1674" s="7" t="s">
        <v>3800</v>
      </c>
      <c r="B1674" s="8" t="s">
        <v>6924</v>
      </c>
      <c r="C1674" s="7" t="s">
        <v>6925</v>
      </c>
      <c r="D1674" s="7" t="s">
        <v>151</v>
      </c>
      <c r="E1674" s="7" t="s">
        <v>3806</v>
      </c>
      <c r="F1674" s="7" t="s">
        <v>16</v>
      </c>
    </row>
    <row r="1675" ht="22.5" customHeight="1">
      <c r="A1675" s="7" t="s">
        <v>3837</v>
      </c>
      <c r="B1675" s="8" t="s">
        <v>6926</v>
      </c>
      <c r="C1675" s="7" t="s">
        <v>6927</v>
      </c>
      <c r="D1675" s="7" t="s">
        <v>16</v>
      </c>
      <c r="E1675" s="7" t="s">
        <v>3806</v>
      </c>
      <c r="F1675" s="7" t="s">
        <v>16</v>
      </c>
    </row>
    <row r="1676" ht="22.5" customHeight="1">
      <c r="A1676" s="7" t="s">
        <v>3837</v>
      </c>
      <c r="B1676" s="8" t="s">
        <v>6928</v>
      </c>
      <c r="C1676" s="7" t="s">
        <v>6929</v>
      </c>
      <c r="D1676" s="7" t="s">
        <v>16</v>
      </c>
      <c r="E1676" s="7" t="s">
        <v>3803</v>
      </c>
      <c r="F1676" s="7" t="s">
        <v>4633</v>
      </c>
    </row>
    <row r="1677" ht="22.5" customHeight="1">
      <c r="A1677" s="7" t="s">
        <v>2725</v>
      </c>
      <c r="B1677" s="8" t="s">
        <v>6930</v>
      </c>
      <c r="C1677" s="7" t="s">
        <v>6931</v>
      </c>
      <c r="D1677" s="7" t="s">
        <v>26</v>
      </c>
      <c r="E1677" s="7" t="s">
        <v>16</v>
      </c>
      <c r="F1677" s="7" t="s">
        <v>16</v>
      </c>
    </row>
    <row r="1678" ht="22.5" customHeight="1">
      <c r="A1678" s="7" t="s">
        <v>3837</v>
      </c>
      <c r="B1678" s="8" t="s">
        <v>6932</v>
      </c>
      <c r="C1678" s="7" t="s">
        <v>6933</v>
      </c>
      <c r="D1678" s="7" t="s">
        <v>16</v>
      </c>
      <c r="E1678" s="7" t="s">
        <v>3806</v>
      </c>
      <c r="F1678" s="7" t="s">
        <v>3884</v>
      </c>
    </row>
    <row r="1679" ht="22.5" customHeight="1">
      <c r="A1679" s="7" t="s">
        <v>3800</v>
      </c>
      <c r="B1679" s="8" t="s">
        <v>6934</v>
      </c>
      <c r="C1679" s="7" t="s">
        <v>6935</v>
      </c>
      <c r="D1679" s="7" t="s">
        <v>26</v>
      </c>
      <c r="E1679" s="7" t="s">
        <v>16</v>
      </c>
      <c r="F1679" s="7" t="s">
        <v>16</v>
      </c>
    </row>
    <row r="1680" ht="22.5" customHeight="1">
      <c r="A1680" s="7" t="s">
        <v>3807</v>
      </c>
      <c r="B1680" s="8" t="s">
        <v>6936</v>
      </c>
      <c r="C1680" s="7" t="s">
        <v>6937</v>
      </c>
      <c r="D1680" s="7" t="s">
        <v>16</v>
      </c>
      <c r="E1680" s="7" t="s">
        <v>3806</v>
      </c>
      <c r="F1680" s="7" t="s">
        <v>16</v>
      </c>
    </row>
    <row r="1681" ht="22.5" customHeight="1">
      <c r="A1681" s="7" t="s">
        <v>3807</v>
      </c>
      <c r="B1681" s="8" t="s">
        <v>6938</v>
      </c>
      <c r="C1681" s="7" t="s">
        <v>6939</v>
      </c>
      <c r="D1681" s="7" t="s">
        <v>16</v>
      </c>
      <c r="E1681" s="7" t="s">
        <v>3806</v>
      </c>
      <c r="F1681" s="7" t="s">
        <v>16</v>
      </c>
    </row>
    <row r="1682" ht="22.5" customHeight="1">
      <c r="A1682" s="7" t="s">
        <v>3807</v>
      </c>
      <c r="B1682" s="8" t="s">
        <v>6940</v>
      </c>
      <c r="C1682" s="7" t="s">
        <v>6941</v>
      </c>
      <c r="D1682" s="7" t="s">
        <v>4868</v>
      </c>
      <c r="E1682" s="7" t="s">
        <v>3806</v>
      </c>
      <c r="F1682" s="7" t="s">
        <v>16</v>
      </c>
    </row>
    <row r="1683" ht="22.5" customHeight="1">
      <c r="A1683" s="7" t="s">
        <v>2725</v>
      </c>
      <c r="B1683" s="8" t="s">
        <v>6942</v>
      </c>
      <c r="C1683" s="7" t="s">
        <v>6943</v>
      </c>
      <c r="D1683" s="7" t="s">
        <v>4868</v>
      </c>
      <c r="E1683" s="7" t="s">
        <v>3812</v>
      </c>
      <c r="F1683" s="7" t="s">
        <v>16</v>
      </c>
    </row>
    <row r="1684" ht="22.5" customHeight="1">
      <c r="A1684" s="7" t="s">
        <v>3837</v>
      </c>
      <c r="B1684" s="8" t="s">
        <v>6944</v>
      </c>
      <c r="C1684" s="7" t="s">
        <v>6945</v>
      </c>
      <c r="D1684" s="7" t="s">
        <v>4868</v>
      </c>
      <c r="E1684" s="7" t="s">
        <v>3812</v>
      </c>
      <c r="F1684" s="7" t="s">
        <v>16</v>
      </c>
    </row>
    <row r="1685" ht="22.5" customHeight="1">
      <c r="A1685" s="7" t="s">
        <v>2327</v>
      </c>
      <c r="B1685" s="8" t="s">
        <v>6946</v>
      </c>
      <c r="C1685" s="7" t="s">
        <v>6947</v>
      </c>
      <c r="D1685" s="7" t="s">
        <v>4868</v>
      </c>
      <c r="E1685" s="7" t="s">
        <v>3812</v>
      </c>
      <c r="F1685" s="7" t="s">
        <v>16</v>
      </c>
    </row>
    <row r="1686" ht="22.5" customHeight="1">
      <c r="A1686" s="7" t="s">
        <v>3871</v>
      </c>
      <c r="B1686" s="8" t="s">
        <v>6948</v>
      </c>
      <c r="C1686" s="7" t="s">
        <v>6949</v>
      </c>
      <c r="D1686" s="7" t="s">
        <v>4900</v>
      </c>
      <c r="E1686" s="7" t="s">
        <v>3803</v>
      </c>
      <c r="F1686" s="7" t="s">
        <v>3993</v>
      </c>
    </row>
    <row r="1687" ht="22.5" customHeight="1">
      <c r="A1687" s="7" t="s">
        <v>3837</v>
      </c>
      <c r="B1687" s="8" t="s">
        <v>6950</v>
      </c>
      <c r="C1687" s="7" t="s">
        <v>6951</v>
      </c>
      <c r="D1687" s="7" t="s">
        <v>4868</v>
      </c>
      <c r="E1687" s="7" t="s">
        <v>3806</v>
      </c>
      <c r="F1687" s="7" t="s">
        <v>16</v>
      </c>
    </row>
    <row r="1688" ht="22.5" customHeight="1">
      <c r="A1688" s="7" t="s">
        <v>2725</v>
      </c>
      <c r="B1688" s="8" t="s">
        <v>6952</v>
      </c>
      <c r="C1688" s="7" t="s">
        <v>6953</v>
      </c>
      <c r="D1688" s="7" t="s">
        <v>4868</v>
      </c>
      <c r="E1688" s="7" t="s">
        <v>3806</v>
      </c>
      <c r="F1688" s="7" t="s">
        <v>16</v>
      </c>
    </row>
    <row r="1689" ht="22.5" customHeight="1">
      <c r="A1689" s="7" t="s">
        <v>3871</v>
      </c>
      <c r="B1689" s="8" t="s">
        <v>6954</v>
      </c>
      <c r="C1689" s="7" t="s">
        <v>6955</v>
      </c>
      <c r="D1689" s="7" t="s">
        <v>4897</v>
      </c>
      <c r="E1689" s="7" t="s">
        <v>3806</v>
      </c>
      <c r="F1689" s="7" t="s">
        <v>3884</v>
      </c>
    </row>
    <row r="1690" ht="22.5" customHeight="1">
      <c r="A1690" s="7" t="s">
        <v>2725</v>
      </c>
      <c r="B1690" s="8" t="s">
        <v>6956</v>
      </c>
      <c r="C1690" s="7" t="s">
        <v>6957</v>
      </c>
      <c r="D1690" s="7" t="s">
        <v>4897</v>
      </c>
      <c r="E1690" s="7" t="s">
        <v>3806</v>
      </c>
      <c r="F1690" s="7" t="s">
        <v>3884</v>
      </c>
    </row>
    <row r="1691" ht="22.5" customHeight="1">
      <c r="A1691" s="7" t="s">
        <v>3800</v>
      </c>
      <c r="B1691" s="8" t="s">
        <v>6958</v>
      </c>
      <c r="C1691" s="7" t="s">
        <v>6959</v>
      </c>
      <c r="D1691" s="7" t="s">
        <v>26</v>
      </c>
      <c r="E1691" s="7" t="s">
        <v>16</v>
      </c>
      <c r="F1691" s="7" t="s">
        <v>16</v>
      </c>
    </row>
    <row r="1692" ht="22.5" customHeight="1">
      <c r="A1692" s="7" t="s">
        <v>3800</v>
      </c>
      <c r="B1692" s="8" t="s">
        <v>6958</v>
      </c>
      <c r="C1692" s="7" t="s">
        <v>6960</v>
      </c>
      <c r="D1692" s="7" t="s">
        <v>4900</v>
      </c>
      <c r="E1692" s="7" t="s">
        <v>3803</v>
      </c>
      <c r="F1692" s="7" t="s">
        <v>3993</v>
      </c>
    </row>
    <row r="1693" ht="22.5" customHeight="1">
      <c r="A1693" s="7" t="s">
        <v>2725</v>
      </c>
      <c r="B1693" s="8" t="s">
        <v>6961</v>
      </c>
      <c r="C1693" s="7" t="s">
        <v>6962</v>
      </c>
      <c r="D1693" s="7" t="s">
        <v>4900</v>
      </c>
      <c r="E1693" s="7" t="s">
        <v>3803</v>
      </c>
      <c r="F1693" s="7" t="s">
        <v>3993</v>
      </c>
    </row>
    <row r="1694" ht="22.5" customHeight="1">
      <c r="A1694" s="7" t="s">
        <v>2725</v>
      </c>
      <c r="B1694" s="8" t="s">
        <v>6963</v>
      </c>
      <c r="C1694" s="7" t="s">
        <v>6964</v>
      </c>
      <c r="D1694" s="7" t="s">
        <v>26</v>
      </c>
      <c r="E1694" s="7" t="s">
        <v>16</v>
      </c>
      <c r="F1694" s="7" t="s">
        <v>16</v>
      </c>
    </row>
    <row r="1695" ht="22.5" customHeight="1">
      <c r="A1695" s="7" t="s">
        <v>2725</v>
      </c>
      <c r="B1695" s="8" t="s">
        <v>6963</v>
      </c>
      <c r="C1695" s="7" t="s">
        <v>6965</v>
      </c>
      <c r="D1695" s="7" t="s">
        <v>26</v>
      </c>
      <c r="E1695" s="7" t="s">
        <v>16</v>
      </c>
      <c r="F1695" s="7" t="s">
        <v>16</v>
      </c>
    </row>
    <row r="1696" ht="22.5" customHeight="1">
      <c r="A1696" s="7" t="s">
        <v>2725</v>
      </c>
      <c r="B1696" s="8" t="s">
        <v>6963</v>
      </c>
      <c r="C1696" s="7" t="s">
        <v>6966</v>
      </c>
      <c r="D1696" s="7" t="s">
        <v>4868</v>
      </c>
      <c r="E1696" s="7" t="s">
        <v>3806</v>
      </c>
      <c r="F1696" s="7" t="s">
        <v>16</v>
      </c>
    </row>
    <row r="1697" ht="22.5" customHeight="1">
      <c r="A1697" s="7" t="s">
        <v>3807</v>
      </c>
      <c r="B1697" s="8" t="s">
        <v>6967</v>
      </c>
      <c r="C1697" s="7" t="s">
        <v>6968</v>
      </c>
      <c r="D1697" s="7" t="s">
        <v>4868</v>
      </c>
      <c r="E1697" s="7" t="s">
        <v>3803</v>
      </c>
      <c r="F1697" s="7" t="s">
        <v>16</v>
      </c>
    </row>
    <row r="1698" ht="22.5" customHeight="1">
      <c r="A1698" s="7" t="s">
        <v>3837</v>
      </c>
      <c r="B1698" s="8" t="s">
        <v>6969</v>
      </c>
      <c r="C1698" s="7" t="s">
        <v>6970</v>
      </c>
      <c r="D1698" s="7" t="s">
        <v>4868</v>
      </c>
      <c r="E1698" s="7" t="s">
        <v>3806</v>
      </c>
      <c r="F1698" s="7" t="s">
        <v>16</v>
      </c>
    </row>
    <row r="1699" ht="22.5" customHeight="1">
      <c r="A1699" s="7" t="s">
        <v>2725</v>
      </c>
      <c r="B1699" s="8" t="s">
        <v>6971</v>
      </c>
      <c r="C1699" s="7" t="s">
        <v>6972</v>
      </c>
      <c r="D1699" s="7" t="s">
        <v>4936</v>
      </c>
      <c r="E1699" s="7" t="s">
        <v>3799</v>
      </c>
      <c r="F1699" s="7" t="s">
        <v>16</v>
      </c>
    </row>
    <row r="1700" ht="22.5" customHeight="1">
      <c r="A1700" s="7" t="s">
        <v>3871</v>
      </c>
      <c r="B1700" s="8" t="s">
        <v>6973</v>
      </c>
      <c r="C1700" s="7" t="s">
        <v>6974</v>
      </c>
      <c r="D1700" s="7" t="s">
        <v>4936</v>
      </c>
      <c r="E1700" s="7" t="s">
        <v>3799</v>
      </c>
      <c r="F1700" s="7" t="s">
        <v>16</v>
      </c>
    </row>
    <row r="1701" ht="22.5" customHeight="1">
      <c r="A1701" s="7" t="s">
        <v>3800</v>
      </c>
      <c r="B1701" s="8" t="s">
        <v>6975</v>
      </c>
      <c r="C1701" s="7" t="s">
        <v>6976</v>
      </c>
      <c r="D1701" s="7" t="s">
        <v>4897</v>
      </c>
      <c r="E1701" s="7" t="s">
        <v>3806</v>
      </c>
      <c r="F1701" s="7" t="s">
        <v>3884</v>
      </c>
    </row>
    <row r="1702" ht="22.5" customHeight="1">
      <c r="A1702" s="7" t="s">
        <v>3800</v>
      </c>
      <c r="B1702" s="8" t="s">
        <v>6977</v>
      </c>
      <c r="C1702" s="7" t="s">
        <v>6978</v>
      </c>
      <c r="D1702" s="7" t="s">
        <v>4897</v>
      </c>
      <c r="E1702" s="7" t="s">
        <v>3806</v>
      </c>
      <c r="F1702" s="7" t="s">
        <v>3884</v>
      </c>
    </row>
    <row r="1703" ht="22.5" customHeight="1">
      <c r="A1703" s="7" t="s">
        <v>3800</v>
      </c>
      <c r="B1703" s="8" t="s">
        <v>6979</v>
      </c>
      <c r="C1703" s="7" t="s">
        <v>6980</v>
      </c>
      <c r="D1703" s="7" t="s">
        <v>16</v>
      </c>
      <c r="E1703" s="7" t="s">
        <v>3799</v>
      </c>
      <c r="F1703" s="7" t="s">
        <v>4107</v>
      </c>
    </row>
    <row r="1704" ht="22.5" customHeight="1">
      <c r="A1704" s="7" t="s">
        <v>3800</v>
      </c>
      <c r="B1704" s="8" t="s">
        <v>6981</v>
      </c>
      <c r="C1704" s="7" t="s">
        <v>6982</v>
      </c>
      <c r="D1704" s="7" t="s">
        <v>16</v>
      </c>
      <c r="E1704" s="7" t="s">
        <v>3812</v>
      </c>
      <c r="F1704" s="7" t="s">
        <v>4107</v>
      </c>
    </row>
    <row r="1705" ht="22.5" customHeight="1">
      <c r="A1705" s="7" t="s">
        <v>3800</v>
      </c>
      <c r="B1705" s="8" t="s">
        <v>6983</v>
      </c>
      <c r="C1705" s="7" t="s">
        <v>6984</v>
      </c>
      <c r="D1705" s="7" t="s">
        <v>16</v>
      </c>
      <c r="E1705" s="7" t="s">
        <v>3799</v>
      </c>
      <c r="F1705" s="7" t="s">
        <v>4107</v>
      </c>
    </row>
    <row r="1706" ht="22.5" customHeight="1">
      <c r="A1706" s="7" t="s">
        <v>3800</v>
      </c>
      <c r="B1706" s="8" t="s">
        <v>6985</v>
      </c>
      <c r="C1706" s="7" t="s">
        <v>6986</v>
      </c>
      <c r="D1706" s="7" t="s">
        <v>16</v>
      </c>
      <c r="E1706" s="7" t="s">
        <v>3799</v>
      </c>
      <c r="F1706" s="7" t="s">
        <v>4107</v>
      </c>
    </row>
    <row r="1707" ht="22.5" customHeight="1">
      <c r="A1707" s="7" t="s">
        <v>3837</v>
      </c>
      <c r="B1707" s="8" t="s">
        <v>6987</v>
      </c>
      <c r="C1707" s="7" t="s">
        <v>6988</v>
      </c>
      <c r="D1707" s="7" t="s">
        <v>16</v>
      </c>
      <c r="E1707" s="7" t="s">
        <v>3806</v>
      </c>
      <c r="F1707" s="7" t="s">
        <v>16</v>
      </c>
    </row>
    <row r="1708" ht="22.5" customHeight="1">
      <c r="A1708" s="7" t="s">
        <v>3837</v>
      </c>
      <c r="B1708" s="8" t="s">
        <v>6987</v>
      </c>
      <c r="C1708" s="7" t="s">
        <v>6989</v>
      </c>
      <c r="D1708" s="7" t="s">
        <v>26</v>
      </c>
      <c r="E1708" s="7" t="s">
        <v>16</v>
      </c>
      <c r="F1708" s="7" t="s">
        <v>16</v>
      </c>
    </row>
    <row r="1709" ht="22.5" customHeight="1">
      <c r="A1709" s="7" t="s">
        <v>3837</v>
      </c>
      <c r="B1709" s="8" t="s">
        <v>6987</v>
      </c>
      <c r="C1709" s="7" t="s">
        <v>6990</v>
      </c>
      <c r="D1709" s="7" t="s">
        <v>26</v>
      </c>
      <c r="E1709" s="7" t="s">
        <v>16</v>
      </c>
      <c r="F1709" s="7" t="s">
        <v>16</v>
      </c>
    </row>
    <row r="1710" ht="22.5" customHeight="1">
      <c r="A1710" s="7" t="s">
        <v>3800</v>
      </c>
      <c r="B1710" s="8" t="s">
        <v>6991</v>
      </c>
      <c r="C1710" s="7" t="s">
        <v>6992</v>
      </c>
      <c r="D1710" s="7" t="s">
        <v>26</v>
      </c>
      <c r="E1710" s="7" t="s">
        <v>16</v>
      </c>
      <c r="F1710" s="7" t="s">
        <v>16</v>
      </c>
    </row>
    <row r="1711" ht="22.5" customHeight="1">
      <c r="A1711" s="7" t="s">
        <v>2725</v>
      </c>
      <c r="B1711" s="8" t="s">
        <v>6993</v>
      </c>
      <c r="C1711" s="7" t="s">
        <v>6994</v>
      </c>
      <c r="D1711" s="7" t="s">
        <v>16</v>
      </c>
      <c r="E1711" s="7" t="s">
        <v>3806</v>
      </c>
      <c r="F1711" s="7" t="s">
        <v>16</v>
      </c>
    </row>
    <row r="1712" ht="22.5" customHeight="1">
      <c r="A1712" s="7" t="s">
        <v>2725</v>
      </c>
      <c r="B1712" s="8" t="s">
        <v>6993</v>
      </c>
      <c r="C1712" s="7" t="s">
        <v>6995</v>
      </c>
      <c r="D1712" s="7" t="s">
        <v>16</v>
      </c>
      <c r="E1712" s="7" t="s">
        <v>3806</v>
      </c>
      <c r="F1712" s="7" t="s">
        <v>16</v>
      </c>
    </row>
    <row r="1713" ht="22.5" customHeight="1">
      <c r="A1713" s="7" t="s">
        <v>3800</v>
      </c>
      <c r="B1713" s="8" t="s">
        <v>6996</v>
      </c>
      <c r="C1713" s="7" t="s">
        <v>6997</v>
      </c>
      <c r="D1713" s="7" t="s">
        <v>26</v>
      </c>
      <c r="E1713" s="7" t="s">
        <v>16</v>
      </c>
      <c r="F1713" s="7" t="s">
        <v>16</v>
      </c>
    </row>
    <row r="1714" ht="22.5" customHeight="1">
      <c r="A1714" s="7" t="s">
        <v>3827</v>
      </c>
      <c r="B1714" s="8" t="s">
        <v>6998</v>
      </c>
      <c r="C1714" s="7" t="s">
        <v>6999</v>
      </c>
      <c r="D1714" s="7" t="s">
        <v>16</v>
      </c>
      <c r="E1714" s="7" t="s">
        <v>3803</v>
      </c>
      <c r="F1714" s="7" t="s">
        <v>3816</v>
      </c>
    </row>
    <row r="1715" ht="22.5" customHeight="1">
      <c r="A1715" s="7" t="s">
        <v>3800</v>
      </c>
      <c r="B1715" s="8" t="s">
        <v>7000</v>
      </c>
      <c r="C1715" s="7" t="s">
        <v>7001</v>
      </c>
      <c r="D1715" s="7" t="s">
        <v>16</v>
      </c>
      <c r="E1715" s="7" t="s">
        <v>3812</v>
      </c>
      <c r="F1715" s="7" t="s">
        <v>4107</v>
      </c>
    </row>
    <row r="1716" ht="22.5" customHeight="1">
      <c r="A1716" s="7" t="s">
        <v>2725</v>
      </c>
      <c r="B1716" s="8" t="s">
        <v>7002</v>
      </c>
      <c r="C1716" s="7" t="s">
        <v>7003</v>
      </c>
      <c r="D1716" s="7" t="s">
        <v>16</v>
      </c>
      <c r="E1716" s="7" t="s">
        <v>3806</v>
      </c>
      <c r="F1716" s="7" t="s">
        <v>3884</v>
      </c>
    </row>
    <row r="1717" ht="22.5" customHeight="1">
      <c r="A1717" s="7" t="s">
        <v>2725</v>
      </c>
      <c r="B1717" s="8" t="s">
        <v>7002</v>
      </c>
      <c r="C1717" s="7" t="s">
        <v>7004</v>
      </c>
      <c r="D1717" s="7" t="s">
        <v>26</v>
      </c>
      <c r="E1717" s="7" t="s">
        <v>16</v>
      </c>
      <c r="F1717" s="7" t="s">
        <v>16</v>
      </c>
    </row>
    <row r="1718" ht="22.5" customHeight="1">
      <c r="A1718" s="7" t="s">
        <v>3827</v>
      </c>
      <c r="B1718" s="8" t="s">
        <v>7005</v>
      </c>
      <c r="C1718" s="7" t="s">
        <v>7006</v>
      </c>
      <c r="D1718" s="7" t="s">
        <v>26</v>
      </c>
      <c r="E1718" s="7" t="s">
        <v>16</v>
      </c>
      <c r="F1718" s="7" t="s">
        <v>16</v>
      </c>
    </row>
    <row r="1719" ht="22.5" customHeight="1">
      <c r="A1719" s="7" t="s">
        <v>3827</v>
      </c>
      <c r="B1719" s="8" t="s">
        <v>7005</v>
      </c>
      <c r="C1719" s="7" t="s">
        <v>7007</v>
      </c>
      <c r="D1719" s="7" t="s">
        <v>26</v>
      </c>
      <c r="E1719" s="7" t="s">
        <v>16</v>
      </c>
      <c r="F1719" s="7" t="s">
        <v>16</v>
      </c>
    </row>
    <row r="1720" ht="22.5" customHeight="1">
      <c r="A1720" s="7" t="s">
        <v>3807</v>
      </c>
      <c r="B1720" s="8" t="s">
        <v>7008</v>
      </c>
      <c r="C1720" s="7" t="s">
        <v>7009</v>
      </c>
      <c r="D1720" s="7" t="s">
        <v>16</v>
      </c>
      <c r="E1720" s="7" t="s">
        <v>3806</v>
      </c>
      <c r="F1720" s="7" t="s">
        <v>16</v>
      </c>
    </row>
    <row r="1721" ht="22.5" customHeight="1">
      <c r="A1721" s="7" t="s">
        <v>3800</v>
      </c>
      <c r="B1721" s="8" t="s">
        <v>7010</v>
      </c>
      <c r="C1721" s="7" t="s">
        <v>7011</v>
      </c>
      <c r="D1721" s="7" t="s">
        <v>26</v>
      </c>
      <c r="E1721" s="7" t="s">
        <v>16</v>
      </c>
      <c r="F1721" s="7" t="s">
        <v>16</v>
      </c>
    </row>
    <row r="1722" ht="22.5" customHeight="1">
      <c r="A1722" s="7" t="s">
        <v>3807</v>
      </c>
      <c r="B1722" s="8" t="s">
        <v>7012</v>
      </c>
      <c r="C1722" s="7" t="s">
        <v>7013</v>
      </c>
      <c r="D1722" s="7" t="s">
        <v>16</v>
      </c>
      <c r="E1722" s="7" t="s">
        <v>3812</v>
      </c>
      <c r="F1722" s="7" t="s">
        <v>3850</v>
      </c>
    </row>
    <row r="1723" ht="22.5" customHeight="1">
      <c r="A1723" s="7" t="s">
        <v>3871</v>
      </c>
      <c r="B1723" s="8" t="s">
        <v>7014</v>
      </c>
      <c r="C1723" s="7" t="s">
        <v>7015</v>
      </c>
      <c r="D1723" s="7" t="s">
        <v>3871</v>
      </c>
      <c r="E1723" s="7" t="s">
        <v>3803</v>
      </c>
      <c r="F1723" s="7" t="s">
        <v>3964</v>
      </c>
    </row>
    <row r="1724" ht="22.5" customHeight="1">
      <c r="A1724" s="7" t="s">
        <v>3800</v>
      </c>
      <c r="B1724" s="8" t="s">
        <v>7016</v>
      </c>
      <c r="C1724" s="7" t="s">
        <v>7017</v>
      </c>
      <c r="D1724" s="7" t="s">
        <v>16</v>
      </c>
      <c r="E1724" s="7" t="s">
        <v>3812</v>
      </c>
      <c r="F1724" s="7" t="s">
        <v>16</v>
      </c>
    </row>
    <row r="1725" ht="22.5" customHeight="1">
      <c r="A1725" s="7" t="s">
        <v>3800</v>
      </c>
      <c r="B1725" s="8" t="s">
        <v>7016</v>
      </c>
      <c r="C1725" s="7" t="s">
        <v>7018</v>
      </c>
      <c r="D1725" s="7" t="s">
        <v>26</v>
      </c>
      <c r="E1725" s="7" t="s">
        <v>16</v>
      </c>
      <c r="F1725" s="7" t="s">
        <v>16</v>
      </c>
    </row>
    <row r="1726" ht="22.5" customHeight="1">
      <c r="A1726" s="7" t="s">
        <v>3800</v>
      </c>
      <c r="B1726" s="8" t="s">
        <v>7019</v>
      </c>
      <c r="C1726" s="7" t="s">
        <v>7020</v>
      </c>
      <c r="D1726" s="7" t="s">
        <v>16</v>
      </c>
      <c r="E1726" s="7" t="s">
        <v>3803</v>
      </c>
      <c r="F1726" s="7" t="s">
        <v>3964</v>
      </c>
    </row>
    <row r="1727" ht="22.5" customHeight="1">
      <c r="A1727" s="7" t="s">
        <v>2327</v>
      </c>
      <c r="B1727" s="8" t="s">
        <v>7021</v>
      </c>
      <c r="C1727" s="7" t="s">
        <v>7022</v>
      </c>
      <c r="D1727" s="7" t="s">
        <v>26</v>
      </c>
      <c r="E1727" s="7" t="s">
        <v>16</v>
      </c>
      <c r="F1727" s="7" t="s">
        <v>16</v>
      </c>
    </row>
    <row r="1728" ht="22.5" customHeight="1">
      <c r="A1728" s="7" t="s">
        <v>2327</v>
      </c>
      <c r="B1728" s="8" t="s">
        <v>7023</v>
      </c>
      <c r="C1728" s="7" t="s">
        <v>7024</v>
      </c>
      <c r="D1728" s="7" t="s">
        <v>26</v>
      </c>
      <c r="E1728" s="7" t="s">
        <v>16</v>
      </c>
      <c r="F1728" s="7" t="s">
        <v>16</v>
      </c>
    </row>
    <row r="1729" ht="22.5" customHeight="1">
      <c r="A1729" s="7" t="s">
        <v>2327</v>
      </c>
      <c r="B1729" s="8" t="s">
        <v>7025</v>
      </c>
      <c r="C1729" s="7" t="s">
        <v>7026</v>
      </c>
      <c r="D1729" s="7" t="s">
        <v>26</v>
      </c>
      <c r="E1729" s="7" t="s">
        <v>16</v>
      </c>
      <c r="F1729" s="7" t="s">
        <v>16</v>
      </c>
    </row>
    <row r="1730" ht="22.5" customHeight="1">
      <c r="A1730" s="7" t="s">
        <v>3800</v>
      </c>
      <c r="B1730" s="8" t="s">
        <v>7027</v>
      </c>
      <c r="C1730" s="7" t="s">
        <v>7028</v>
      </c>
      <c r="D1730" s="7" t="s">
        <v>16</v>
      </c>
      <c r="E1730" s="7" t="s">
        <v>3799</v>
      </c>
      <c r="F1730" s="7" t="s">
        <v>16</v>
      </c>
    </row>
    <row r="1731" ht="22.5" customHeight="1">
      <c r="A1731" s="7" t="s">
        <v>3800</v>
      </c>
      <c r="B1731" s="8" t="s">
        <v>7029</v>
      </c>
      <c r="C1731" s="7" t="s">
        <v>7030</v>
      </c>
      <c r="D1731" s="7" t="s">
        <v>16</v>
      </c>
      <c r="E1731" s="7" t="s">
        <v>3806</v>
      </c>
      <c r="F1731" s="7" t="s">
        <v>16</v>
      </c>
    </row>
    <row r="1732" ht="22.5" customHeight="1">
      <c r="A1732" s="7" t="s">
        <v>2725</v>
      </c>
      <c r="B1732" s="8" t="s">
        <v>7031</v>
      </c>
      <c r="C1732" s="7" t="s">
        <v>7032</v>
      </c>
      <c r="D1732" s="7" t="s">
        <v>26</v>
      </c>
      <c r="E1732" s="7" t="s">
        <v>16</v>
      </c>
      <c r="F1732" s="7" t="s">
        <v>16</v>
      </c>
    </row>
    <row r="1733" ht="22.5" customHeight="1">
      <c r="A1733" s="7" t="s">
        <v>3807</v>
      </c>
      <c r="B1733" s="8" t="s">
        <v>7033</v>
      </c>
      <c r="C1733" s="7" t="s">
        <v>7034</v>
      </c>
      <c r="D1733" s="7" t="s">
        <v>26</v>
      </c>
      <c r="E1733" s="7" t="s">
        <v>16</v>
      </c>
      <c r="F1733" s="7" t="s">
        <v>16</v>
      </c>
    </row>
    <row r="1734" ht="22.5" customHeight="1">
      <c r="A1734" s="7" t="s">
        <v>3800</v>
      </c>
      <c r="B1734" s="8" t="s">
        <v>7035</v>
      </c>
      <c r="C1734" s="7" t="s">
        <v>7036</v>
      </c>
      <c r="D1734" s="7" t="s">
        <v>16</v>
      </c>
      <c r="E1734" s="7" t="s">
        <v>3799</v>
      </c>
      <c r="F1734" s="7" t="s">
        <v>16</v>
      </c>
    </row>
    <row r="1735" ht="22.5" customHeight="1">
      <c r="A1735" s="7" t="s">
        <v>2725</v>
      </c>
      <c r="B1735" s="8" t="s">
        <v>7037</v>
      </c>
      <c r="C1735" s="7" t="s">
        <v>7038</v>
      </c>
      <c r="D1735" s="7" t="s">
        <v>26</v>
      </c>
      <c r="E1735" s="7" t="s">
        <v>16</v>
      </c>
      <c r="F1735" s="7" t="s">
        <v>16</v>
      </c>
    </row>
    <row r="1736" ht="22.5" customHeight="1">
      <c r="A1736" s="7" t="s">
        <v>3807</v>
      </c>
      <c r="B1736" s="8" t="s">
        <v>7039</v>
      </c>
      <c r="C1736" s="7" t="s">
        <v>7040</v>
      </c>
      <c r="D1736" s="7" t="s">
        <v>26</v>
      </c>
      <c r="E1736" s="7" t="s">
        <v>16</v>
      </c>
      <c r="F1736" s="7" t="s">
        <v>16</v>
      </c>
    </row>
    <row r="1737" ht="22.5" customHeight="1">
      <c r="A1737" s="7" t="s">
        <v>3837</v>
      </c>
      <c r="B1737" s="8" t="s">
        <v>7041</v>
      </c>
      <c r="C1737" s="7" t="s">
        <v>7042</v>
      </c>
      <c r="D1737" s="7" t="s">
        <v>3951</v>
      </c>
      <c r="E1737" s="7" t="s">
        <v>3803</v>
      </c>
      <c r="F1737" s="7" t="s">
        <v>3952</v>
      </c>
    </row>
    <row r="1738" ht="22.5" customHeight="1">
      <c r="A1738" s="7" t="s">
        <v>3827</v>
      </c>
      <c r="B1738" s="8" t="s">
        <v>7043</v>
      </c>
      <c r="C1738" s="7" t="s">
        <v>7044</v>
      </c>
      <c r="D1738" s="7" t="s">
        <v>26</v>
      </c>
      <c r="E1738" s="7" t="s">
        <v>16</v>
      </c>
      <c r="F1738" s="7" t="s">
        <v>16</v>
      </c>
    </row>
    <row r="1739" ht="22.5" customHeight="1">
      <c r="A1739" s="7" t="s">
        <v>3807</v>
      </c>
      <c r="B1739" s="8" t="s">
        <v>7045</v>
      </c>
      <c r="C1739" s="7" t="s">
        <v>7046</v>
      </c>
      <c r="D1739" s="7" t="s">
        <v>26</v>
      </c>
      <c r="E1739" s="7" t="s">
        <v>16</v>
      </c>
      <c r="F1739" s="7" t="s">
        <v>16</v>
      </c>
    </row>
    <row r="1740" ht="22.5" customHeight="1">
      <c r="A1740" s="7" t="s">
        <v>3837</v>
      </c>
      <c r="B1740" s="8" t="s">
        <v>7047</v>
      </c>
      <c r="C1740" s="7" t="s">
        <v>7048</v>
      </c>
      <c r="D1740" s="7" t="s">
        <v>26</v>
      </c>
      <c r="E1740" s="7" t="s">
        <v>16</v>
      </c>
      <c r="F1740" s="7" t="s">
        <v>16</v>
      </c>
    </row>
    <row r="1741" ht="22.5" customHeight="1">
      <c r="A1741" s="7" t="s">
        <v>3837</v>
      </c>
      <c r="B1741" s="8" t="s">
        <v>7049</v>
      </c>
      <c r="C1741" s="7" t="s">
        <v>7050</v>
      </c>
      <c r="D1741" s="7" t="s">
        <v>16</v>
      </c>
      <c r="E1741" s="7" t="s">
        <v>3803</v>
      </c>
      <c r="F1741" s="7" t="s">
        <v>3816</v>
      </c>
    </row>
    <row r="1742" ht="22.5" customHeight="1">
      <c r="A1742" s="7" t="s">
        <v>2327</v>
      </c>
      <c r="B1742" s="8" t="s">
        <v>7051</v>
      </c>
      <c r="C1742" s="7" t="s">
        <v>7052</v>
      </c>
      <c r="D1742" s="7" t="s">
        <v>16</v>
      </c>
      <c r="E1742" s="7" t="s">
        <v>3799</v>
      </c>
      <c r="F1742" s="7" t="s">
        <v>16</v>
      </c>
    </row>
    <row r="1743" ht="22.5" customHeight="1">
      <c r="A1743" s="7" t="s">
        <v>3800</v>
      </c>
      <c r="B1743" s="8" t="s">
        <v>7053</v>
      </c>
      <c r="C1743" s="7" t="s">
        <v>7054</v>
      </c>
      <c r="D1743" s="7" t="s">
        <v>26</v>
      </c>
      <c r="E1743" s="7" t="s">
        <v>16</v>
      </c>
      <c r="F1743" s="7" t="s">
        <v>16</v>
      </c>
    </row>
    <row r="1744" ht="22.5" customHeight="1">
      <c r="A1744" s="7" t="s">
        <v>3800</v>
      </c>
      <c r="B1744" s="8" t="s">
        <v>7055</v>
      </c>
      <c r="C1744" s="7" t="s">
        <v>7056</v>
      </c>
      <c r="D1744" s="7" t="s">
        <v>16</v>
      </c>
      <c r="E1744" s="7" t="s">
        <v>3803</v>
      </c>
      <c r="F1744" s="7" t="s">
        <v>3816</v>
      </c>
    </row>
    <row r="1745" ht="22.5" customHeight="1">
      <c r="A1745" s="7" t="s">
        <v>3800</v>
      </c>
      <c r="B1745" s="8" t="s">
        <v>7057</v>
      </c>
      <c r="C1745" s="7" t="s">
        <v>7058</v>
      </c>
      <c r="D1745" s="7" t="s">
        <v>26</v>
      </c>
      <c r="E1745" s="7" t="s">
        <v>16</v>
      </c>
      <c r="F1745" s="7" t="s">
        <v>16</v>
      </c>
    </row>
    <row r="1746" ht="22.5" customHeight="1">
      <c r="A1746" s="7" t="s">
        <v>3837</v>
      </c>
      <c r="B1746" s="8" t="s">
        <v>7059</v>
      </c>
      <c r="C1746" s="7" t="s">
        <v>7060</v>
      </c>
      <c r="D1746" s="7" t="s">
        <v>16</v>
      </c>
      <c r="E1746" s="7" t="s">
        <v>3806</v>
      </c>
      <c r="F1746" s="7" t="s">
        <v>16</v>
      </c>
    </row>
    <row r="1747" ht="22.5" customHeight="1">
      <c r="A1747" s="7" t="s">
        <v>3800</v>
      </c>
      <c r="B1747" s="8" t="s">
        <v>7061</v>
      </c>
      <c r="C1747" s="7" t="s">
        <v>7062</v>
      </c>
      <c r="D1747" s="7" t="s">
        <v>151</v>
      </c>
      <c r="E1747" s="7" t="s">
        <v>3803</v>
      </c>
      <c r="F1747" s="7" t="s">
        <v>16</v>
      </c>
    </row>
    <row r="1748" ht="22.5" customHeight="1">
      <c r="A1748" s="7" t="s">
        <v>3800</v>
      </c>
      <c r="B1748" s="8" t="s">
        <v>7063</v>
      </c>
      <c r="C1748" s="7" t="s">
        <v>7064</v>
      </c>
      <c r="D1748" s="7" t="s">
        <v>26</v>
      </c>
      <c r="E1748" s="7" t="s">
        <v>16</v>
      </c>
      <c r="F1748" s="7" t="s">
        <v>16</v>
      </c>
    </row>
    <row r="1749" ht="22.5" customHeight="1">
      <c r="A1749" s="7" t="s">
        <v>3800</v>
      </c>
      <c r="B1749" s="8" t="s">
        <v>7065</v>
      </c>
      <c r="C1749" s="7" t="s">
        <v>7066</v>
      </c>
      <c r="D1749" s="7" t="s">
        <v>26</v>
      </c>
      <c r="E1749" s="7" t="s">
        <v>16</v>
      </c>
      <c r="F1749" s="7" t="s">
        <v>16</v>
      </c>
    </row>
    <row r="1750" ht="22.5" customHeight="1">
      <c r="A1750" s="7" t="s">
        <v>3800</v>
      </c>
      <c r="B1750" s="8" t="s">
        <v>7067</v>
      </c>
      <c r="C1750" s="7" t="s">
        <v>7068</v>
      </c>
      <c r="D1750" s="7" t="s">
        <v>26</v>
      </c>
      <c r="E1750" s="7" t="s">
        <v>16</v>
      </c>
      <c r="F1750" s="7" t="s">
        <v>16</v>
      </c>
    </row>
    <row r="1751" ht="22.5" customHeight="1">
      <c r="A1751" s="7" t="s">
        <v>3827</v>
      </c>
      <c r="B1751" s="8" t="s">
        <v>7069</v>
      </c>
      <c r="C1751" s="7" t="s">
        <v>7070</v>
      </c>
      <c r="D1751" s="7" t="s">
        <v>26</v>
      </c>
      <c r="E1751" s="7" t="s">
        <v>16</v>
      </c>
      <c r="F1751" s="7" t="s">
        <v>16</v>
      </c>
    </row>
    <row r="1752" ht="22.5" customHeight="1">
      <c r="A1752" s="7" t="s">
        <v>3800</v>
      </c>
      <c r="B1752" s="8" t="s">
        <v>7071</v>
      </c>
      <c r="C1752" s="7" t="s">
        <v>7072</v>
      </c>
      <c r="D1752" s="7" t="s">
        <v>26</v>
      </c>
      <c r="E1752" s="7" t="s">
        <v>16</v>
      </c>
      <c r="F1752" s="7" t="s">
        <v>16</v>
      </c>
    </row>
    <row r="1753" ht="22.5" customHeight="1">
      <c r="A1753" s="7" t="s">
        <v>3800</v>
      </c>
      <c r="B1753" s="8" t="s">
        <v>7071</v>
      </c>
      <c r="C1753" s="7" t="s">
        <v>7073</v>
      </c>
      <c r="D1753" s="7" t="s">
        <v>5049</v>
      </c>
      <c r="E1753" s="7" t="s">
        <v>3806</v>
      </c>
      <c r="F1753" s="7" t="s">
        <v>16</v>
      </c>
    </row>
    <row r="1754" ht="22.5" customHeight="1">
      <c r="A1754" s="7" t="s">
        <v>3800</v>
      </c>
      <c r="B1754" s="8" t="s">
        <v>7071</v>
      </c>
      <c r="C1754" s="7" t="s">
        <v>7074</v>
      </c>
      <c r="D1754" s="7" t="s">
        <v>5049</v>
      </c>
      <c r="E1754" s="7" t="s">
        <v>3806</v>
      </c>
      <c r="F1754" s="7" t="s">
        <v>16</v>
      </c>
    </row>
    <row r="1755" ht="22.5" customHeight="1">
      <c r="A1755" s="7" t="s">
        <v>3800</v>
      </c>
      <c r="B1755" s="8" t="s">
        <v>7071</v>
      </c>
      <c r="C1755" s="7" t="s">
        <v>7075</v>
      </c>
      <c r="D1755" s="7" t="s">
        <v>5049</v>
      </c>
      <c r="E1755" s="7" t="s">
        <v>3806</v>
      </c>
      <c r="F1755" s="7" t="s">
        <v>16</v>
      </c>
    </row>
    <row r="1756" ht="22.5" customHeight="1">
      <c r="A1756" s="7" t="s">
        <v>3807</v>
      </c>
      <c r="B1756" s="8" t="s">
        <v>7076</v>
      </c>
      <c r="C1756" s="7" t="s">
        <v>7077</v>
      </c>
      <c r="D1756" s="7" t="s">
        <v>26</v>
      </c>
      <c r="E1756" s="7" t="s">
        <v>16</v>
      </c>
      <c r="F1756" s="7" t="s">
        <v>16</v>
      </c>
    </row>
    <row r="1757" ht="22.5" customHeight="1">
      <c r="A1757" s="7" t="s">
        <v>3807</v>
      </c>
      <c r="B1757" s="8" t="s">
        <v>7076</v>
      </c>
      <c r="C1757" s="7" t="s">
        <v>7078</v>
      </c>
      <c r="D1757" s="7" t="s">
        <v>5049</v>
      </c>
      <c r="E1757" s="7" t="s">
        <v>3806</v>
      </c>
      <c r="F1757" s="7" t="s">
        <v>16</v>
      </c>
    </row>
    <row r="1758" ht="22.5" customHeight="1">
      <c r="A1758" s="7" t="s">
        <v>3807</v>
      </c>
      <c r="B1758" s="8" t="s">
        <v>7076</v>
      </c>
      <c r="C1758" s="7" t="s">
        <v>7079</v>
      </c>
      <c r="D1758" s="7" t="s">
        <v>5049</v>
      </c>
      <c r="E1758" s="7" t="s">
        <v>3806</v>
      </c>
      <c r="F1758" s="7" t="s">
        <v>16</v>
      </c>
    </row>
    <row r="1759" ht="22.5" customHeight="1">
      <c r="A1759" s="7" t="s">
        <v>3807</v>
      </c>
      <c r="B1759" s="8" t="s">
        <v>7076</v>
      </c>
      <c r="C1759" s="7" t="s">
        <v>7080</v>
      </c>
      <c r="D1759" s="7" t="s">
        <v>5049</v>
      </c>
      <c r="E1759" s="7" t="s">
        <v>3806</v>
      </c>
      <c r="F1759" s="7" t="s">
        <v>16</v>
      </c>
    </row>
    <row r="1760" ht="22.5" customHeight="1">
      <c r="A1760" s="7" t="s">
        <v>3871</v>
      </c>
      <c r="B1760" s="8" t="s">
        <v>7081</v>
      </c>
      <c r="C1760" s="7" t="s">
        <v>7082</v>
      </c>
      <c r="D1760" s="7" t="s">
        <v>16</v>
      </c>
      <c r="E1760" s="7" t="s">
        <v>3806</v>
      </c>
      <c r="F1760" s="7" t="s">
        <v>16</v>
      </c>
    </row>
    <row r="1761" ht="22.5" customHeight="1">
      <c r="A1761" s="7" t="s">
        <v>3800</v>
      </c>
      <c r="B1761" s="8" t="s">
        <v>7083</v>
      </c>
      <c r="C1761" s="7" t="s">
        <v>7084</v>
      </c>
      <c r="D1761" s="7" t="s">
        <v>16</v>
      </c>
      <c r="E1761" s="7" t="s">
        <v>3806</v>
      </c>
      <c r="F1761" s="7" t="s">
        <v>16</v>
      </c>
    </row>
    <row r="1762" ht="22.5" customHeight="1">
      <c r="A1762" s="7" t="s">
        <v>2725</v>
      </c>
      <c r="B1762" s="8" t="s">
        <v>7085</v>
      </c>
      <c r="C1762" s="7" t="s">
        <v>7086</v>
      </c>
      <c r="D1762" s="7" t="s">
        <v>16</v>
      </c>
      <c r="E1762" s="7" t="s">
        <v>3806</v>
      </c>
      <c r="F1762" s="7" t="s">
        <v>16</v>
      </c>
    </row>
    <row r="1763" ht="22.5" customHeight="1">
      <c r="A1763" s="7" t="s">
        <v>3837</v>
      </c>
      <c r="B1763" s="8" t="s">
        <v>7087</v>
      </c>
      <c r="C1763" s="7" t="s">
        <v>7088</v>
      </c>
      <c r="D1763" s="7" t="s">
        <v>16</v>
      </c>
      <c r="E1763" s="7" t="s">
        <v>3806</v>
      </c>
      <c r="F1763" s="7" t="s">
        <v>16</v>
      </c>
    </row>
    <row r="1764" ht="22.5" customHeight="1">
      <c r="A1764" s="7" t="s">
        <v>3827</v>
      </c>
      <c r="B1764" s="8" t="s">
        <v>7089</v>
      </c>
      <c r="C1764" s="7" t="s">
        <v>7090</v>
      </c>
      <c r="D1764" s="7" t="s">
        <v>16</v>
      </c>
      <c r="E1764" s="7" t="s">
        <v>3806</v>
      </c>
      <c r="F1764" s="7" t="s">
        <v>16</v>
      </c>
    </row>
    <row r="1765" ht="22.5" customHeight="1">
      <c r="A1765" s="7" t="s">
        <v>3827</v>
      </c>
      <c r="B1765" s="8" t="s">
        <v>7091</v>
      </c>
      <c r="C1765" s="7" t="s">
        <v>7092</v>
      </c>
      <c r="D1765" s="7" t="s">
        <v>16</v>
      </c>
      <c r="E1765" s="7" t="s">
        <v>3806</v>
      </c>
      <c r="F1765" s="7" t="s">
        <v>16</v>
      </c>
    </row>
    <row r="1766" ht="22.5" customHeight="1">
      <c r="A1766" s="7" t="s">
        <v>3837</v>
      </c>
      <c r="B1766" s="8" t="s">
        <v>7093</v>
      </c>
      <c r="C1766" s="7" t="s">
        <v>7094</v>
      </c>
      <c r="D1766" s="7" t="s">
        <v>26</v>
      </c>
      <c r="E1766" s="7" t="s">
        <v>16</v>
      </c>
      <c r="F1766" s="7" t="s">
        <v>16</v>
      </c>
    </row>
    <row r="1767" ht="22.5" customHeight="1">
      <c r="A1767" s="7" t="s">
        <v>3837</v>
      </c>
      <c r="B1767" s="8" t="s">
        <v>7095</v>
      </c>
      <c r="C1767" s="7" t="s">
        <v>7096</v>
      </c>
      <c r="D1767" s="7" t="s">
        <v>16</v>
      </c>
      <c r="E1767" s="7" t="s">
        <v>3806</v>
      </c>
      <c r="F1767" s="7" t="s">
        <v>16</v>
      </c>
    </row>
    <row r="1768" ht="22.5" customHeight="1">
      <c r="A1768" s="7" t="s">
        <v>3827</v>
      </c>
      <c r="B1768" s="8" t="s">
        <v>7097</v>
      </c>
      <c r="C1768" s="7" t="s">
        <v>7098</v>
      </c>
      <c r="D1768" s="7" t="s">
        <v>16</v>
      </c>
      <c r="E1768" s="7" t="s">
        <v>3806</v>
      </c>
      <c r="F1768" s="7" t="s">
        <v>16</v>
      </c>
    </row>
    <row r="1769" ht="22.5" customHeight="1">
      <c r="A1769" s="7" t="s">
        <v>2725</v>
      </c>
      <c r="B1769" s="8" t="s">
        <v>7099</v>
      </c>
      <c r="C1769" s="7" t="s">
        <v>7100</v>
      </c>
      <c r="D1769" s="7" t="s">
        <v>16</v>
      </c>
      <c r="E1769" s="7" t="s">
        <v>3806</v>
      </c>
      <c r="F1769" s="7" t="s">
        <v>4671</v>
      </c>
    </row>
    <row r="1770" ht="22.5" customHeight="1">
      <c r="A1770" s="7" t="s">
        <v>3807</v>
      </c>
      <c r="B1770" s="8" t="s">
        <v>7101</v>
      </c>
      <c r="C1770" s="7" t="s">
        <v>7102</v>
      </c>
      <c r="D1770" s="7" t="s">
        <v>26</v>
      </c>
      <c r="E1770" s="7" t="s">
        <v>16</v>
      </c>
      <c r="F1770" s="7" t="s">
        <v>16</v>
      </c>
    </row>
    <row r="1771" ht="22.5" customHeight="1">
      <c r="A1771" s="7" t="s">
        <v>3837</v>
      </c>
      <c r="B1771" s="8" t="s">
        <v>7103</v>
      </c>
      <c r="C1771" s="7" t="s">
        <v>7104</v>
      </c>
      <c r="D1771" s="7" t="s">
        <v>16</v>
      </c>
      <c r="E1771" s="7" t="s">
        <v>3806</v>
      </c>
      <c r="F1771" s="7" t="s">
        <v>16</v>
      </c>
    </row>
    <row r="1772" ht="22.5" customHeight="1">
      <c r="A1772" s="7" t="s">
        <v>3827</v>
      </c>
      <c r="B1772" s="8" t="s">
        <v>7105</v>
      </c>
      <c r="C1772" s="7" t="s">
        <v>7106</v>
      </c>
      <c r="D1772" s="7" t="s">
        <v>16</v>
      </c>
      <c r="E1772" s="7" t="s">
        <v>3806</v>
      </c>
      <c r="F1772" s="7" t="s">
        <v>16</v>
      </c>
    </row>
    <row r="1773" ht="22.5" customHeight="1">
      <c r="A1773" s="7" t="s">
        <v>2725</v>
      </c>
      <c r="B1773" s="8" t="s">
        <v>7107</v>
      </c>
      <c r="C1773" s="7" t="s">
        <v>7108</v>
      </c>
      <c r="D1773" s="7" t="s">
        <v>16</v>
      </c>
      <c r="E1773" s="7" t="s">
        <v>3803</v>
      </c>
      <c r="F1773" s="7" t="s">
        <v>4339</v>
      </c>
    </row>
    <row r="1774" ht="22.5" customHeight="1">
      <c r="A1774" s="7" t="s">
        <v>3807</v>
      </c>
      <c r="B1774" s="8" t="s">
        <v>7109</v>
      </c>
      <c r="C1774" s="7" t="s">
        <v>7110</v>
      </c>
      <c r="D1774" s="7" t="s">
        <v>16</v>
      </c>
      <c r="E1774" s="7" t="s">
        <v>3806</v>
      </c>
      <c r="F1774" s="7" t="s">
        <v>4671</v>
      </c>
    </row>
    <row r="1775" ht="22.5" customHeight="1">
      <c r="A1775" s="7" t="s">
        <v>2725</v>
      </c>
      <c r="B1775" s="8" t="s">
        <v>7111</v>
      </c>
      <c r="C1775" s="7" t="s">
        <v>7112</v>
      </c>
      <c r="D1775" s="7" t="s">
        <v>16</v>
      </c>
      <c r="E1775" s="7" t="s">
        <v>3806</v>
      </c>
      <c r="F1775" s="7" t="s">
        <v>4671</v>
      </c>
    </row>
    <row r="1776" ht="22.5" customHeight="1">
      <c r="A1776" s="7" t="s">
        <v>2725</v>
      </c>
      <c r="B1776" s="8" t="s">
        <v>7111</v>
      </c>
      <c r="C1776" s="7" t="s">
        <v>7113</v>
      </c>
      <c r="D1776" s="7" t="s">
        <v>26</v>
      </c>
      <c r="E1776" s="7" t="s">
        <v>16</v>
      </c>
      <c r="F1776" s="7" t="s">
        <v>16</v>
      </c>
    </row>
    <row r="1777" ht="22.5" customHeight="1">
      <c r="A1777" s="7" t="s">
        <v>3807</v>
      </c>
      <c r="B1777" s="8" t="s">
        <v>7114</v>
      </c>
      <c r="C1777" s="7" t="s">
        <v>7115</v>
      </c>
      <c r="D1777" s="7" t="s">
        <v>16</v>
      </c>
      <c r="E1777" s="7" t="s">
        <v>3806</v>
      </c>
      <c r="F1777" s="7" t="s">
        <v>16</v>
      </c>
    </row>
    <row r="1778" ht="22.5" customHeight="1">
      <c r="A1778" s="7" t="s">
        <v>3800</v>
      </c>
      <c r="B1778" s="8" t="s">
        <v>7116</v>
      </c>
      <c r="C1778" s="7" t="s">
        <v>7117</v>
      </c>
      <c r="D1778" s="7" t="s">
        <v>26</v>
      </c>
      <c r="E1778" s="7" t="s">
        <v>16</v>
      </c>
      <c r="F1778" s="7" t="s">
        <v>16</v>
      </c>
    </row>
    <row r="1779" ht="22.5" customHeight="1">
      <c r="A1779" s="7" t="s">
        <v>3827</v>
      </c>
      <c r="B1779" s="8" t="s">
        <v>7118</v>
      </c>
      <c r="C1779" s="7" t="s">
        <v>7119</v>
      </c>
      <c r="D1779" s="7" t="s">
        <v>26</v>
      </c>
      <c r="E1779" s="7" t="s">
        <v>16</v>
      </c>
      <c r="F1779" s="7" t="s">
        <v>16</v>
      </c>
    </row>
    <row r="1780" ht="22.5" customHeight="1">
      <c r="A1780" s="7" t="s">
        <v>3800</v>
      </c>
      <c r="B1780" s="8" t="s">
        <v>7120</v>
      </c>
      <c r="C1780" s="7" t="s">
        <v>7121</v>
      </c>
      <c r="D1780" s="7" t="s">
        <v>16</v>
      </c>
      <c r="E1780" s="7" t="s">
        <v>3806</v>
      </c>
      <c r="F1780" s="7" t="s">
        <v>4671</v>
      </c>
    </row>
    <row r="1781" ht="22.5" customHeight="1">
      <c r="A1781" s="7" t="s">
        <v>3827</v>
      </c>
      <c r="B1781" s="8" t="s">
        <v>7122</v>
      </c>
      <c r="C1781" s="7" t="s">
        <v>7123</v>
      </c>
      <c r="D1781" s="7" t="s">
        <v>16</v>
      </c>
      <c r="E1781" s="7" t="s">
        <v>3806</v>
      </c>
      <c r="F1781" s="7" t="s">
        <v>16</v>
      </c>
    </row>
    <row r="1782" ht="22.5" customHeight="1">
      <c r="A1782" s="7" t="s">
        <v>3800</v>
      </c>
      <c r="B1782" s="8" t="s">
        <v>7124</v>
      </c>
      <c r="C1782" s="7" t="s">
        <v>7125</v>
      </c>
      <c r="D1782" s="7" t="s">
        <v>16</v>
      </c>
      <c r="E1782" s="7" t="s">
        <v>3806</v>
      </c>
      <c r="F1782" s="7" t="s">
        <v>5024</v>
      </c>
    </row>
    <row r="1783" ht="22.5" customHeight="1">
      <c r="A1783" s="7" t="s">
        <v>3837</v>
      </c>
      <c r="B1783" s="8" t="s">
        <v>7126</v>
      </c>
      <c r="C1783" s="7" t="s">
        <v>7127</v>
      </c>
      <c r="D1783" s="7" t="s">
        <v>16</v>
      </c>
      <c r="E1783" s="7" t="s">
        <v>3799</v>
      </c>
      <c r="F1783" s="7" t="s">
        <v>16</v>
      </c>
    </row>
    <row r="1784" ht="22.5" customHeight="1">
      <c r="A1784" s="7" t="s">
        <v>3827</v>
      </c>
      <c r="B1784" s="8" t="s">
        <v>7128</v>
      </c>
      <c r="C1784" s="7" t="s">
        <v>7129</v>
      </c>
      <c r="D1784" s="7" t="s">
        <v>26</v>
      </c>
      <c r="E1784" s="7" t="s">
        <v>16</v>
      </c>
      <c r="F1784" s="7" t="s">
        <v>16</v>
      </c>
    </row>
    <row r="1785" ht="22.5" customHeight="1">
      <c r="A1785" s="7" t="s">
        <v>3827</v>
      </c>
      <c r="B1785" s="8" t="s">
        <v>7128</v>
      </c>
      <c r="C1785" s="7" t="s">
        <v>7130</v>
      </c>
      <c r="D1785" s="7" t="s">
        <v>26</v>
      </c>
      <c r="E1785" s="7" t="s">
        <v>16</v>
      </c>
      <c r="F1785" s="7" t="s">
        <v>16</v>
      </c>
    </row>
    <row r="1786" ht="22.5" customHeight="1">
      <c r="A1786" s="7" t="s">
        <v>2725</v>
      </c>
      <c r="B1786" s="8" t="s">
        <v>7131</v>
      </c>
      <c r="C1786" s="7" t="s">
        <v>7132</v>
      </c>
      <c r="D1786" s="7" t="s">
        <v>26</v>
      </c>
      <c r="E1786" s="7" t="s">
        <v>16</v>
      </c>
      <c r="F1786" s="7" t="s">
        <v>16</v>
      </c>
    </row>
    <row r="1787" ht="22.5" customHeight="1">
      <c r="A1787" s="7" t="s">
        <v>3807</v>
      </c>
      <c r="B1787" s="8" t="s">
        <v>7133</v>
      </c>
      <c r="C1787" s="7" t="s">
        <v>7134</v>
      </c>
      <c r="D1787" s="7" t="s">
        <v>16</v>
      </c>
      <c r="E1787" s="7" t="s">
        <v>3806</v>
      </c>
      <c r="F1787" s="7" t="s">
        <v>3879</v>
      </c>
    </row>
    <row r="1788" ht="22.5" customHeight="1">
      <c r="A1788" s="7" t="s">
        <v>3837</v>
      </c>
      <c r="B1788" s="8" t="s">
        <v>7135</v>
      </c>
      <c r="C1788" s="7" t="s">
        <v>7136</v>
      </c>
      <c r="D1788" s="7" t="s">
        <v>16</v>
      </c>
      <c r="E1788" s="7" t="s">
        <v>3806</v>
      </c>
      <c r="F1788" s="7" t="s">
        <v>3884</v>
      </c>
    </row>
    <row r="1789" ht="22.5" customHeight="1">
      <c r="A1789" s="7" t="s">
        <v>3800</v>
      </c>
      <c r="B1789" s="8" t="s">
        <v>7137</v>
      </c>
      <c r="C1789" s="7" t="s">
        <v>7138</v>
      </c>
      <c r="D1789" s="7" t="s">
        <v>26</v>
      </c>
      <c r="E1789" s="7" t="s">
        <v>16</v>
      </c>
      <c r="F1789" s="7" t="s">
        <v>16</v>
      </c>
    </row>
    <row r="1790" ht="22.5" customHeight="1">
      <c r="A1790" s="7" t="s">
        <v>3800</v>
      </c>
      <c r="B1790" s="8" t="s">
        <v>7139</v>
      </c>
      <c r="C1790" s="7" t="s">
        <v>7140</v>
      </c>
      <c r="D1790" s="7" t="s">
        <v>151</v>
      </c>
      <c r="E1790" s="7" t="s">
        <v>3806</v>
      </c>
      <c r="F1790" s="7" t="s">
        <v>4068</v>
      </c>
    </row>
    <row r="1791" ht="22.5" customHeight="1">
      <c r="A1791" s="7" t="s">
        <v>2725</v>
      </c>
      <c r="B1791" s="8" t="s">
        <v>7141</v>
      </c>
      <c r="C1791" s="7" t="s">
        <v>7142</v>
      </c>
      <c r="D1791" s="7" t="s">
        <v>16</v>
      </c>
      <c r="E1791" s="7" t="s">
        <v>3806</v>
      </c>
      <c r="F1791" s="7" t="s">
        <v>4068</v>
      </c>
    </row>
    <row r="1792" ht="22.5" customHeight="1">
      <c r="A1792" s="7" t="s">
        <v>2327</v>
      </c>
      <c r="B1792" s="8" t="s">
        <v>7143</v>
      </c>
      <c r="C1792" s="7" t="s">
        <v>7144</v>
      </c>
      <c r="D1792" s="7" t="s">
        <v>26</v>
      </c>
      <c r="E1792" s="7" t="s">
        <v>16</v>
      </c>
      <c r="F1792" s="7" t="s">
        <v>16</v>
      </c>
    </row>
    <row r="1793" ht="22.5" customHeight="1">
      <c r="A1793" s="7" t="s">
        <v>3837</v>
      </c>
      <c r="B1793" s="8" t="s">
        <v>7145</v>
      </c>
      <c r="C1793" s="7" t="s">
        <v>7146</v>
      </c>
      <c r="D1793" s="7" t="s">
        <v>16</v>
      </c>
      <c r="E1793" s="7" t="s">
        <v>3806</v>
      </c>
      <c r="F1793" s="7" t="s">
        <v>3884</v>
      </c>
    </row>
    <row r="1794" ht="22.5" customHeight="1">
      <c r="A1794" s="7" t="s">
        <v>3800</v>
      </c>
      <c r="B1794" s="8" t="s">
        <v>7147</v>
      </c>
      <c r="C1794" s="7" t="s">
        <v>7148</v>
      </c>
      <c r="D1794" s="7" t="s">
        <v>16</v>
      </c>
      <c r="E1794" s="7" t="s">
        <v>3806</v>
      </c>
      <c r="F1794" s="7" t="s">
        <v>16</v>
      </c>
    </row>
    <row r="1795" ht="22.5" customHeight="1">
      <c r="A1795" s="7" t="s">
        <v>3800</v>
      </c>
      <c r="B1795" s="8" t="s">
        <v>7149</v>
      </c>
      <c r="C1795" s="7" t="s">
        <v>7150</v>
      </c>
      <c r="D1795" s="7" t="s">
        <v>26</v>
      </c>
      <c r="E1795" s="7" t="s">
        <v>16</v>
      </c>
      <c r="F1795" s="7" t="s">
        <v>16</v>
      </c>
    </row>
    <row r="1796" ht="22.5" customHeight="1">
      <c r="A1796" s="7" t="s">
        <v>3800</v>
      </c>
      <c r="B1796" s="8" t="s">
        <v>7151</v>
      </c>
      <c r="C1796" s="7" t="s">
        <v>7152</v>
      </c>
      <c r="D1796" s="7" t="s">
        <v>26</v>
      </c>
      <c r="E1796" s="7" t="s">
        <v>16</v>
      </c>
      <c r="F1796" s="7" t="s">
        <v>16</v>
      </c>
    </row>
    <row r="1797" ht="22.5" customHeight="1">
      <c r="A1797" s="7" t="s">
        <v>3800</v>
      </c>
      <c r="B1797" s="8" t="s">
        <v>7153</v>
      </c>
      <c r="C1797" s="7" t="s">
        <v>7154</v>
      </c>
      <c r="D1797" s="7" t="s">
        <v>16</v>
      </c>
      <c r="E1797" s="7" t="s">
        <v>3799</v>
      </c>
      <c r="F1797" s="7" t="s">
        <v>16</v>
      </c>
    </row>
    <row r="1798" ht="22.5" customHeight="1">
      <c r="A1798" s="7" t="s">
        <v>3800</v>
      </c>
      <c r="B1798" s="8" t="s">
        <v>7155</v>
      </c>
      <c r="C1798" s="7" t="s">
        <v>7156</v>
      </c>
      <c r="D1798" s="7" t="s">
        <v>151</v>
      </c>
      <c r="E1798" s="7" t="s">
        <v>3806</v>
      </c>
      <c r="F1798" s="7" t="s">
        <v>4671</v>
      </c>
    </row>
    <row r="1799" ht="22.5" customHeight="1">
      <c r="A1799" s="7" t="s">
        <v>2725</v>
      </c>
      <c r="B1799" s="8" t="s">
        <v>7157</v>
      </c>
      <c r="C1799" s="7" t="s">
        <v>7158</v>
      </c>
      <c r="D1799" s="7" t="s">
        <v>16</v>
      </c>
      <c r="E1799" s="7" t="s">
        <v>3806</v>
      </c>
      <c r="F1799" s="7" t="s">
        <v>4068</v>
      </c>
    </row>
    <row r="1800" ht="22.5" customHeight="1">
      <c r="A1800" s="7" t="s">
        <v>3800</v>
      </c>
      <c r="B1800" s="8" t="s">
        <v>7159</v>
      </c>
      <c r="C1800" s="7" t="s">
        <v>7160</v>
      </c>
      <c r="D1800" s="7" t="s">
        <v>16</v>
      </c>
      <c r="E1800" s="7" t="s">
        <v>3806</v>
      </c>
      <c r="F1800" s="7" t="s">
        <v>4068</v>
      </c>
    </row>
    <row r="1801" ht="22.5" customHeight="1">
      <c r="A1801" s="7" t="s">
        <v>3800</v>
      </c>
      <c r="B1801" s="8" t="s">
        <v>7161</v>
      </c>
      <c r="C1801" s="7" t="s">
        <v>7162</v>
      </c>
      <c r="D1801" s="7" t="s">
        <v>16</v>
      </c>
      <c r="E1801" s="7" t="s">
        <v>3806</v>
      </c>
      <c r="F1801" s="7" t="s">
        <v>4068</v>
      </c>
    </row>
    <row r="1802" ht="22.5" customHeight="1">
      <c r="A1802" s="7" t="s">
        <v>2725</v>
      </c>
      <c r="B1802" s="8" t="s">
        <v>7163</v>
      </c>
      <c r="C1802" s="7" t="s">
        <v>7164</v>
      </c>
      <c r="D1802" s="7" t="s">
        <v>16</v>
      </c>
      <c r="E1802" s="7" t="s">
        <v>3806</v>
      </c>
      <c r="F1802" s="7" t="s">
        <v>4068</v>
      </c>
    </row>
    <row r="1803" ht="22.5" customHeight="1">
      <c r="A1803" s="7" t="s">
        <v>2725</v>
      </c>
      <c r="B1803" s="8" t="s">
        <v>7163</v>
      </c>
      <c r="C1803" s="7" t="s">
        <v>7165</v>
      </c>
      <c r="D1803" s="7" t="s">
        <v>26</v>
      </c>
      <c r="E1803" s="7" t="s">
        <v>16</v>
      </c>
      <c r="F1803" s="7" t="s">
        <v>16</v>
      </c>
    </row>
    <row r="1804" ht="22.5" customHeight="1">
      <c r="A1804" s="7" t="s">
        <v>2725</v>
      </c>
      <c r="B1804" s="8" t="s">
        <v>7163</v>
      </c>
      <c r="C1804" s="7" t="s">
        <v>7166</v>
      </c>
      <c r="D1804" s="7" t="s">
        <v>26</v>
      </c>
      <c r="E1804" s="7" t="s">
        <v>16</v>
      </c>
      <c r="F1804" s="7" t="s">
        <v>16</v>
      </c>
    </row>
    <row r="1805" ht="22.5" customHeight="1">
      <c r="A1805" s="7" t="s">
        <v>2327</v>
      </c>
      <c r="B1805" s="8" t="s">
        <v>7167</v>
      </c>
      <c r="C1805" s="7" t="s">
        <v>7168</v>
      </c>
      <c r="D1805" s="7" t="s">
        <v>16</v>
      </c>
      <c r="E1805" s="7" t="s">
        <v>16</v>
      </c>
      <c r="F1805" s="7" t="s">
        <v>16</v>
      </c>
    </row>
    <row r="1806" ht="22.5" customHeight="1">
      <c r="A1806" s="7" t="s">
        <v>2327</v>
      </c>
      <c r="B1806" s="8" t="s">
        <v>7167</v>
      </c>
      <c r="C1806" s="7" t="s">
        <v>7169</v>
      </c>
      <c r="D1806" s="7" t="s">
        <v>105</v>
      </c>
      <c r="E1806" s="7" t="s">
        <v>16</v>
      </c>
      <c r="F1806" s="7" t="s">
        <v>16</v>
      </c>
    </row>
    <row r="1807" ht="22.5" customHeight="1">
      <c r="A1807" s="7" t="s">
        <v>3800</v>
      </c>
      <c r="B1807" s="8" t="s">
        <v>7170</v>
      </c>
      <c r="C1807" s="7" t="s">
        <v>7171</v>
      </c>
      <c r="D1807" s="7" t="s">
        <v>16</v>
      </c>
      <c r="E1807" s="7" t="s">
        <v>3799</v>
      </c>
      <c r="F1807" s="7" t="s">
        <v>4068</v>
      </c>
    </row>
    <row r="1808" ht="22.5" customHeight="1">
      <c r="A1808" s="7" t="s">
        <v>3800</v>
      </c>
      <c r="B1808" s="8" t="s">
        <v>7172</v>
      </c>
      <c r="C1808" s="7" t="s">
        <v>7173</v>
      </c>
      <c r="D1808" s="7" t="s">
        <v>16</v>
      </c>
      <c r="E1808" s="7" t="s">
        <v>3806</v>
      </c>
      <c r="F1808" s="7" t="s">
        <v>4068</v>
      </c>
    </row>
    <row r="1809" ht="22.5" customHeight="1">
      <c r="A1809" s="7" t="s">
        <v>3800</v>
      </c>
      <c r="B1809" s="8" t="s">
        <v>7174</v>
      </c>
      <c r="C1809" s="7" t="s">
        <v>7175</v>
      </c>
      <c r="D1809" s="7" t="s">
        <v>16</v>
      </c>
      <c r="E1809" s="7" t="s">
        <v>3799</v>
      </c>
      <c r="F1809" s="7" t="s">
        <v>4068</v>
      </c>
    </row>
    <row r="1810" ht="22.5" customHeight="1">
      <c r="A1810" s="7" t="s">
        <v>3807</v>
      </c>
      <c r="B1810" s="8" t="s">
        <v>7176</v>
      </c>
      <c r="C1810" s="7" t="s">
        <v>7177</v>
      </c>
      <c r="D1810" s="7" t="s">
        <v>16</v>
      </c>
      <c r="E1810" s="7" t="s">
        <v>3799</v>
      </c>
      <c r="F1810" s="7" t="s">
        <v>16</v>
      </c>
    </row>
    <row r="1811" ht="22.5" customHeight="1">
      <c r="A1811" s="7" t="s">
        <v>3807</v>
      </c>
      <c r="B1811" s="8" t="s">
        <v>7178</v>
      </c>
      <c r="C1811" s="7" t="s">
        <v>7179</v>
      </c>
      <c r="D1811" s="7" t="s">
        <v>16</v>
      </c>
      <c r="E1811" s="7" t="s">
        <v>3803</v>
      </c>
      <c r="F1811" s="7" t="s">
        <v>16</v>
      </c>
    </row>
    <row r="1812" ht="22.5" customHeight="1">
      <c r="A1812" s="7" t="s">
        <v>3807</v>
      </c>
      <c r="B1812" s="8" t="s">
        <v>7180</v>
      </c>
      <c r="C1812" s="7" t="s">
        <v>7181</v>
      </c>
      <c r="D1812" s="7" t="s">
        <v>16</v>
      </c>
      <c r="E1812" s="7" t="s">
        <v>3806</v>
      </c>
      <c r="F1812" s="7" t="s">
        <v>16</v>
      </c>
    </row>
    <row r="1813" ht="22.5" customHeight="1">
      <c r="A1813" s="7" t="s">
        <v>3800</v>
      </c>
      <c r="B1813" s="8" t="s">
        <v>7182</v>
      </c>
      <c r="C1813" s="7" t="s">
        <v>7183</v>
      </c>
      <c r="D1813" s="7" t="s">
        <v>16</v>
      </c>
      <c r="E1813" s="7" t="s">
        <v>3799</v>
      </c>
      <c r="F1813" s="7" t="s">
        <v>3945</v>
      </c>
    </row>
    <row r="1814" ht="22.5" customHeight="1">
      <c r="A1814" s="7" t="s">
        <v>2327</v>
      </c>
      <c r="B1814" s="8" t="s">
        <v>7184</v>
      </c>
      <c r="C1814" s="7" t="s">
        <v>7185</v>
      </c>
      <c r="D1814" s="7" t="s">
        <v>16</v>
      </c>
      <c r="E1814" s="7" t="s">
        <v>3799</v>
      </c>
      <c r="F1814" s="7" t="s">
        <v>16</v>
      </c>
    </row>
    <row r="1815" ht="22.5" customHeight="1">
      <c r="A1815" s="7" t="s">
        <v>2327</v>
      </c>
      <c r="B1815" s="8" t="s">
        <v>7184</v>
      </c>
      <c r="C1815" s="7" t="s">
        <v>7186</v>
      </c>
      <c r="D1815" s="7" t="s">
        <v>16</v>
      </c>
      <c r="E1815" s="7" t="s">
        <v>3799</v>
      </c>
      <c r="F1815" s="7" t="s">
        <v>16</v>
      </c>
    </row>
    <row r="1816" ht="22.5" customHeight="1">
      <c r="A1816" s="7" t="s">
        <v>3800</v>
      </c>
      <c r="B1816" s="8" t="s">
        <v>7187</v>
      </c>
      <c r="C1816" s="7" t="s">
        <v>7188</v>
      </c>
      <c r="D1816" s="7" t="s">
        <v>16</v>
      </c>
      <c r="E1816" s="7" t="s">
        <v>3799</v>
      </c>
      <c r="F1816" s="7" t="s">
        <v>3879</v>
      </c>
    </row>
    <row r="1817" ht="22.5" customHeight="1">
      <c r="A1817" s="7" t="s">
        <v>3807</v>
      </c>
      <c r="B1817" s="8" t="s">
        <v>7189</v>
      </c>
      <c r="C1817" s="7" t="s">
        <v>7190</v>
      </c>
      <c r="D1817" s="7" t="s">
        <v>16</v>
      </c>
      <c r="E1817" s="7" t="s">
        <v>3803</v>
      </c>
      <c r="F1817" s="7" t="s">
        <v>3993</v>
      </c>
    </row>
    <row r="1818" ht="22.5" customHeight="1">
      <c r="A1818" s="7" t="s">
        <v>2725</v>
      </c>
      <c r="B1818" s="8" t="s">
        <v>7191</v>
      </c>
      <c r="C1818" s="7" t="s">
        <v>7192</v>
      </c>
      <c r="D1818" s="7" t="s">
        <v>16</v>
      </c>
      <c r="E1818" s="7" t="s">
        <v>3803</v>
      </c>
      <c r="F1818" s="7" t="s">
        <v>3993</v>
      </c>
    </row>
    <row r="1819" ht="22.5" customHeight="1">
      <c r="A1819" s="7" t="s">
        <v>2725</v>
      </c>
      <c r="B1819" s="8" t="s">
        <v>7193</v>
      </c>
      <c r="C1819" s="7" t="s">
        <v>7194</v>
      </c>
      <c r="D1819" s="7" t="s">
        <v>16</v>
      </c>
      <c r="E1819" s="7" t="s">
        <v>3799</v>
      </c>
      <c r="F1819" s="7" t="s">
        <v>3879</v>
      </c>
    </row>
    <row r="1820" ht="22.5" customHeight="1">
      <c r="A1820" s="7" t="s">
        <v>3807</v>
      </c>
      <c r="B1820" s="8" t="s">
        <v>7195</v>
      </c>
      <c r="C1820" s="7" t="s">
        <v>7196</v>
      </c>
      <c r="D1820" s="7" t="s">
        <v>16</v>
      </c>
      <c r="E1820" s="7" t="s">
        <v>3812</v>
      </c>
      <c r="F1820" s="7" t="s">
        <v>3879</v>
      </c>
    </row>
    <row r="1821" ht="22.5" customHeight="1">
      <c r="A1821" s="7" t="s">
        <v>3837</v>
      </c>
      <c r="B1821" s="8" t="s">
        <v>7197</v>
      </c>
      <c r="C1821" s="7" t="s">
        <v>7198</v>
      </c>
      <c r="D1821" s="7" t="s">
        <v>16</v>
      </c>
      <c r="E1821" s="7" t="s">
        <v>3799</v>
      </c>
      <c r="F1821" s="7" t="s">
        <v>3879</v>
      </c>
    </row>
    <row r="1822" ht="22.5" customHeight="1">
      <c r="A1822" s="7" t="s">
        <v>2725</v>
      </c>
      <c r="B1822" s="8" t="s">
        <v>7199</v>
      </c>
      <c r="C1822" s="7" t="s">
        <v>7200</v>
      </c>
      <c r="D1822" s="7" t="s">
        <v>16</v>
      </c>
      <c r="E1822" s="7" t="s">
        <v>3799</v>
      </c>
      <c r="F1822" s="7" t="s">
        <v>3879</v>
      </c>
    </row>
    <row r="1823" ht="22.5" customHeight="1">
      <c r="A1823" s="7" t="s">
        <v>2725</v>
      </c>
      <c r="B1823" s="8" t="s">
        <v>7201</v>
      </c>
      <c r="C1823" s="7" t="s">
        <v>7202</v>
      </c>
      <c r="D1823" s="7" t="s">
        <v>16</v>
      </c>
      <c r="E1823" s="7" t="s">
        <v>3799</v>
      </c>
      <c r="F1823" s="7" t="s">
        <v>3879</v>
      </c>
    </row>
    <row r="1824" ht="22.5" customHeight="1">
      <c r="A1824" s="7" t="s">
        <v>3837</v>
      </c>
      <c r="B1824" s="8" t="s">
        <v>7203</v>
      </c>
      <c r="C1824" s="7" t="s">
        <v>7204</v>
      </c>
      <c r="D1824" s="7" t="s">
        <v>16</v>
      </c>
      <c r="E1824" s="7" t="s">
        <v>3799</v>
      </c>
      <c r="F1824" s="7" t="s">
        <v>16</v>
      </c>
    </row>
    <row r="1825" ht="22.5" customHeight="1">
      <c r="A1825" s="7" t="s">
        <v>3837</v>
      </c>
      <c r="B1825" s="8" t="s">
        <v>7205</v>
      </c>
      <c r="C1825" s="7" t="s">
        <v>7206</v>
      </c>
      <c r="D1825" s="7" t="s">
        <v>16</v>
      </c>
      <c r="E1825" s="7" t="s">
        <v>3806</v>
      </c>
      <c r="F1825" s="7" t="s">
        <v>16</v>
      </c>
    </row>
    <row r="1826" ht="22.5" customHeight="1">
      <c r="A1826" s="7" t="s">
        <v>3800</v>
      </c>
      <c r="B1826" s="8" t="s">
        <v>7207</v>
      </c>
      <c r="C1826" s="7" t="s">
        <v>7208</v>
      </c>
      <c r="D1826" s="7" t="s">
        <v>16</v>
      </c>
      <c r="E1826" s="7" t="s">
        <v>3812</v>
      </c>
      <c r="F1826" s="7" t="s">
        <v>16</v>
      </c>
    </row>
    <row r="1827" ht="22.5" customHeight="1">
      <c r="A1827" s="7" t="s">
        <v>3800</v>
      </c>
      <c r="B1827" s="8" t="s">
        <v>7209</v>
      </c>
      <c r="C1827" s="7" t="s">
        <v>7210</v>
      </c>
      <c r="D1827" s="7" t="s">
        <v>16</v>
      </c>
      <c r="E1827" s="7" t="s">
        <v>3812</v>
      </c>
      <c r="F1827" s="7" t="s">
        <v>16</v>
      </c>
    </row>
  </sheetData>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19.0"/>
    <col customWidth="1" min="3" max="3" width="37.63"/>
    <col customWidth="1" min="4" max="4" width="55.25"/>
    <col customWidth="1" min="5" max="5" width="13.5"/>
    <col customWidth="1" min="6" max="6" width="16.25"/>
  </cols>
  <sheetData>
    <row r="1" ht="30.0" customHeight="1">
      <c r="A1" s="5" t="s">
        <v>7211</v>
      </c>
      <c r="B1" s="5" t="s">
        <v>1781</v>
      </c>
      <c r="C1" s="6" t="s">
        <v>7</v>
      </c>
      <c r="D1" s="5" t="s">
        <v>9</v>
      </c>
      <c r="E1" s="5" t="s">
        <v>3791</v>
      </c>
      <c r="F1" s="5" t="s">
        <v>3792</v>
      </c>
    </row>
    <row r="2" ht="22.5" customHeight="1">
      <c r="A2" s="28" t="s">
        <v>3850</v>
      </c>
      <c r="B2" s="7" t="s">
        <v>2725</v>
      </c>
      <c r="C2" s="8" t="s">
        <v>4240</v>
      </c>
      <c r="D2" s="29" t="s">
        <v>4241</v>
      </c>
      <c r="E2" s="7" t="s">
        <v>3803</v>
      </c>
      <c r="F2" s="7" t="s">
        <v>3850</v>
      </c>
    </row>
    <row r="3" ht="22.5" customHeight="1">
      <c r="A3" s="28" t="s">
        <v>3850</v>
      </c>
      <c r="B3" s="7" t="s">
        <v>3807</v>
      </c>
      <c r="C3" s="8" t="s">
        <v>4305</v>
      </c>
      <c r="D3" s="29" t="s">
        <v>4306</v>
      </c>
      <c r="E3" s="7" t="s">
        <v>3803</v>
      </c>
      <c r="F3" s="7" t="s">
        <v>3850</v>
      </c>
    </row>
    <row r="4" ht="22.5" customHeight="1">
      <c r="A4" s="28" t="s">
        <v>3850</v>
      </c>
      <c r="B4" s="7" t="s">
        <v>3800</v>
      </c>
      <c r="C4" s="8" t="s">
        <v>4474</v>
      </c>
      <c r="D4" s="29" t="s">
        <v>4475</v>
      </c>
      <c r="E4" s="7" t="s">
        <v>3803</v>
      </c>
      <c r="F4" s="7" t="s">
        <v>3850</v>
      </c>
    </row>
    <row r="5" ht="22.5" customHeight="1">
      <c r="A5" s="28" t="s">
        <v>3850</v>
      </c>
      <c r="B5" s="7" t="s">
        <v>3837</v>
      </c>
      <c r="C5" s="8" t="s">
        <v>4864</v>
      </c>
      <c r="D5" s="29" t="s">
        <v>4865</v>
      </c>
      <c r="E5" s="7" t="s">
        <v>3803</v>
      </c>
      <c r="F5" s="7" t="s">
        <v>3850</v>
      </c>
    </row>
    <row r="6" ht="22.5" customHeight="1">
      <c r="A6" s="28" t="s">
        <v>3850</v>
      </c>
      <c r="B6" s="7" t="s">
        <v>2327</v>
      </c>
      <c r="C6" s="8" t="s">
        <v>6677</v>
      </c>
      <c r="D6" s="30" t="s">
        <v>6678</v>
      </c>
      <c r="E6" s="7" t="s">
        <v>3803</v>
      </c>
      <c r="F6" s="7" t="s">
        <v>3850</v>
      </c>
    </row>
    <row r="7" ht="22.5" customHeight="1">
      <c r="A7" s="28" t="s">
        <v>4859</v>
      </c>
      <c r="B7" s="7" t="s">
        <v>3837</v>
      </c>
      <c r="C7" s="8" t="s">
        <v>4857</v>
      </c>
      <c r="D7" s="30" t="s">
        <v>4858</v>
      </c>
      <c r="E7" s="7" t="s">
        <v>3799</v>
      </c>
      <c r="F7" s="7" t="s">
        <v>16</v>
      </c>
    </row>
    <row r="8" ht="22.5" customHeight="1">
      <c r="A8" s="28" t="s">
        <v>4859</v>
      </c>
      <c r="B8" s="7" t="s">
        <v>3807</v>
      </c>
      <c r="C8" s="8" t="s">
        <v>4879</v>
      </c>
      <c r="D8" s="30" t="s">
        <v>4880</v>
      </c>
      <c r="E8" s="7" t="s">
        <v>3799</v>
      </c>
      <c r="F8" s="7" t="s">
        <v>16</v>
      </c>
    </row>
    <row r="9" ht="22.5" customHeight="1">
      <c r="A9" s="28" t="s">
        <v>4859</v>
      </c>
      <c r="B9" s="7" t="s">
        <v>2327</v>
      </c>
      <c r="C9" s="8" t="s">
        <v>6024</v>
      </c>
      <c r="D9" s="30" t="s">
        <v>6025</v>
      </c>
      <c r="E9" s="7" t="s">
        <v>3799</v>
      </c>
      <c r="F9" s="7" t="s">
        <v>16</v>
      </c>
    </row>
    <row r="10" ht="22.5" customHeight="1">
      <c r="A10" s="28" t="s">
        <v>4859</v>
      </c>
      <c r="B10" s="7" t="s">
        <v>2725</v>
      </c>
      <c r="C10" s="8" t="s">
        <v>4901</v>
      </c>
      <c r="D10" s="30" t="s">
        <v>4902</v>
      </c>
      <c r="E10" s="7" t="s">
        <v>3799</v>
      </c>
      <c r="F10" s="7" t="s">
        <v>16</v>
      </c>
    </row>
    <row r="11" ht="22.5" customHeight="1">
      <c r="A11" s="28" t="s">
        <v>4859</v>
      </c>
      <c r="B11" s="7" t="s">
        <v>3800</v>
      </c>
      <c r="C11" s="8" t="s">
        <v>6837</v>
      </c>
      <c r="D11" s="30" t="s">
        <v>6838</v>
      </c>
      <c r="E11" s="7" t="s">
        <v>3799</v>
      </c>
      <c r="F11" s="7" t="s">
        <v>16</v>
      </c>
    </row>
    <row r="12" ht="22.5" customHeight="1">
      <c r="A12" s="28" t="s">
        <v>5049</v>
      </c>
      <c r="B12" s="7" t="s">
        <v>3807</v>
      </c>
      <c r="C12" s="8" t="s">
        <v>5046</v>
      </c>
      <c r="D12" s="30" t="s">
        <v>5048</v>
      </c>
      <c r="E12" s="7" t="s">
        <v>3806</v>
      </c>
      <c r="F12" s="7" t="s">
        <v>16</v>
      </c>
    </row>
    <row r="13" ht="22.5" customHeight="1">
      <c r="A13" s="28" t="s">
        <v>5049</v>
      </c>
      <c r="B13" s="7" t="s">
        <v>3807</v>
      </c>
      <c r="C13" s="8" t="s">
        <v>5046</v>
      </c>
      <c r="D13" s="30" t="s">
        <v>5050</v>
      </c>
      <c r="E13" s="7" t="s">
        <v>3806</v>
      </c>
      <c r="F13" s="7" t="s">
        <v>16</v>
      </c>
    </row>
    <row r="14" ht="22.5" customHeight="1">
      <c r="A14" s="28" t="s">
        <v>5049</v>
      </c>
      <c r="B14" s="7" t="s">
        <v>3807</v>
      </c>
      <c r="C14" s="8" t="s">
        <v>5046</v>
      </c>
      <c r="D14" s="30" t="s">
        <v>5051</v>
      </c>
      <c r="E14" s="7" t="s">
        <v>3806</v>
      </c>
      <c r="F14" s="7" t="s">
        <v>16</v>
      </c>
    </row>
    <row r="15" ht="22.5" customHeight="1">
      <c r="A15" s="28" t="s">
        <v>5049</v>
      </c>
      <c r="B15" s="31" t="s">
        <v>3800</v>
      </c>
      <c r="C15" s="32" t="s">
        <v>7071</v>
      </c>
      <c r="D15" s="33" t="s">
        <v>7073</v>
      </c>
      <c r="E15" s="7" t="s">
        <v>3806</v>
      </c>
      <c r="F15" s="7" t="s">
        <v>16</v>
      </c>
    </row>
    <row r="16" ht="22.5" customHeight="1">
      <c r="A16" s="28" t="s">
        <v>5049</v>
      </c>
      <c r="B16" s="31" t="s">
        <v>3800</v>
      </c>
      <c r="C16" s="8" t="s">
        <v>7071</v>
      </c>
      <c r="D16" s="30" t="s">
        <v>7074</v>
      </c>
      <c r="E16" s="7" t="s">
        <v>3806</v>
      </c>
      <c r="F16" s="7" t="s">
        <v>16</v>
      </c>
    </row>
    <row r="17" ht="22.5" customHeight="1">
      <c r="A17" s="28" t="s">
        <v>5049</v>
      </c>
      <c r="B17" s="31" t="s">
        <v>3800</v>
      </c>
      <c r="C17" s="8" t="s">
        <v>7071</v>
      </c>
      <c r="D17" s="30" t="s">
        <v>7075</v>
      </c>
      <c r="E17" s="7" t="s">
        <v>3806</v>
      </c>
      <c r="F17" s="7" t="s">
        <v>16</v>
      </c>
    </row>
    <row r="18" ht="22.5" customHeight="1">
      <c r="A18" s="28" t="s">
        <v>5049</v>
      </c>
      <c r="B18" s="31" t="s">
        <v>3807</v>
      </c>
      <c r="C18" s="8" t="s">
        <v>7076</v>
      </c>
      <c r="D18" s="30" t="s">
        <v>7078</v>
      </c>
      <c r="E18" s="7" t="s">
        <v>3806</v>
      </c>
      <c r="F18" s="7" t="s">
        <v>16</v>
      </c>
    </row>
    <row r="19" ht="22.5" customHeight="1">
      <c r="A19" s="28" t="s">
        <v>5049</v>
      </c>
      <c r="B19" s="31" t="s">
        <v>3807</v>
      </c>
      <c r="C19" s="8" t="s">
        <v>7076</v>
      </c>
      <c r="D19" s="30" t="s">
        <v>7079</v>
      </c>
      <c r="E19" s="7" t="s">
        <v>3806</v>
      </c>
      <c r="F19" s="7" t="s">
        <v>16</v>
      </c>
    </row>
    <row r="20" ht="22.5" customHeight="1">
      <c r="A20" s="28" t="s">
        <v>5049</v>
      </c>
      <c r="B20" s="7" t="s">
        <v>3807</v>
      </c>
      <c r="C20" s="8" t="s">
        <v>7076</v>
      </c>
      <c r="D20" s="30" t="s">
        <v>7080</v>
      </c>
      <c r="E20" s="7" t="s">
        <v>3806</v>
      </c>
      <c r="F20" s="7" t="s">
        <v>16</v>
      </c>
    </row>
    <row r="21" ht="22.5" customHeight="1">
      <c r="A21" s="28" t="s">
        <v>5219</v>
      </c>
      <c r="B21" s="7" t="s">
        <v>2725</v>
      </c>
      <c r="C21" s="8" t="s">
        <v>5216</v>
      </c>
      <c r="D21" s="30" t="s">
        <v>5218</v>
      </c>
      <c r="E21" s="7" t="s">
        <v>3803</v>
      </c>
      <c r="F21" s="7" t="s">
        <v>3952</v>
      </c>
    </row>
    <row r="22" ht="22.5" customHeight="1">
      <c r="A22" s="28" t="s">
        <v>5219</v>
      </c>
      <c r="B22" s="7" t="s">
        <v>3800</v>
      </c>
      <c r="C22" s="8" t="s">
        <v>5553</v>
      </c>
      <c r="D22" s="30" t="s">
        <v>5554</v>
      </c>
      <c r="E22" s="7" t="s">
        <v>3803</v>
      </c>
      <c r="F22" s="7" t="s">
        <v>3952</v>
      </c>
    </row>
    <row r="23" ht="22.5" customHeight="1">
      <c r="A23" s="28" t="s">
        <v>5219</v>
      </c>
      <c r="B23" s="7" t="s">
        <v>3827</v>
      </c>
      <c r="C23" s="8" t="s">
        <v>5555</v>
      </c>
      <c r="D23" s="30" t="s">
        <v>5556</v>
      </c>
      <c r="E23" s="7" t="s">
        <v>3803</v>
      </c>
      <c r="F23" s="7" t="s">
        <v>3952</v>
      </c>
    </row>
    <row r="24" ht="22.5" customHeight="1">
      <c r="A24" s="28" t="s">
        <v>3934</v>
      </c>
      <c r="B24" s="7" t="s">
        <v>2725</v>
      </c>
      <c r="C24" s="8" t="s">
        <v>3932</v>
      </c>
      <c r="D24" s="30" t="s">
        <v>3933</v>
      </c>
      <c r="E24" s="7" t="s">
        <v>3803</v>
      </c>
      <c r="F24" s="7" t="s">
        <v>3934</v>
      </c>
    </row>
    <row r="25" ht="22.5" customHeight="1">
      <c r="A25" s="28" t="s">
        <v>3934</v>
      </c>
      <c r="B25" s="7" t="s">
        <v>2327</v>
      </c>
      <c r="C25" s="8" t="s">
        <v>4038</v>
      </c>
      <c r="D25" s="30" t="s">
        <v>4039</v>
      </c>
      <c r="E25" s="7" t="s">
        <v>3803</v>
      </c>
      <c r="F25" s="7" t="s">
        <v>3934</v>
      </c>
    </row>
    <row r="26" ht="22.5" customHeight="1">
      <c r="A26" s="28" t="s">
        <v>3934</v>
      </c>
      <c r="B26" s="7" t="s">
        <v>3807</v>
      </c>
      <c r="C26" s="8" t="s">
        <v>5189</v>
      </c>
      <c r="D26" s="30" t="s">
        <v>5190</v>
      </c>
      <c r="E26" s="7" t="s">
        <v>3803</v>
      </c>
      <c r="F26" s="7" t="s">
        <v>3934</v>
      </c>
    </row>
    <row r="27" ht="22.5" customHeight="1">
      <c r="A27" s="28" t="s">
        <v>3934</v>
      </c>
      <c r="B27" s="7" t="s">
        <v>3800</v>
      </c>
      <c r="C27" s="8" t="s">
        <v>5401</v>
      </c>
      <c r="D27" s="30" t="s">
        <v>5402</v>
      </c>
      <c r="E27" s="7" t="s">
        <v>3803</v>
      </c>
      <c r="F27" s="7" t="s">
        <v>3934</v>
      </c>
    </row>
    <row r="28" ht="22.5" customHeight="1">
      <c r="A28" s="28" t="s">
        <v>3934</v>
      </c>
      <c r="B28" s="7" t="s">
        <v>3837</v>
      </c>
      <c r="C28" s="8" t="s">
        <v>5470</v>
      </c>
      <c r="D28" s="30" t="s">
        <v>5471</v>
      </c>
      <c r="E28" s="7" t="s">
        <v>3803</v>
      </c>
      <c r="F28" s="7" t="s">
        <v>3934</v>
      </c>
    </row>
    <row r="29" ht="22.5" customHeight="1">
      <c r="A29" s="28" t="s">
        <v>3934</v>
      </c>
      <c r="B29" s="7" t="s">
        <v>3827</v>
      </c>
      <c r="C29" s="8" t="s">
        <v>5557</v>
      </c>
      <c r="D29" s="30" t="s">
        <v>5558</v>
      </c>
      <c r="E29" s="7" t="s">
        <v>3803</v>
      </c>
      <c r="F29" s="7" t="s">
        <v>3934</v>
      </c>
    </row>
    <row r="30" ht="22.5" customHeight="1">
      <c r="A30" s="28" t="s">
        <v>3963</v>
      </c>
      <c r="B30" s="7" t="s">
        <v>2327</v>
      </c>
      <c r="C30" s="8" t="s">
        <v>3961</v>
      </c>
      <c r="D30" s="30" t="s">
        <v>3962</v>
      </c>
      <c r="E30" s="7" t="s">
        <v>3803</v>
      </c>
      <c r="F30" s="7" t="s">
        <v>3964</v>
      </c>
    </row>
    <row r="31" ht="22.5" customHeight="1">
      <c r="A31" s="28" t="s">
        <v>3963</v>
      </c>
      <c r="B31" s="7" t="s">
        <v>2725</v>
      </c>
      <c r="C31" s="8" t="s">
        <v>4853</v>
      </c>
      <c r="D31" s="30" t="s">
        <v>4854</v>
      </c>
      <c r="E31" s="7" t="s">
        <v>3803</v>
      </c>
      <c r="F31" s="7" t="s">
        <v>3964</v>
      </c>
    </row>
    <row r="32" ht="22.5" customHeight="1">
      <c r="A32" s="28" t="s">
        <v>3963</v>
      </c>
      <c r="B32" s="7" t="s">
        <v>3837</v>
      </c>
      <c r="C32" s="8" t="s">
        <v>5161</v>
      </c>
      <c r="D32" s="30" t="s">
        <v>5162</v>
      </c>
      <c r="E32" s="7" t="s">
        <v>3803</v>
      </c>
      <c r="F32" s="7" t="s">
        <v>3964</v>
      </c>
    </row>
    <row r="33" ht="22.5" customHeight="1">
      <c r="A33" s="28" t="s">
        <v>3963</v>
      </c>
      <c r="B33" s="7" t="s">
        <v>3807</v>
      </c>
      <c r="C33" s="8" t="s">
        <v>5181</v>
      </c>
      <c r="D33" s="30" t="s">
        <v>5182</v>
      </c>
      <c r="E33" s="7" t="s">
        <v>3803</v>
      </c>
      <c r="F33" s="7" t="s">
        <v>3964</v>
      </c>
    </row>
    <row r="34" ht="22.5" customHeight="1">
      <c r="A34" s="28" t="s">
        <v>3884</v>
      </c>
      <c r="B34" s="7" t="s">
        <v>3800</v>
      </c>
      <c r="C34" s="8" t="s">
        <v>3885</v>
      </c>
      <c r="D34" s="30" t="s">
        <v>3886</v>
      </c>
      <c r="E34" s="7" t="s">
        <v>3806</v>
      </c>
      <c r="F34" s="7" t="s">
        <v>3884</v>
      </c>
    </row>
    <row r="35" ht="22.5" customHeight="1">
      <c r="A35" s="28" t="s">
        <v>3884</v>
      </c>
      <c r="B35" s="7" t="s">
        <v>3800</v>
      </c>
      <c r="C35" s="8" t="s">
        <v>4653</v>
      </c>
      <c r="D35" s="30" t="s">
        <v>4654</v>
      </c>
      <c r="E35" s="7" t="s">
        <v>3806</v>
      </c>
      <c r="F35" s="7" t="s">
        <v>3884</v>
      </c>
    </row>
    <row r="36" ht="22.5" customHeight="1">
      <c r="A36" s="28" t="s">
        <v>3884</v>
      </c>
      <c r="B36" s="7" t="s">
        <v>3837</v>
      </c>
      <c r="C36" s="8" t="s">
        <v>4674</v>
      </c>
      <c r="D36" s="30" t="s">
        <v>4675</v>
      </c>
      <c r="E36" s="7" t="s">
        <v>3806</v>
      </c>
      <c r="F36" s="7" t="s">
        <v>3884</v>
      </c>
    </row>
    <row r="37" ht="22.5" customHeight="1">
      <c r="A37" s="28" t="s">
        <v>3884</v>
      </c>
      <c r="B37" s="7" t="s">
        <v>2327</v>
      </c>
      <c r="C37" s="8" t="s">
        <v>5543</v>
      </c>
      <c r="D37" s="30" t="s">
        <v>5544</v>
      </c>
      <c r="E37" s="7" t="s">
        <v>3806</v>
      </c>
      <c r="F37" s="7" t="s">
        <v>3884</v>
      </c>
    </row>
    <row r="38" ht="22.5" customHeight="1">
      <c r="A38" s="28" t="s">
        <v>3884</v>
      </c>
      <c r="B38" s="7" t="s">
        <v>3807</v>
      </c>
      <c r="C38" s="8" t="s">
        <v>6022</v>
      </c>
      <c r="D38" s="30" t="s">
        <v>6023</v>
      </c>
      <c r="E38" s="7" t="s">
        <v>3806</v>
      </c>
      <c r="F38" s="7" t="s">
        <v>3884</v>
      </c>
    </row>
    <row r="39" ht="22.5" customHeight="1">
      <c r="A39" s="28" t="s">
        <v>3884</v>
      </c>
      <c r="B39" s="7" t="s">
        <v>2725</v>
      </c>
      <c r="C39" s="8" t="s">
        <v>6894</v>
      </c>
      <c r="D39" s="30" t="s">
        <v>6895</v>
      </c>
      <c r="E39" s="7" t="s">
        <v>3806</v>
      </c>
      <c r="F39" s="7" t="s">
        <v>3884</v>
      </c>
    </row>
    <row r="40" ht="22.5" customHeight="1">
      <c r="A40" s="28" t="s">
        <v>3951</v>
      </c>
      <c r="B40" s="7" t="s">
        <v>2725</v>
      </c>
      <c r="C40" s="8" t="s">
        <v>3949</v>
      </c>
      <c r="D40" s="30" t="s">
        <v>3950</v>
      </c>
      <c r="E40" s="7" t="s">
        <v>3803</v>
      </c>
      <c r="F40" s="7" t="s">
        <v>3952</v>
      </c>
    </row>
    <row r="41" ht="22.5" customHeight="1">
      <c r="A41" s="28" t="s">
        <v>3951</v>
      </c>
      <c r="B41" s="7" t="s">
        <v>3800</v>
      </c>
      <c r="C41" s="8" t="s">
        <v>5205</v>
      </c>
      <c r="D41" s="30" t="s">
        <v>5206</v>
      </c>
      <c r="E41" s="7" t="s">
        <v>3803</v>
      </c>
      <c r="F41" s="7" t="s">
        <v>3952</v>
      </c>
    </row>
    <row r="42" ht="22.5" customHeight="1">
      <c r="A42" s="28" t="s">
        <v>3951</v>
      </c>
      <c r="B42" s="7" t="s">
        <v>2327</v>
      </c>
      <c r="C42" s="8" t="s">
        <v>5259</v>
      </c>
      <c r="D42" s="30" t="s">
        <v>5260</v>
      </c>
      <c r="E42" s="7" t="s">
        <v>3803</v>
      </c>
      <c r="F42" s="7" t="s">
        <v>3952</v>
      </c>
    </row>
    <row r="43" ht="22.5" customHeight="1">
      <c r="A43" s="28" t="s">
        <v>3951</v>
      </c>
      <c r="B43" s="7" t="s">
        <v>3827</v>
      </c>
      <c r="C43" s="8" t="s">
        <v>5997</v>
      </c>
      <c r="D43" s="30" t="s">
        <v>5998</v>
      </c>
      <c r="E43" s="7" t="s">
        <v>3803</v>
      </c>
      <c r="F43" s="7" t="s">
        <v>3952</v>
      </c>
    </row>
    <row r="44" ht="22.5" customHeight="1">
      <c r="A44" s="28" t="s">
        <v>3951</v>
      </c>
      <c r="B44" s="7" t="s">
        <v>3837</v>
      </c>
      <c r="C44" s="8" t="s">
        <v>7041</v>
      </c>
      <c r="D44" s="30" t="s">
        <v>7042</v>
      </c>
      <c r="E44" s="7" t="s">
        <v>3803</v>
      </c>
      <c r="F44" s="7" t="s">
        <v>3952</v>
      </c>
    </row>
    <row r="45" ht="22.5" customHeight="1">
      <c r="A45" s="28" t="s">
        <v>4744</v>
      </c>
      <c r="B45" s="7" t="s">
        <v>3807</v>
      </c>
      <c r="C45" s="8" t="s">
        <v>4835</v>
      </c>
      <c r="D45" s="30" t="s">
        <v>4836</v>
      </c>
      <c r="E45" s="7" t="s">
        <v>3799</v>
      </c>
      <c r="F45" s="7" t="s">
        <v>16</v>
      </c>
    </row>
    <row r="46" ht="22.5" customHeight="1">
      <c r="A46" s="28" t="s">
        <v>4744</v>
      </c>
      <c r="B46" s="7" t="s">
        <v>2725</v>
      </c>
      <c r="C46" s="8" t="s">
        <v>4742</v>
      </c>
      <c r="D46" s="30" t="s">
        <v>4743</v>
      </c>
      <c r="E46" s="7" t="s">
        <v>3799</v>
      </c>
      <c r="F46" s="7" t="s">
        <v>16</v>
      </c>
    </row>
    <row r="47" ht="22.5" customHeight="1">
      <c r="A47" s="28" t="s">
        <v>4744</v>
      </c>
      <c r="B47" s="7" t="s">
        <v>3837</v>
      </c>
      <c r="C47" s="8" t="s">
        <v>4905</v>
      </c>
      <c r="D47" s="30" t="s">
        <v>4906</v>
      </c>
      <c r="E47" s="7" t="s">
        <v>3799</v>
      </c>
      <c r="F47" s="7" t="s">
        <v>16</v>
      </c>
    </row>
    <row r="48" ht="22.5" customHeight="1">
      <c r="A48" s="28" t="s">
        <v>4744</v>
      </c>
      <c r="B48" s="7" t="s">
        <v>3800</v>
      </c>
      <c r="C48" s="8" t="s">
        <v>4907</v>
      </c>
      <c r="D48" s="30" t="s">
        <v>4908</v>
      </c>
      <c r="E48" s="7" t="s">
        <v>3799</v>
      </c>
      <c r="F48" s="7" t="s">
        <v>16</v>
      </c>
    </row>
    <row r="49" ht="22.5" customHeight="1">
      <c r="A49" s="28" t="s">
        <v>4744</v>
      </c>
      <c r="B49" s="7" t="s">
        <v>2327</v>
      </c>
      <c r="C49" s="8" t="s">
        <v>6340</v>
      </c>
      <c r="D49" s="30" t="s">
        <v>6341</v>
      </c>
      <c r="E49" s="7" t="s">
        <v>3799</v>
      </c>
      <c r="F49" s="7" t="s">
        <v>16</v>
      </c>
    </row>
    <row r="50" ht="22.5" customHeight="1">
      <c r="A50" s="28" t="s">
        <v>6057</v>
      </c>
      <c r="B50" s="7" t="s">
        <v>3800</v>
      </c>
      <c r="C50" s="8" t="s">
        <v>6055</v>
      </c>
      <c r="D50" s="30" t="s">
        <v>6056</v>
      </c>
      <c r="E50" s="7" t="s">
        <v>3799</v>
      </c>
      <c r="F50" s="7" t="s">
        <v>16</v>
      </c>
    </row>
    <row r="51" ht="22.5" customHeight="1">
      <c r="A51" s="28" t="s">
        <v>6057</v>
      </c>
      <c r="B51" s="7" t="s">
        <v>3837</v>
      </c>
      <c r="C51" s="8" t="s">
        <v>6058</v>
      </c>
      <c r="D51" s="30" t="s">
        <v>6059</v>
      </c>
      <c r="E51" s="7" t="s">
        <v>3799</v>
      </c>
      <c r="F51" s="7" t="s">
        <v>16</v>
      </c>
    </row>
    <row r="52" ht="22.5" customHeight="1">
      <c r="A52" s="28" t="s">
        <v>6057</v>
      </c>
      <c r="B52" s="7" t="s">
        <v>3837</v>
      </c>
      <c r="C52" s="8" t="s">
        <v>6233</v>
      </c>
      <c r="D52" s="30" t="s">
        <v>6234</v>
      </c>
      <c r="E52" s="7" t="s">
        <v>3803</v>
      </c>
      <c r="F52" s="7" t="s">
        <v>16</v>
      </c>
    </row>
    <row r="53" ht="22.5" customHeight="1">
      <c r="A53" s="28" t="s">
        <v>4033</v>
      </c>
      <c r="B53" s="7" t="s">
        <v>2725</v>
      </c>
      <c r="C53" s="8" t="s">
        <v>4031</v>
      </c>
      <c r="D53" s="30" t="s">
        <v>4032</v>
      </c>
      <c r="E53" s="7" t="s">
        <v>3803</v>
      </c>
      <c r="F53" s="7" t="s">
        <v>16</v>
      </c>
    </row>
    <row r="54" ht="22.5" customHeight="1">
      <c r="A54" s="28" t="s">
        <v>4033</v>
      </c>
      <c r="B54" s="7" t="s">
        <v>3837</v>
      </c>
      <c r="C54" s="8" t="s">
        <v>5091</v>
      </c>
      <c r="D54" s="30" t="s">
        <v>5092</v>
      </c>
      <c r="E54" s="7" t="s">
        <v>3803</v>
      </c>
      <c r="F54" s="7" t="s">
        <v>16</v>
      </c>
    </row>
    <row r="55" ht="22.5" customHeight="1">
      <c r="A55" s="28" t="s">
        <v>4033</v>
      </c>
      <c r="B55" s="7" t="s">
        <v>3800</v>
      </c>
      <c r="C55" s="8" t="s">
        <v>5201</v>
      </c>
      <c r="D55" s="30" t="s">
        <v>5202</v>
      </c>
      <c r="E55" s="7" t="s">
        <v>3803</v>
      </c>
      <c r="F55" s="7" t="s">
        <v>16</v>
      </c>
    </row>
    <row r="56" ht="22.5" customHeight="1">
      <c r="A56" s="28" t="s">
        <v>4033</v>
      </c>
      <c r="B56" s="7" t="s">
        <v>2327</v>
      </c>
      <c r="C56" s="8" t="s">
        <v>6789</v>
      </c>
      <c r="D56" s="30" t="s">
        <v>6790</v>
      </c>
      <c r="E56" s="7" t="s">
        <v>3803</v>
      </c>
      <c r="F56" s="7" t="s">
        <v>16</v>
      </c>
    </row>
    <row r="57" ht="22.5" customHeight="1">
      <c r="A57" s="28" t="s">
        <v>4033</v>
      </c>
      <c r="B57" s="7" t="s">
        <v>3807</v>
      </c>
      <c r="C57" s="8" t="s">
        <v>6899</v>
      </c>
      <c r="D57" s="30" t="s">
        <v>6900</v>
      </c>
      <c r="E57" s="7" t="s">
        <v>3803</v>
      </c>
      <c r="F57" s="7" t="s">
        <v>16</v>
      </c>
    </row>
    <row r="58" ht="22.5" customHeight="1">
      <c r="A58" s="28" t="s">
        <v>6471</v>
      </c>
      <c r="B58" s="7" t="s">
        <v>3827</v>
      </c>
      <c r="C58" s="8" t="s">
        <v>6469</v>
      </c>
      <c r="D58" s="30" t="s">
        <v>6470</v>
      </c>
      <c r="E58" s="7" t="s">
        <v>3803</v>
      </c>
      <c r="F58" s="7" t="s">
        <v>16</v>
      </c>
    </row>
    <row r="59" ht="22.5" customHeight="1">
      <c r="A59" s="28" t="s">
        <v>6471</v>
      </c>
      <c r="B59" s="7" t="s">
        <v>3871</v>
      </c>
      <c r="C59" s="8" t="s">
        <v>6472</v>
      </c>
      <c r="D59" s="30" t="s">
        <v>6473</v>
      </c>
      <c r="E59" s="7" t="s">
        <v>3803</v>
      </c>
      <c r="F59" s="7" t="s">
        <v>16</v>
      </c>
    </row>
    <row r="60" ht="22.5" customHeight="1">
      <c r="A60" s="28" t="s">
        <v>6471</v>
      </c>
      <c r="B60" s="7" t="s">
        <v>3871</v>
      </c>
      <c r="C60" s="8" t="s">
        <v>6474</v>
      </c>
      <c r="D60" s="30" t="s">
        <v>6475</v>
      </c>
      <c r="E60" s="7" t="s">
        <v>3806</v>
      </c>
      <c r="F60" s="7" t="s">
        <v>16</v>
      </c>
    </row>
    <row r="61" ht="22.5" customHeight="1">
      <c r="A61" s="28" t="s">
        <v>4510</v>
      </c>
      <c r="B61" s="7" t="s">
        <v>3837</v>
      </c>
      <c r="C61" s="8" t="s">
        <v>4508</v>
      </c>
      <c r="D61" s="30" t="s">
        <v>4509</v>
      </c>
      <c r="E61" s="7" t="s">
        <v>3806</v>
      </c>
      <c r="F61" s="7" t="s">
        <v>16</v>
      </c>
    </row>
    <row r="62" ht="22.5" customHeight="1">
      <c r="A62" s="28" t="s">
        <v>4510</v>
      </c>
      <c r="B62" s="7" t="s">
        <v>3827</v>
      </c>
      <c r="C62" s="8" t="s">
        <v>4513</v>
      </c>
      <c r="D62" s="30" t="s">
        <v>4514</v>
      </c>
      <c r="E62" s="7" t="s">
        <v>3806</v>
      </c>
      <c r="F62" s="7" t="s">
        <v>16</v>
      </c>
    </row>
    <row r="63" ht="22.5" customHeight="1">
      <c r="A63" s="28" t="s">
        <v>4510</v>
      </c>
      <c r="B63" s="7" t="s">
        <v>2327</v>
      </c>
      <c r="C63" s="8" t="s">
        <v>5403</v>
      </c>
      <c r="D63" s="30" t="s">
        <v>5404</v>
      </c>
      <c r="E63" s="7" t="s">
        <v>3806</v>
      </c>
      <c r="F63" s="7" t="s">
        <v>16</v>
      </c>
    </row>
    <row r="64" ht="22.5" customHeight="1">
      <c r="A64" s="28" t="s">
        <v>4510</v>
      </c>
      <c r="B64" s="7" t="s">
        <v>3800</v>
      </c>
      <c r="C64" s="8" t="s">
        <v>6020</v>
      </c>
      <c r="D64" s="30" t="s">
        <v>6021</v>
      </c>
      <c r="E64" s="7" t="s">
        <v>3806</v>
      </c>
      <c r="F64" s="7" t="s">
        <v>16</v>
      </c>
    </row>
    <row r="65" ht="22.5" customHeight="1">
      <c r="A65" s="28" t="s">
        <v>4510</v>
      </c>
      <c r="B65" s="7" t="s">
        <v>2725</v>
      </c>
      <c r="C65" s="8" t="s">
        <v>6184</v>
      </c>
      <c r="D65" s="30" t="s">
        <v>6185</v>
      </c>
      <c r="E65" s="7" t="s">
        <v>3806</v>
      </c>
      <c r="F65" s="7" t="s">
        <v>16</v>
      </c>
    </row>
    <row r="66" ht="22.5" customHeight="1">
      <c r="A66" s="28" t="s">
        <v>4510</v>
      </c>
      <c r="B66" s="7" t="s">
        <v>3807</v>
      </c>
      <c r="C66" s="8" t="s">
        <v>6758</v>
      </c>
      <c r="D66" s="30" t="s">
        <v>6759</v>
      </c>
      <c r="E66" s="7" t="s">
        <v>3806</v>
      </c>
      <c r="F66" s="7" t="s">
        <v>16</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5.25"/>
    <col customWidth="1" min="3" max="3" width="65.5"/>
    <col customWidth="1" min="4" max="4" width="10.5"/>
    <col customWidth="1" min="5" max="5" width="57.63"/>
    <col customWidth="1" min="6" max="6" width="11.63"/>
    <col customWidth="1" min="7" max="7" width="17.88"/>
  </cols>
  <sheetData>
    <row r="1" ht="30.0" customHeight="1">
      <c r="A1" s="5" t="s">
        <v>6</v>
      </c>
      <c r="B1" s="5" t="s">
        <v>7212</v>
      </c>
      <c r="C1" s="6" t="s">
        <v>7</v>
      </c>
      <c r="D1" s="5" t="s">
        <v>8</v>
      </c>
      <c r="E1" s="5" t="s">
        <v>9</v>
      </c>
      <c r="F1" s="5" t="s">
        <v>10</v>
      </c>
      <c r="G1" s="5" t="s">
        <v>11</v>
      </c>
    </row>
    <row r="2" ht="22.5" customHeight="1">
      <c r="A2" s="7" t="s">
        <v>7213</v>
      </c>
      <c r="B2" s="7" t="s">
        <v>7214</v>
      </c>
      <c r="C2" s="8" t="s">
        <v>1811</v>
      </c>
      <c r="D2" s="7" t="s">
        <v>36</v>
      </c>
      <c r="E2" s="7" t="s">
        <v>7215</v>
      </c>
      <c r="F2" s="7" t="s">
        <v>26</v>
      </c>
      <c r="G2" s="7"/>
    </row>
    <row r="3" ht="22.5" customHeight="1">
      <c r="A3" s="7" t="s">
        <v>7213</v>
      </c>
      <c r="B3" s="7" t="s">
        <v>7214</v>
      </c>
      <c r="C3" s="8" t="s">
        <v>1811</v>
      </c>
      <c r="D3" s="7" t="s">
        <v>38</v>
      </c>
      <c r="E3" s="7" t="s">
        <v>7216</v>
      </c>
      <c r="F3" s="7" t="s">
        <v>26</v>
      </c>
      <c r="G3" s="7"/>
    </row>
    <row r="4" ht="22.5" customHeight="1">
      <c r="A4" s="7" t="s">
        <v>7213</v>
      </c>
      <c r="B4" s="7" t="s">
        <v>7214</v>
      </c>
      <c r="C4" s="8" t="s">
        <v>1811</v>
      </c>
      <c r="D4" s="7" t="s">
        <v>40</v>
      </c>
      <c r="E4" s="7" t="s">
        <v>7217</v>
      </c>
      <c r="F4" s="7" t="s">
        <v>26</v>
      </c>
      <c r="G4" s="7"/>
    </row>
    <row r="5" ht="22.5" customHeight="1">
      <c r="A5" s="7" t="s">
        <v>7213</v>
      </c>
      <c r="B5" s="7" t="s">
        <v>7214</v>
      </c>
      <c r="C5" s="8" t="s">
        <v>1811</v>
      </c>
      <c r="D5" s="7" t="s">
        <v>43</v>
      </c>
      <c r="E5" s="7" t="s">
        <v>7218</v>
      </c>
      <c r="F5" s="7" t="s">
        <v>26</v>
      </c>
      <c r="G5" s="7"/>
    </row>
    <row r="6" ht="22.5" customHeight="1">
      <c r="A6" s="7" t="s">
        <v>7213</v>
      </c>
      <c r="B6" s="7" t="s">
        <v>7214</v>
      </c>
      <c r="C6" s="8" t="s">
        <v>1929</v>
      </c>
      <c r="D6" s="7" t="s">
        <v>36</v>
      </c>
      <c r="E6" s="7" t="s">
        <v>7219</v>
      </c>
      <c r="F6" s="7" t="s">
        <v>26</v>
      </c>
      <c r="G6" s="7"/>
    </row>
    <row r="7" ht="22.5" customHeight="1">
      <c r="A7" s="7" t="s">
        <v>7213</v>
      </c>
      <c r="B7" s="7" t="s">
        <v>7214</v>
      </c>
      <c r="C7" s="8" t="s">
        <v>1929</v>
      </c>
      <c r="D7" s="7" t="s">
        <v>38</v>
      </c>
      <c r="E7" s="7" t="s">
        <v>7220</v>
      </c>
      <c r="F7" s="7" t="s">
        <v>26</v>
      </c>
      <c r="G7" s="7"/>
    </row>
    <row r="8" ht="22.5" customHeight="1">
      <c r="A8" s="7" t="s">
        <v>7213</v>
      </c>
      <c r="B8" s="7" t="s">
        <v>7214</v>
      </c>
      <c r="C8" s="8" t="s">
        <v>1929</v>
      </c>
      <c r="D8" s="7" t="s">
        <v>40</v>
      </c>
      <c r="E8" s="7" t="s">
        <v>7221</v>
      </c>
      <c r="F8" s="7" t="s">
        <v>26</v>
      </c>
      <c r="G8" s="7"/>
    </row>
    <row r="9" ht="22.5" customHeight="1">
      <c r="A9" s="7" t="s">
        <v>7213</v>
      </c>
      <c r="B9" s="7" t="s">
        <v>7214</v>
      </c>
      <c r="C9" s="8" t="s">
        <v>1929</v>
      </c>
      <c r="D9" s="7" t="s">
        <v>43</v>
      </c>
      <c r="E9" s="7" t="s">
        <v>7222</v>
      </c>
      <c r="F9" s="7" t="s">
        <v>26</v>
      </c>
      <c r="G9" s="7"/>
    </row>
    <row r="10" ht="22.5" customHeight="1">
      <c r="A10" s="7" t="s">
        <v>7213</v>
      </c>
      <c r="B10" s="7" t="s">
        <v>7214</v>
      </c>
      <c r="C10" s="8" t="s">
        <v>2105</v>
      </c>
      <c r="D10" s="7" t="s">
        <v>36</v>
      </c>
      <c r="E10" s="7" t="s">
        <v>7223</v>
      </c>
      <c r="F10" s="7" t="s">
        <v>26</v>
      </c>
      <c r="G10" s="7"/>
    </row>
    <row r="11" ht="22.5" customHeight="1">
      <c r="A11" s="7" t="s">
        <v>7213</v>
      </c>
      <c r="B11" s="7" t="s">
        <v>7214</v>
      </c>
      <c r="C11" s="8" t="s">
        <v>2105</v>
      </c>
      <c r="D11" s="7" t="s">
        <v>38</v>
      </c>
      <c r="E11" s="7" t="s">
        <v>7224</v>
      </c>
      <c r="F11" s="7" t="s">
        <v>26</v>
      </c>
      <c r="G11" s="7"/>
    </row>
    <row r="12" ht="22.5" customHeight="1">
      <c r="A12" s="7" t="s">
        <v>7213</v>
      </c>
      <c r="B12" s="7" t="s">
        <v>7214</v>
      </c>
      <c r="C12" s="8" t="s">
        <v>2105</v>
      </c>
      <c r="D12" s="7" t="s">
        <v>40</v>
      </c>
      <c r="E12" s="7" t="s">
        <v>7225</v>
      </c>
      <c r="F12" s="7" t="s">
        <v>26</v>
      </c>
      <c r="G12" s="7"/>
    </row>
    <row r="13" ht="22.5" customHeight="1">
      <c r="A13" s="7" t="s">
        <v>7213</v>
      </c>
      <c r="B13" s="7" t="s">
        <v>7214</v>
      </c>
      <c r="C13" s="8" t="s">
        <v>2105</v>
      </c>
      <c r="D13" s="7" t="s">
        <v>43</v>
      </c>
      <c r="E13" s="7" t="s">
        <v>7226</v>
      </c>
      <c r="F13" s="7" t="s">
        <v>26</v>
      </c>
      <c r="G13" s="7"/>
    </row>
    <row r="14" ht="22.5" customHeight="1">
      <c r="A14" s="7" t="s">
        <v>7227</v>
      </c>
      <c r="B14" s="7" t="s">
        <v>7228</v>
      </c>
      <c r="C14" s="8" t="s">
        <v>355</v>
      </c>
      <c r="D14" s="7" t="s">
        <v>30</v>
      </c>
      <c r="E14" s="7" t="s">
        <v>7229</v>
      </c>
      <c r="F14" s="7" t="s">
        <v>16</v>
      </c>
      <c r="G14" s="7"/>
    </row>
    <row r="15" ht="22.5" customHeight="1">
      <c r="A15" s="7" t="s">
        <v>7227</v>
      </c>
      <c r="B15" s="7" t="s">
        <v>7228</v>
      </c>
      <c r="C15" s="8" t="s">
        <v>355</v>
      </c>
      <c r="D15" s="7" t="s">
        <v>36</v>
      </c>
      <c r="E15" s="7" t="s">
        <v>7230</v>
      </c>
      <c r="F15" s="7" t="s">
        <v>105</v>
      </c>
      <c r="G15" s="7"/>
    </row>
    <row r="16" ht="22.5" customHeight="1">
      <c r="A16" s="7" t="s">
        <v>7227</v>
      </c>
      <c r="B16" s="7" t="s">
        <v>7228</v>
      </c>
      <c r="C16" s="8" t="s">
        <v>355</v>
      </c>
      <c r="D16" s="7" t="s">
        <v>36</v>
      </c>
      <c r="E16" s="7" t="s">
        <v>7231</v>
      </c>
      <c r="F16" s="7" t="s">
        <v>16</v>
      </c>
      <c r="G16" s="7"/>
    </row>
    <row r="17" ht="22.5" customHeight="1">
      <c r="A17" s="7" t="s">
        <v>7227</v>
      </c>
      <c r="B17" s="7" t="s">
        <v>7228</v>
      </c>
      <c r="C17" s="8" t="s">
        <v>355</v>
      </c>
      <c r="D17" s="7" t="s">
        <v>38</v>
      </c>
      <c r="E17" s="7" t="s">
        <v>7232</v>
      </c>
      <c r="F17" s="7" t="s">
        <v>16</v>
      </c>
      <c r="G17" s="7"/>
    </row>
    <row r="18" ht="22.5" customHeight="1">
      <c r="A18" s="7" t="s">
        <v>7227</v>
      </c>
      <c r="B18" s="7" t="s">
        <v>7228</v>
      </c>
      <c r="C18" s="8" t="s">
        <v>355</v>
      </c>
      <c r="D18" s="7" t="s">
        <v>40</v>
      </c>
      <c r="E18" s="7" t="s">
        <v>7233</v>
      </c>
      <c r="F18" s="7" t="s">
        <v>16</v>
      </c>
      <c r="G18" s="7"/>
    </row>
    <row r="19" ht="22.5" customHeight="1">
      <c r="A19" s="7" t="s">
        <v>7227</v>
      </c>
      <c r="B19" s="7" t="s">
        <v>7228</v>
      </c>
      <c r="C19" s="8" t="s">
        <v>355</v>
      </c>
      <c r="D19" s="7" t="s">
        <v>43</v>
      </c>
      <c r="E19" s="7" t="s">
        <v>7234</v>
      </c>
      <c r="F19" s="7" t="s">
        <v>16</v>
      </c>
      <c r="G19" s="7"/>
    </row>
    <row r="20" ht="22.5" customHeight="1">
      <c r="A20" s="7" t="s">
        <v>7227</v>
      </c>
      <c r="B20" s="7" t="s">
        <v>7228</v>
      </c>
      <c r="C20" s="8" t="s">
        <v>378</v>
      </c>
      <c r="D20" s="7" t="s">
        <v>30</v>
      </c>
      <c r="E20" s="7" t="s">
        <v>7235</v>
      </c>
      <c r="F20" s="7" t="s">
        <v>16</v>
      </c>
      <c r="G20" s="7"/>
    </row>
    <row r="21" ht="22.5" customHeight="1">
      <c r="A21" s="7" t="s">
        <v>7227</v>
      </c>
      <c r="B21" s="7" t="s">
        <v>7228</v>
      </c>
      <c r="C21" s="8" t="s">
        <v>378</v>
      </c>
      <c r="D21" s="7" t="s">
        <v>36</v>
      </c>
      <c r="E21" s="7" t="s">
        <v>7236</v>
      </c>
      <c r="F21" s="7" t="s">
        <v>16</v>
      </c>
      <c r="G21" s="7"/>
    </row>
    <row r="22" ht="22.5" customHeight="1">
      <c r="A22" s="7" t="s">
        <v>7227</v>
      </c>
      <c r="B22" s="7" t="s">
        <v>7228</v>
      </c>
      <c r="C22" s="8" t="s">
        <v>378</v>
      </c>
      <c r="D22" s="7" t="s">
        <v>38</v>
      </c>
      <c r="E22" s="7" t="s">
        <v>7237</v>
      </c>
      <c r="F22" s="7" t="s">
        <v>16</v>
      </c>
      <c r="G22" s="7"/>
    </row>
    <row r="23" ht="22.5" customHeight="1">
      <c r="A23" s="7" t="s">
        <v>7227</v>
      </c>
      <c r="B23" s="7" t="s">
        <v>7228</v>
      </c>
      <c r="C23" s="8" t="s">
        <v>378</v>
      </c>
      <c r="D23" s="7" t="s">
        <v>40</v>
      </c>
      <c r="E23" s="7" t="s">
        <v>7238</v>
      </c>
      <c r="F23" s="7" t="s">
        <v>16</v>
      </c>
      <c r="G23" s="7"/>
    </row>
    <row r="24" ht="22.5" customHeight="1">
      <c r="A24" s="7" t="s">
        <v>7227</v>
      </c>
      <c r="B24" s="7" t="s">
        <v>7228</v>
      </c>
      <c r="C24" s="8" t="s">
        <v>378</v>
      </c>
      <c r="D24" s="7" t="s">
        <v>43</v>
      </c>
      <c r="E24" s="7" t="s">
        <v>7239</v>
      </c>
      <c r="F24" s="7" t="s">
        <v>16</v>
      </c>
      <c r="G24" s="7"/>
    </row>
    <row r="25" ht="22.5" customHeight="1">
      <c r="A25" s="7" t="s">
        <v>7227</v>
      </c>
      <c r="B25" s="7" t="s">
        <v>7228</v>
      </c>
      <c r="C25" s="8" t="s">
        <v>389</v>
      </c>
      <c r="D25" s="7" t="s">
        <v>30</v>
      </c>
      <c r="E25" s="7" t="s">
        <v>7240</v>
      </c>
      <c r="F25" s="7" t="s">
        <v>151</v>
      </c>
      <c r="G25" s="7"/>
    </row>
    <row r="26" ht="22.5" customHeight="1">
      <c r="A26" s="7" t="s">
        <v>7227</v>
      </c>
      <c r="B26" s="7" t="s">
        <v>7228</v>
      </c>
      <c r="C26" s="8" t="s">
        <v>389</v>
      </c>
      <c r="D26" s="7" t="s">
        <v>36</v>
      </c>
      <c r="E26" s="7" t="s">
        <v>7241</v>
      </c>
      <c r="F26" s="7" t="s">
        <v>151</v>
      </c>
      <c r="G26" s="7"/>
    </row>
    <row r="27" ht="22.5" customHeight="1">
      <c r="A27" s="7" t="s">
        <v>7227</v>
      </c>
      <c r="B27" s="7" t="s">
        <v>7228</v>
      </c>
      <c r="C27" s="8" t="s">
        <v>389</v>
      </c>
      <c r="D27" s="7" t="s">
        <v>38</v>
      </c>
      <c r="E27" s="7" t="s">
        <v>7242</v>
      </c>
      <c r="F27" s="7" t="s">
        <v>151</v>
      </c>
      <c r="G27" s="7"/>
    </row>
    <row r="28" ht="22.5" customHeight="1">
      <c r="A28" s="7" t="s">
        <v>7227</v>
      </c>
      <c r="B28" s="7" t="s">
        <v>7228</v>
      </c>
      <c r="C28" s="8" t="s">
        <v>389</v>
      </c>
      <c r="D28" s="7" t="s">
        <v>40</v>
      </c>
      <c r="E28" s="7" t="s">
        <v>7243</v>
      </c>
      <c r="F28" s="7" t="s">
        <v>151</v>
      </c>
      <c r="G28" s="7"/>
    </row>
    <row r="29" ht="22.5" customHeight="1">
      <c r="A29" s="7" t="s">
        <v>7227</v>
      </c>
      <c r="B29" s="7" t="s">
        <v>7228</v>
      </c>
      <c r="C29" s="8" t="s">
        <v>389</v>
      </c>
      <c r="D29" s="7" t="s">
        <v>43</v>
      </c>
      <c r="E29" s="7" t="s">
        <v>7244</v>
      </c>
      <c r="F29" s="7" t="s">
        <v>151</v>
      </c>
      <c r="G29" s="7"/>
    </row>
    <row r="30" ht="22.5" customHeight="1">
      <c r="A30" s="7" t="s">
        <v>7227</v>
      </c>
      <c r="B30" s="7" t="s">
        <v>7228</v>
      </c>
      <c r="C30" s="8" t="s">
        <v>762</v>
      </c>
      <c r="D30" s="7" t="s">
        <v>30</v>
      </c>
      <c r="E30" s="7" t="s">
        <v>7245</v>
      </c>
      <c r="F30" s="7" t="s">
        <v>16</v>
      </c>
      <c r="G30" s="7"/>
    </row>
    <row r="31" ht="22.5" customHeight="1">
      <c r="A31" s="7" t="s">
        <v>7227</v>
      </c>
      <c r="B31" s="7" t="s">
        <v>7228</v>
      </c>
      <c r="C31" s="8" t="s">
        <v>762</v>
      </c>
      <c r="D31" s="7" t="s">
        <v>36</v>
      </c>
      <c r="E31" s="7" t="s">
        <v>7246</v>
      </c>
      <c r="F31" s="7" t="s">
        <v>16</v>
      </c>
      <c r="G31" s="7"/>
    </row>
    <row r="32" ht="22.5" customHeight="1">
      <c r="A32" s="7" t="s">
        <v>7227</v>
      </c>
      <c r="B32" s="7" t="s">
        <v>7228</v>
      </c>
      <c r="C32" s="8" t="s">
        <v>762</v>
      </c>
      <c r="D32" s="7" t="s">
        <v>38</v>
      </c>
      <c r="E32" s="7" t="s">
        <v>7247</v>
      </c>
      <c r="F32" s="7" t="s">
        <v>16</v>
      </c>
      <c r="G32" s="7"/>
    </row>
    <row r="33" ht="22.5" customHeight="1">
      <c r="A33" s="7" t="s">
        <v>7227</v>
      </c>
      <c r="B33" s="7" t="s">
        <v>7228</v>
      </c>
      <c r="C33" s="8" t="s">
        <v>762</v>
      </c>
      <c r="D33" s="7" t="s">
        <v>40</v>
      </c>
      <c r="E33" s="7" t="s">
        <v>7248</v>
      </c>
      <c r="F33" s="7" t="s">
        <v>16</v>
      </c>
      <c r="G33" s="7"/>
    </row>
    <row r="34" ht="22.5" customHeight="1">
      <c r="A34" s="7" t="s">
        <v>7227</v>
      </c>
      <c r="B34" s="7" t="s">
        <v>7228</v>
      </c>
      <c r="C34" s="8" t="s">
        <v>762</v>
      </c>
      <c r="D34" s="7" t="s">
        <v>43</v>
      </c>
      <c r="E34" s="7" t="s">
        <v>7249</v>
      </c>
      <c r="F34" s="7" t="s">
        <v>16</v>
      </c>
      <c r="G34" s="7"/>
    </row>
    <row r="35" ht="22.5" customHeight="1">
      <c r="A35" s="7" t="s">
        <v>7227</v>
      </c>
      <c r="B35" s="7" t="s">
        <v>7228</v>
      </c>
      <c r="C35" s="8" t="s">
        <v>898</v>
      </c>
      <c r="D35" s="7" t="s">
        <v>30</v>
      </c>
      <c r="E35" s="7" t="s">
        <v>7250</v>
      </c>
      <c r="F35" s="7" t="s">
        <v>155</v>
      </c>
      <c r="G35" s="7"/>
    </row>
    <row r="36" ht="22.5" customHeight="1">
      <c r="A36" s="7" t="s">
        <v>7227</v>
      </c>
      <c r="B36" s="7" t="s">
        <v>7228</v>
      </c>
      <c r="C36" s="8" t="s">
        <v>898</v>
      </c>
      <c r="D36" s="7" t="s">
        <v>36</v>
      </c>
      <c r="E36" s="7" t="s">
        <v>7251</v>
      </c>
      <c r="F36" s="7" t="s">
        <v>155</v>
      </c>
      <c r="G36" s="7"/>
    </row>
    <row r="37" ht="22.5" customHeight="1">
      <c r="A37" s="7" t="s">
        <v>7227</v>
      </c>
      <c r="B37" s="7" t="s">
        <v>7228</v>
      </c>
      <c r="C37" s="8" t="s">
        <v>898</v>
      </c>
      <c r="D37" s="7" t="s">
        <v>38</v>
      </c>
      <c r="E37" s="7" t="s">
        <v>7252</v>
      </c>
      <c r="F37" s="7" t="s">
        <v>155</v>
      </c>
      <c r="G37" s="7"/>
    </row>
    <row r="38" ht="22.5" customHeight="1">
      <c r="A38" s="7" t="s">
        <v>7227</v>
      </c>
      <c r="B38" s="7" t="s">
        <v>7228</v>
      </c>
      <c r="C38" s="8" t="s">
        <v>898</v>
      </c>
      <c r="D38" s="7" t="s">
        <v>40</v>
      </c>
      <c r="E38" s="7" t="s">
        <v>7253</v>
      </c>
      <c r="F38" s="7" t="s">
        <v>155</v>
      </c>
      <c r="G38" s="7"/>
    </row>
    <row r="39" ht="22.5" customHeight="1">
      <c r="A39" s="7" t="s">
        <v>7227</v>
      </c>
      <c r="B39" s="7" t="s">
        <v>7228</v>
      </c>
      <c r="C39" s="8" t="s">
        <v>898</v>
      </c>
      <c r="D39" s="7" t="s">
        <v>43</v>
      </c>
      <c r="E39" s="7" t="s">
        <v>7254</v>
      </c>
      <c r="F39" s="7" t="s">
        <v>155</v>
      </c>
      <c r="G39" s="7"/>
    </row>
    <row r="40" ht="22.5" customHeight="1">
      <c r="A40" s="7" t="s">
        <v>7227</v>
      </c>
      <c r="B40" s="7" t="s">
        <v>7228</v>
      </c>
      <c r="C40" s="8" t="s">
        <v>1092</v>
      </c>
      <c r="D40" s="7" t="s">
        <v>30</v>
      </c>
      <c r="E40" s="7" t="s">
        <v>7255</v>
      </c>
      <c r="F40" s="7" t="s">
        <v>16</v>
      </c>
      <c r="G40" s="7"/>
    </row>
    <row r="41" ht="22.5" customHeight="1">
      <c r="A41" s="7" t="s">
        <v>7227</v>
      </c>
      <c r="B41" s="7" t="s">
        <v>7228</v>
      </c>
      <c r="C41" s="8" t="s">
        <v>1092</v>
      </c>
      <c r="D41" s="7" t="s">
        <v>36</v>
      </c>
      <c r="E41" s="7" t="s">
        <v>7256</v>
      </c>
      <c r="F41" s="7" t="s">
        <v>16</v>
      </c>
      <c r="G41" s="7"/>
    </row>
    <row r="42" ht="22.5" customHeight="1">
      <c r="A42" s="7" t="s">
        <v>7227</v>
      </c>
      <c r="B42" s="7" t="s">
        <v>7228</v>
      </c>
      <c r="C42" s="8" t="s">
        <v>1092</v>
      </c>
      <c r="D42" s="7" t="s">
        <v>38</v>
      </c>
      <c r="E42" s="7" t="s">
        <v>7257</v>
      </c>
      <c r="F42" s="7" t="s">
        <v>16</v>
      </c>
      <c r="G42" s="7"/>
    </row>
    <row r="43" ht="22.5" customHeight="1">
      <c r="A43" s="7" t="s">
        <v>7227</v>
      </c>
      <c r="B43" s="7" t="s">
        <v>7228</v>
      </c>
      <c r="C43" s="8" t="s">
        <v>1092</v>
      </c>
      <c r="D43" s="7" t="s">
        <v>40</v>
      </c>
      <c r="E43" s="7" t="s">
        <v>7258</v>
      </c>
      <c r="F43" s="7" t="s">
        <v>16</v>
      </c>
      <c r="G43" s="7"/>
    </row>
    <row r="44" ht="22.5" customHeight="1">
      <c r="A44" s="7" t="s">
        <v>7227</v>
      </c>
      <c r="B44" s="7" t="s">
        <v>7228</v>
      </c>
      <c r="C44" s="8" t="s">
        <v>1092</v>
      </c>
      <c r="D44" s="7" t="s">
        <v>43</v>
      </c>
      <c r="E44" s="7" t="s">
        <v>7259</v>
      </c>
      <c r="F44" s="7" t="s">
        <v>16</v>
      </c>
      <c r="G44" s="7"/>
    </row>
    <row r="45" ht="22.5" customHeight="1">
      <c r="A45" s="7" t="s">
        <v>7227</v>
      </c>
      <c r="B45" s="7" t="s">
        <v>7228</v>
      </c>
      <c r="C45" s="8" t="s">
        <v>1190</v>
      </c>
      <c r="D45" s="7" t="s">
        <v>30</v>
      </c>
      <c r="E45" s="7" t="s">
        <v>7260</v>
      </c>
      <c r="F45" s="7" t="s">
        <v>26</v>
      </c>
      <c r="G45" s="7"/>
    </row>
    <row r="46" ht="22.5" customHeight="1">
      <c r="A46" s="7" t="s">
        <v>7227</v>
      </c>
      <c r="B46" s="7" t="s">
        <v>7228</v>
      </c>
      <c r="C46" s="8" t="s">
        <v>1190</v>
      </c>
      <c r="D46" s="7" t="s">
        <v>36</v>
      </c>
      <c r="E46" s="7" t="s">
        <v>7261</v>
      </c>
      <c r="F46" s="7" t="s">
        <v>26</v>
      </c>
      <c r="G46" s="7"/>
    </row>
    <row r="47" ht="22.5" customHeight="1">
      <c r="A47" s="7" t="s">
        <v>7227</v>
      </c>
      <c r="B47" s="7" t="s">
        <v>7228</v>
      </c>
      <c r="C47" s="8" t="s">
        <v>1190</v>
      </c>
      <c r="D47" s="7" t="s">
        <v>38</v>
      </c>
      <c r="E47" s="7" t="s">
        <v>7262</v>
      </c>
      <c r="F47" s="7" t="s">
        <v>26</v>
      </c>
      <c r="G47" s="7"/>
    </row>
    <row r="48" ht="22.5" customHeight="1">
      <c r="A48" s="7" t="s">
        <v>7227</v>
      </c>
      <c r="B48" s="7" t="s">
        <v>7228</v>
      </c>
      <c r="C48" s="8" t="s">
        <v>1190</v>
      </c>
      <c r="D48" s="7" t="s">
        <v>40</v>
      </c>
      <c r="E48" s="7" t="s">
        <v>7263</v>
      </c>
      <c r="F48" s="7" t="s">
        <v>26</v>
      </c>
      <c r="G48" s="7"/>
    </row>
    <row r="49" ht="22.5" customHeight="1">
      <c r="A49" s="7" t="s">
        <v>7227</v>
      </c>
      <c r="B49" s="7" t="s">
        <v>7228</v>
      </c>
      <c r="C49" s="8" t="s">
        <v>1190</v>
      </c>
      <c r="D49" s="7" t="s">
        <v>43</v>
      </c>
      <c r="E49" s="7" t="s">
        <v>7264</v>
      </c>
      <c r="F49" s="7" t="s">
        <v>26</v>
      </c>
      <c r="G49" s="7"/>
    </row>
    <row r="50" ht="22.5" customHeight="1">
      <c r="A50" s="7" t="s">
        <v>7227</v>
      </c>
      <c r="B50" s="7" t="s">
        <v>7228</v>
      </c>
      <c r="C50" s="8" t="s">
        <v>1381</v>
      </c>
      <c r="D50" s="7" t="s">
        <v>30</v>
      </c>
      <c r="E50" s="7" t="s">
        <v>7265</v>
      </c>
      <c r="F50" s="7" t="s">
        <v>26</v>
      </c>
      <c r="G50" s="7"/>
    </row>
    <row r="51" ht="22.5" customHeight="1">
      <c r="A51" s="7" t="s">
        <v>7227</v>
      </c>
      <c r="B51" s="7" t="s">
        <v>7228</v>
      </c>
      <c r="C51" s="8" t="s">
        <v>1381</v>
      </c>
      <c r="D51" s="7" t="s">
        <v>36</v>
      </c>
      <c r="E51" s="7" t="s">
        <v>7266</v>
      </c>
      <c r="F51" s="7" t="s">
        <v>26</v>
      </c>
      <c r="G51" s="7"/>
    </row>
    <row r="52" ht="22.5" customHeight="1">
      <c r="A52" s="7" t="s">
        <v>7227</v>
      </c>
      <c r="B52" s="7" t="s">
        <v>7228</v>
      </c>
      <c r="C52" s="8" t="s">
        <v>1381</v>
      </c>
      <c r="D52" s="7" t="s">
        <v>38</v>
      </c>
      <c r="E52" s="7" t="s">
        <v>7267</v>
      </c>
      <c r="F52" s="7" t="s">
        <v>26</v>
      </c>
      <c r="G52" s="7"/>
    </row>
    <row r="53" ht="22.5" customHeight="1">
      <c r="A53" s="7" t="s">
        <v>7227</v>
      </c>
      <c r="B53" s="7" t="s">
        <v>7228</v>
      </c>
      <c r="C53" s="8" t="s">
        <v>1381</v>
      </c>
      <c r="D53" s="7" t="s">
        <v>40</v>
      </c>
      <c r="E53" s="7" t="s">
        <v>7268</v>
      </c>
      <c r="F53" s="7" t="s">
        <v>26</v>
      </c>
      <c r="G53" s="7"/>
    </row>
    <row r="54" ht="22.5" customHeight="1">
      <c r="A54" s="7" t="s">
        <v>7227</v>
      </c>
      <c r="B54" s="7" t="s">
        <v>7228</v>
      </c>
      <c r="C54" s="8" t="s">
        <v>1381</v>
      </c>
      <c r="D54" s="7" t="s">
        <v>43</v>
      </c>
      <c r="E54" s="7" t="s">
        <v>7269</v>
      </c>
      <c r="F54" s="7" t="s">
        <v>26</v>
      </c>
      <c r="G54" s="7"/>
    </row>
    <row r="55" ht="22.5" customHeight="1">
      <c r="A55" s="7" t="s">
        <v>7213</v>
      </c>
      <c r="B55" s="7" t="s">
        <v>7270</v>
      </c>
      <c r="C55" s="8" t="s">
        <v>1820</v>
      </c>
      <c r="D55" s="7" t="s">
        <v>36</v>
      </c>
      <c r="E55" s="7" t="s">
        <v>7271</v>
      </c>
      <c r="F55" s="7" t="s">
        <v>26</v>
      </c>
      <c r="G55" s="7"/>
    </row>
    <row r="56" ht="22.5" customHeight="1">
      <c r="A56" s="7" t="s">
        <v>7213</v>
      </c>
      <c r="B56" s="7" t="s">
        <v>7270</v>
      </c>
      <c r="C56" s="8" t="s">
        <v>1820</v>
      </c>
      <c r="D56" s="7" t="s">
        <v>38</v>
      </c>
      <c r="E56" s="7" t="s">
        <v>7272</v>
      </c>
      <c r="F56" s="7" t="s">
        <v>26</v>
      </c>
      <c r="G56" s="7"/>
    </row>
    <row r="57" ht="22.5" customHeight="1">
      <c r="A57" s="7" t="s">
        <v>7213</v>
      </c>
      <c r="B57" s="7" t="s">
        <v>7270</v>
      </c>
      <c r="C57" s="8" t="s">
        <v>1820</v>
      </c>
      <c r="D57" s="7" t="s">
        <v>40</v>
      </c>
      <c r="E57" s="7" t="s">
        <v>7273</v>
      </c>
      <c r="F57" s="7" t="s">
        <v>26</v>
      </c>
      <c r="G57" s="7"/>
    </row>
    <row r="58" ht="22.5" customHeight="1">
      <c r="A58" s="7" t="s">
        <v>7213</v>
      </c>
      <c r="B58" s="7" t="s">
        <v>7270</v>
      </c>
      <c r="C58" s="8" t="s">
        <v>1820</v>
      </c>
      <c r="D58" s="7" t="s">
        <v>43</v>
      </c>
      <c r="E58" s="7" t="s">
        <v>7274</v>
      </c>
      <c r="F58" s="7" t="s">
        <v>26</v>
      </c>
      <c r="G58" s="7"/>
    </row>
    <row r="59" ht="22.5" customHeight="1">
      <c r="A59" s="7" t="s">
        <v>7213</v>
      </c>
      <c r="B59" s="7" t="s">
        <v>7270</v>
      </c>
      <c r="C59" s="8" t="s">
        <v>1955</v>
      </c>
      <c r="D59" s="7" t="s">
        <v>36</v>
      </c>
      <c r="E59" s="7" t="s">
        <v>7275</v>
      </c>
      <c r="F59" s="7" t="s">
        <v>26</v>
      </c>
      <c r="G59" s="7"/>
    </row>
    <row r="60" ht="22.5" customHeight="1">
      <c r="A60" s="7" t="s">
        <v>7213</v>
      </c>
      <c r="B60" s="7" t="s">
        <v>7270</v>
      </c>
      <c r="C60" s="8" t="s">
        <v>1955</v>
      </c>
      <c r="D60" s="7" t="s">
        <v>38</v>
      </c>
      <c r="E60" s="7" t="s">
        <v>7276</v>
      </c>
      <c r="F60" s="7" t="s">
        <v>26</v>
      </c>
      <c r="G60" s="7"/>
    </row>
    <row r="61" ht="22.5" customHeight="1">
      <c r="A61" s="7" t="s">
        <v>7213</v>
      </c>
      <c r="B61" s="7" t="s">
        <v>7270</v>
      </c>
      <c r="C61" s="8" t="s">
        <v>1955</v>
      </c>
      <c r="D61" s="7" t="s">
        <v>40</v>
      </c>
      <c r="E61" s="7" t="s">
        <v>7277</v>
      </c>
      <c r="F61" s="7" t="s">
        <v>26</v>
      </c>
      <c r="G61" s="7"/>
    </row>
    <row r="62" ht="22.5" customHeight="1">
      <c r="A62" s="7" t="s">
        <v>7213</v>
      </c>
      <c r="B62" s="7" t="s">
        <v>7270</v>
      </c>
      <c r="C62" s="8" t="s">
        <v>1955</v>
      </c>
      <c r="D62" s="7" t="s">
        <v>43</v>
      </c>
      <c r="E62" s="7" t="s">
        <v>7278</v>
      </c>
      <c r="F62" s="7" t="s">
        <v>26</v>
      </c>
      <c r="G62" s="7"/>
    </row>
    <row r="63" ht="22.5" customHeight="1">
      <c r="A63" s="7" t="s">
        <v>7227</v>
      </c>
      <c r="B63" s="7" t="s">
        <v>7270</v>
      </c>
      <c r="C63" s="8" t="s">
        <v>140</v>
      </c>
      <c r="D63" s="7" t="s">
        <v>30</v>
      </c>
      <c r="E63" s="7" t="s">
        <v>7279</v>
      </c>
      <c r="F63" s="7" t="s">
        <v>26</v>
      </c>
      <c r="G63" s="7"/>
    </row>
    <row r="64" ht="22.5" customHeight="1">
      <c r="A64" s="7" t="s">
        <v>7227</v>
      </c>
      <c r="B64" s="7" t="s">
        <v>7270</v>
      </c>
      <c r="C64" s="8" t="s">
        <v>140</v>
      </c>
      <c r="D64" s="7" t="s">
        <v>40</v>
      </c>
      <c r="E64" s="7" t="s">
        <v>7280</v>
      </c>
      <c r="F64" s="7" t="s">
        <v>16</v>
      </c>
      <c r="G64" s="7"/>
    </row>
    <row r="65" ht="22.5" customHeight="1">
      <c r="A65" s="7" t="s">
        <v>7227</v>
      </c>
      <c r="B65" s="7" t="s">
        <v>7270</v>
      </c>
      <c r="C65" s="8" t="s">
        <v>140</v>
      </c>
      <c r="D65" s="7" t="s">
        <v>43</v>
      </c>
      <c r="E65" s="7" t="s">
        <v>7281</v>
      </c>
      <c r="F65" s="7" t="s">
        <v>16</v>
      </c>
      <c r="G65" s="7"/>
    </row>
    <row r="66" ht="22.5" customHeight="1">
      <c r="A66" s="7" t="s">
        <v>7227</v>
      </c>
      <c r="B66" s="7" t="s">
        <v>7270</v>
      </c>
      <c r="C66" s="8" t="s">
        <v>7282</v>
      </c>
      <c r="D66" s="7" t="s">
        <v>40</v>
      </c>
      <c r="E66" s="7" t="s">
        <v>7283</v>
      </c>
      <c r="F66" s="7" t="s">
        <v>155</v>
      </c>
      <c r="G66" s="7"/>
    </row>
    <row r="67" ht="22.5" customHeight="1">
      <c r="A67" s="7" t="s">
        <v>7227</v>
      </c>
      <c r="B67" s="7" t="s">
        <v>7270</v>
      </c>
      <c r="C67" s="8" t="s">
        <v>7282</v>
      </c>
      <c r="D67" s="7" t="s">
        <v>43</v>
      </c>
      <c r="E67" s="7" t="s">
        <v>7284</v>
      </c>
      <c r="F67" s="7" t="s">
        <v>155</v>
      </c>
      <c r="G67" s="7"/>
    </row>
    <row r="68" ht="22.5" customHeight="1">
      <c r="A68" s="7" t="s">
        <v>7227</v>
      </c>
      <c r="B68" s="7" t="s">
        <v>7270</v>
      </c>
      <c r="C68" s="8" t="s">
        <v>173</v>
      </c>
      <c r="D68" s="7" t="s">
        <v>30</v>
      </c>
      <c r="E68" s="7" t="s">
        <v>7285</v>
      </c>
      <c r="F68" s="7" t="s">
        <v>16</v>
      </c>
      <c r="G68" s="7"/>
    </row>
    <row r="69" ht="22.5" customHeight="1">
      <c r="A69" s="7" t="s">
        <v>7227</v>
      </c>
      <c r="B69" s="7" t="s">
        <v>7270</v>
      </c>
      <c r="C69" s="8" t="s">
        <v>173</v>
      </c>
      <c r="D69" s="7" t="s">
        <v>36</v>
      </c>
      <c r="E69" s="7" t="s">
        <v>7286</v>
      </c>
      <c r="F69" s="7" t="s">
        <v>16</v>
      </c>
      <c r="G69" s="7"/>
    </row>
    <row r="70" ht="22.5" customHeight="1">
      <c r="A70" s="7" t="s">
        <v>7227</v>
      </c>
      <c r="B70" s="7" t="s">
        <v>7270</v>
      </c>
      <c r="C70" s="8" t="s">
        <v>173</v>
      </c>
      <c r="D70" s="7" t="s">
        <v>38</v>
      </c>
      <c r="E70" s="7" t="s">
        <v>7287</v>
      </c>
      <c r="F70" s="7" t="s">
        <v>16</v>
      </c>
      <c r="G70" s="7"/>
    </row>
    <row r="71" ht="22.5" customHeight="1">
      <c r="A71" s="7" t="s">
        <v>7227</v>
      </c>
      <c r="B71" s="7" t="s">
        <v>7270</v>
      </c>
      <c r="C71" s="8" t="s">
        <v>173</v>
      </c>
      <c r="D71" s="7" t="s">
        <v>40</v>
      </c>
      <c r="E71" s="7" t="s">
        <v>7288</v>
      </c>
      <c r="F71" s="7" t="s">
        <v>16</v>
      </c>
      <c r="G71" s="7"/>
    </row>
    <row r="72" ht="22.5" customHeight="1">
      <c r="A72" s="7" t="s">
        <v>7227</v>
      </c>
      <c r="B72" s="7" t="s">
        <v>7270</v>
      </c>
      <c r="C72" s="8" t="s">
        <v>173</v>
      </c>
      <c r="D72" s="7" t="s">
        <v>40</v>
      </c>
      <c r="E72" s="7" t="s">
        <v>7289</v>
      </c>
      <c r="F72" s="7" t="s">
        <v>155</v>
      </c>
      <c r="G72" s="7"/>
    </row>
    <row r="73" ht="22.5" customHeight="1">
      <c r="A73" s="7" t="s">
        <v>7227</v>
      </c>
      <c r="B73" s="7" t="s">
        <v>7270</v>
      </c>
      <c r="C73" s="8" t="s">
        <v>173</v>
      </c>
      <c r="D73" s="7" t="s">
        <v>43</v>
      </c>
      <c r="E73" s="7" t="s">
        <v>7290</v>
      </c>
      <c r="F73" s="7" t="s">
        <v>16</v>
      </c>
      <c r="G73" s="7"/>
    </row>
    <row r="74" ht="22.5" customHeight="1">
      <c r="A74" s="7" t="s">
        <v>7227</v>
      </c>
      <c r="B74" s="7" t="s">
        <v>7270</v>
      </c>
      <c r="C74" s="8" t="s">
        <v>173</v>
      </c>
      <c r="D74" s="7" t="s">
        <v>43</v>
      </c>
      <c r="E74" s="7" t="s">
        <v>7291</v>
      </c>
      <c r="F74" s="7" t="s">
        <v>155</v>
      </c>
      <c r="G74" s="7"/>
    </row>
    <row r="75" ht="22.5" customHeight="1">
      <c r="A75" s="7" t="s">
        <v>7227</v>
      </c>
      <c r="B75" s="7" t="s">
        <v>7270</v>
      </c>
      <c r="C75" s="8" t="s">
        <v>189</v>
      </c>
      <c r="D75" s="7" t="s">
        <v>30</v>
      </c>
      <c r="E75" s="7" t="s">
        <v>7292</v>
      </c>
      <c r="F75" s="7" t="s">
        <v>26</v>
      </c>
      <c r="G75" s="7"/>
    </row>
    <row r="76" ht="22.5" customHeight="1">
      <c r="A76" s="7" t="s">
        <v>7227</v>
      </c>
      <c r="B76" s="7" t="s">
        <v>7270</v>
      </c>
      <c r="C76" s="8" t="s">
        <v>243</v>
      </c>
      <c r="D76" s="7" t="s">
        <v>30</v>
      </c>
      <c r="E76" s="7" t="s">
        <v>7293</v>
      </c>
      <c r="F76" s="7" t="s">
        <v>16</v>
      </c>
      <c r="G76" s="7"/>
    </row>
    <row r="77" ht="22.5" customHeight="1">
      <c r="A77" s="7" t="s">
        <v>7227</v>
      </c>
      <c r="B77" s="7" t="s">
        <v>7270</v>
      </c>
      <c r="C77" s="8" t="s">
        <v>243</v>
      </c>
      <c r="D77" s="7" t="s">
        <v>36</v>
      </c>
      <c r="E77" s="7" t="s">
        <v>7294</v>
      </c>
      <c r="F77" s="7" t="s">
        <v>16</v>
      </c>
      <c r="G77" s="7"/>
    </row>
    <row r="78" ht="22.5" customHeight="1">
      <c r="A78" s="7" t="s">
        <v>7227</v>
      </c>
      <c r="B78" s="7" t="s">
        <v>7270</v>
      </c>
      <c r="C78" s="8" t="s">
        <v>243</v>
      </c>
      <c r="D78" s="7" t="s">
        <v>38</v>
      </c>
      <c r="E78" s="7" t="s">
        <v>7295</v>
      </c>
      <c r="F78" s="7" t="s">
        <v>16</v>
      </c>
      <c r="G78" s="7"/>
    </row>
    <row r="79" ht="22.5" customHeight="1">
      <c r="A79" s="7" t="s">
        <v>7227</v>
      </c>
      <c r="B79" s="7" t="s">
        <v>7270</v>
      </c>
      <c r="C79" s="8" t="s">
        <v>243</v>
      </c>
      <c r="D79" s="7" t="s">
        <v>40</v>
      </c>
      <c r="E79" s="7" t="s">
        <v>7296</v>
      </c>
      <c r="F79" s="7" t="s">
        <v>16</v>
      </c>
      <c r="G79" s="7"/>
    </row>
    <row r="80" ht="22.5" customHeight="1">
      <c r="A80" s="7" t="s">
        <v>7227</v>
      </c>
      <c r="B80" s="7" t="s">
        <v>7270</v>
      </c>
      <c r="C80" s="8" t="s">
        <v>243</v>
      </c>
      <c r="D80" s="7" t="s">
        <v>43</v>
      </c>
      <c r="E80" s="7" t="s">
        <v>7297</v>
      </c>
      <c r="F80" s="7" t="s">
        <v>16</v>
      </c>
      <c r="G80" s="7"/>
    </row>
    <row r="81" ht="22.5" customHeight="1">
      <c r="A81" s="7" t="s">
        <v>7227</v>
      </c>
      <c r="B81" s="7" t="s">
        <v>7270</v>
      </c>
      <c r="C81" s="8" t="s">
        <v>259</v>
      </c>
      <c r="D81" s="7" t="s">
        <v>30</v>
      </c>
      <c r="E81" s="7" t="s">
        <v>7298</v>
      </c>
      <c r="F81" s="7" t="s">
        <v>155</v>
      </c>
      <c r="G81" s="7"/>
    </row>
    <row r="82" ht="22.5" customHeight="1">
      <c r="A82" s="7" t="s">
        <v>7227</v>
      </c>
      <c r="B82" s="7" t="s">
        <v>7270</v>
      </c>
      <c r="C82" s="8" t="s">
        <v>259</v>
      </c>
      <c r="D82" s="7" t="s">
        <v>36</v>
      </c>
      <c r="E82" s="7" t="s">
        <v>7299</v>
      </c>
      <c r="F82" s="7" t="s">
        <v>155</v>
      </c>
      <c r="G82" s="7"/>
    </row>
    <row r="83" ht="22.5" customHeight="1">
      <c r="A83" s="7" t="s">
        <v>7227</v>
      </c>
      <c r="B83" s="7" t="s">
        <v>7270</v>
      </c>
      <c r="C83" s="8" t="s">
        <v>259</v>
      </c>
      <c r="D83" s="7" t="s">
        <v>38</v>
      </c>
      <c r="E83" s="7" t="s">
        <v>7300</v>
      </c>
      <c r="F83" s="7" t="s">
        <v>155</v>
      </c>
      <c r="G83" s="7"/>
    </row>
    <row r="84" ht="22.5" customHeight="1">
      <c r="A84" s="7" t="s">
        <v>7227</v>
      </c>
      <c r="B84" s="7" t="s">
        <v>7270</v>
      </c>
      <c r="C84" s="8" t="s">
        <v>259</v>
      </c>
      <c r="D84" s="7" t="s">
        <v>40</v>
      </c>
      <c r="E84" s="7" t="s">
        <v>7301</v>
      </c>
      <c r="F84" s="7" t="s">
        <v>155</v>
      </c>
      <c r="G84" s="7"/>
    </row>
    <row r="85" ht="22.5" customHeight="1">
      <c r="A85" s="7" t="s">
        <v>7227</v>
      </c>
      <c r="B85" s="7" t="s">
        <v>7270</v>
      </c>
      <c r="C85" s="8" t="s">
        <v>259</v>
      </c>
      <c r="D85" s="7" t="s">
        <v>43</v>
      </c>
      <c r="E85" s="7" t="s">
        <v>7302</v>
      </c>
      <c r="F85" s="7" t="s">
        <v>155</v>
      </c>
      <c r="G85" s="7"/>
    </row>
    <row r="86" ht="22.5" customHeight="1">
      <c r="A86" s="7" t="s">
        <v>7227</v>
      </c>
      <c r="B86" s="7" t="s">
        <v>7270</v>
      </c>
      <c r="C86" s="8" t="s">
        <v>341</v>
      </c>
      <c r="D86" s="7" t="s">
        <v>30</v>
      </c>
      <c r="E86" s="7" t="s">
        <v>7303</v>
      </c>
      <c r="F86" s="7" t="s">
        <v>155</v>
      </c>
      <c r="G86" s="7"/>
    </row>
    <row r="87" ht="22.5" customHeight="1">
      <c r="A87" s="7" t="s">
        <v>7227</v>
      </c>
      <c r="B87" s="7" t="s">
        <v>7270</v>
      </c>
      <c r="C87" s="8" t="s">
        <v>341</v>
      </c>
      <c r="D87" s="7" t="s">
        <v>36</v>
      </c>
      <c r="E87" s="7" t="s">
        <v>7304</v>
      </c>
      <c r="F87" s="7" t="s">
        <v>155</v>
      </c>
      <c r="G87" s="7"/>
    </row>
    <row r="88" ht="22.5" customHeight="1">
      <c r="A88" s="7" t="s">
        <v>7227</v>
      </c>
      <c r="B88" s="7" t="s">
        <v>7270</v>
      </c>
      <c r="C88" s="8" t="s">
        <v>341</v>
      </c>
      <c r="D88" s="7" t="s">
        <v>38</v>
      </c>
      <c r="E88" s="7" t="s">
        <v>7305</v>
      </c>
      <c r="F88" s="7" t="s">
        <v>155</v>
      </c>
      <c r="G88" s="7"/>
    </row>
    <row r="89" ht="22.5" customHeight="1">
      <c r="A89" s="7" t="s">
        <v>7227</v>
      </c>
      <c r="B89" s="7" t="s">
        <v>7270</v>
      </c>
      <c r="C89" s="8" t="s">
        <v>341</v>
      </c>
      <c r="D89" s="7" t="s">
        <v>40</v>
      </c>
      <c r="E89" s="7" t="s">
        <v>7306</v>
      </c>
      <c r="F89" s="7" t="s">
        <v>155</v>
      </c>
      <c r="G89" s="7"/>
    </row>
    <row r="90" ht="22.5" customHeight="1">
      <c r="A90" s="7" t="s">
        <v>7227</v>
      </c>
      <c r="B90" s="7" t="s">
        <v>7270</v>
      </c>
      <c r="C90" s="8" t="s">
        <v>341</v>
      </c>
      <c r="D90" s="7" t="s">
        <v>43</v>
      </c>
      <c r="E90" s="7" t="s">
        <v>7307</v>
      </c>
      <c r="F90" s="7" t="s">
        <v>155</v>
      </c>
      <c r="G90" s="7"/>
    </row>
    <row r="91" ht="22.5" customHeight="1">
      <c r="A91" s="7" t="s">
        <v>7227</v>
      </c>
      <c r="B91" s="7" t="s">
        <v>7270</v>
      </c>
      <c r="C91" s="8" t="s">
        <v>7308</v>
      </c>
      <c r="D91" s="7" t="s">
        <v>40</v>
      </c>
      <c r="E91" s="7" t="s">
        <v>7309</v>
      </c>
      <c r="F91" s="7" t="s">
        <v>155</v>
      </c>
      <c r="G91" s="7"/>
    </row>
    <row r="92" ht="22.5" customHeight="1">
      <c r="A92" s="7" t="s">
        <v>7227</v>
      </c>
      <c r="B92" s="7" t="s">
        <v>7270</v>
      </c>
      <c r="C92" s="8" t="s">
        <v>7308</v>
      </c>
      <c r="D92" s="7" t="s">
        <v>43</v>
      </c>
      <c r="E92" s="7" t="s">
        <v>7310</v>
      </c>
      <c r="F92" s="7" t="s">
        <v>155</v>
      </c>
      <c r="G92" s="7"/>
    </row>
    <row r="93" ht="22.5" customHeight="1">
      <c r="A93" s="7" t="s">
        <v>7227</v>
      </c>
      <c r="B93" s="7" t="s">
        <v>7270</v>
      </c>
      <c r="C93" s="8" t="s">
        <v>838</v>
      </c>
      <c r="D93" s="7" t="s">
        <v>30</v>
      </c>
      <c r="E93" s="7" t="s">
        <v>7311</v>
      </c>
      <c r="F93" s="7" t="s">
        <v>16</v>
      </c>
      <c r="G93" s="7"/>
    </row>
    <row r="94" ht="22.5" customHeight="1">
      <c r="A94" s="7" t="s">
        <v>7227</v>
      </c>
      <c r="B94" s="7" t="s">
        <v>7270</v>
      </c>
      <c r="C94" s="8" t="s">
        <v>838</v>
      </c>
      <c r="D94" s="7" t="s">
        <v>36</v>
      </c>
      <c r="E94" s="7" t="s">
        <v>7312</v>
      </c>
      <c r="F94" s="7" t="s">
        <v>16</v>
      </c>
      <c r="G94" s="7"/>
    </row>
    <row r="95" ht="22.5" customHeight="1">
      <c r="A95" s="7" t="s">
        <v>7227</v>
      </c>
      <c r="B95" s="7" t="s">
        <v>7270</v>
      </c>
      <c r="C95" s="8" t="s">
        <v>838</v>
      </c>
      <c r="D95" s="7" t="s">
        <v>38</v>
      </c>
      <c r="E95" s="7" t="s">
        <v>7313</v>
      </c>
      <c r="F95" s="7" t="s">
        <v>16</v>
      </c>
      <c r="G95" s="7"/>
    </row>
    <row r="96" ht="22.5" customHeight="1">
      <c r="A96" s="7" t="s">
        <v>7227</v>
      </c>
      <c r="B96" s="7" t="s">
        <v>7270</v>
      </c>
      <c r="C96" s="8" t="s">
        <v>838</v>
      </c>
      <c r="D96" s="7" t="s">
        <v>40</v>
      </c>
      <c r="E96" s="7" t="s">
        <v>7314</v>
      </c>
      <c r="F96" s="7" t="s">
        <v>16</v>
      </c>
      <c r="G96" s="7"/>
    </row>
    <row r="97" ht="22.5" customHeight="1">
      <c r="A97" s="7" t="s">
        <v>7227</v>
      </c>
      <c r="B97" s="7" t="s">
        <v>7270</v>
      </c>
      <c r="C97" s="8" t="s">
        <v>838</v>
      </c>
      <c r="D97" s="7" t="s">
        <v>43</v>
      </c>
      <c r="E97" s="7" t="s">
        <v>7315</v>
      </c>
      <c r="F97" s="7" t="s">
        <v>105</v>
      </c>
      <c r="G97" s="7"/>
    </row>
    <row r="98" ht="22.5" customHeight="1">
      <c r="A98" s="7" t="s">
        <v>7227</v>
      </c>
      <c r="B98" s="7" t="s">
        <v>7270</v>
      </c>
      <c r="C98" s="8" t="s">
        <v>838</v>
      </c>
      <c r="D98" s="7" t="s">
        <v>43</v>
      </c>
      <c r="E98" s="7" t="s">
        <v>7316</v>
      </c>
      <c r="F98" s="7" t="s">
        <v>16</v>
      </c>
      <c r="G98" s="7"/>
    </row>
    <row r="99" ht="22.5" customHeight="1">
      <c r="A99" s="7" t="s">
        <v>7227</v>
      </c>
      <c r="B99" s="7" t="s">
        <v>7270</v>
      </c>
      <c r="C99" s="8" t="s">
        <v>7317</v>
      </c>
      <c r="D99" s="7" t="s">
        <v>30</v>
      </c>
      <c r="E99" s="7" t="s">
        <v>7318</v>
      </c>
      <c r="F99" s="7" t="s">
        <v>16</v>
      </c>
      <c r="G99" s="7"/>
    </row>
    <row r="100" ht="22.5" customHeight="1">
      <c r="A100" s="7" t="s">
        <v>7227</v>
      </c>
      <c r="B100" s="7" t="s">
        <v>7270</v>
      </c>
      <c r="C100" s="8" t="s">
        <v>7317</v>
      </c>
      <c r="D100" s="7" t="s">
        <v>36</v>
      </c>
      <c r="E100" s="7" t="s">
        <v>7319</v>
      </c>
      <c r="F100" s="7" t="s">
        <v>16</v>
      </c>
      <c r="G100" s="7"/>
    </row>
    <row r="101" ht="22.5" customHeight="1">
      <c r="A101" s="7" t="s">
        <v>7227</v>
      </c>
      <c r="B101" s="7" t="s">
        <v>7270</v>
      </c>
      <c r="C101" s="8" t="s">
        <v>7317</v>
      </c>
      <c r="D101" s="7" t="s">
        <v>38</v>
      </c>
      <c r="E101" s="7" t="s">
        <v>7320</v>
      </c>
      <c r="F101" s="7" t="s">
        <v>16</v>
      </c>
      <c r="G101" s="7"/>
    </row>
    <row r="102" ht="22.5" customHeight="1">
      <c r="A102" s="7" t="s">
        <v>7227</v>
      </c>
      <c r="B102" s="7" t="s">
        <v>7270</v>
      </c>
      <c r="C102" s="8" t="s">
        <v>7317</v>
      </c>
      <c r="D102" s="7" t="s">
        <v>40</v>
      </c>
      <c r="E102" s="7" t="s">
        <v>7321</v>
      </c>
      <c r="F102" s="7" t="s">
        <v>16</v>
      </c>
      <c r="G102" s="7"/>
    </row>
    <row r="103" ht="22.5" customHeight="1">
      <c r="A103" s="7" t="s">
        <v>7227</v>
      </c>
      <c r="B103" s="7" t="s">
        <v>7270</v>
      </c>
      <c r="C103" s="8" t="s">
        <v>7317</v>
      </c>
      <c r="D103" s="7" t="s">
        <v>43</v>
      </c>
      <c r="E103" s="7" t="s">
        <v>7322</v>
      </c>
      <c r="F103" s="7" t="s">
        <v>16</v>
      </c>
      <c r="G103" s="7"/>
    </row>
    <row r="104" ht="22.5" customHeight="1">
      <c r="A104" s="7" t="s">
        <v>7227</v>
      </c>
      <c r="B104" s="7" t="s">
        <v>7270</v>
      </c>
      <c r="C104" s="8" t="s">
        <v>867</v>
      </c>
      <c r="D104" s="7" t="s">
        <v>30</v>
      </c>
      <c r="E104" s="7" t="s">
        <v>7323</v>
      </c>
      <c r="F104" s="7" t="s">
        <v>16</v>
      </c>
      <c r="G104" s="7"/>
    </row>
    <row r="105" ht="22.5" customHeight="1">
      <c r="A105" s="7" t="s">
        <v>7227</v>
      </c>
      <c r="B105" s="7" t="s">
        <v>7270</v>
      </c>
      <c r="C105" s="8" t="s">
        <v>867</v>
      </c>
      <c r="D105" s="7" t="s">
        <v>36</v>
      </c>
      <c r="E105" s="7" t="s">
        <v>7324</v>
      </c>
      <c r="F105" s="7" t="s">
        <v>16</v>
      </c>
      <c r="G105" s="7"/>
    </row>
    <row r="106" ht="22.5" customHeight="1">
      <c r="A106" s="7" t="s">
        <v>7227</v>
      </c>
      <c r="B106" s="7" t="s">
        <v>7270</v>
      </c>
      <c r="C106" s="8" t="s">
        <v>867</v>
      </c>
      <c r="D106" s="7" t="s">
        <v>38</v>
      </c>
      <c r="E106" s="7" t="s">
        <v>7325</v>
      </c>
      <c r="F106" s="7" t="s">
        <v>105</v>
      </c>
      <c r="G106" s="7"/>
    </row>
    <row r="107" ht="22.5" customHeight="1">
      <c r="A107" s="7" t="s">
        <v>7227</v>
      </c>
      <c r="B107" s="7" t="s">
        <v>7270</v>
      </c>
      <c r="C107" s="8" t="s">
        <v>867</v>
      </c>
      <c r="D107" s="7" t="s">
        <v>38</v>
      </c>
      <c r="E107" s="7" t="s">
        <v>7326</v>
      </c>
      <c r="F107" s="7" t="s">
        <v>16</v>
      </c>
      <c r="G107" s="7"/>
    </row>
    <row r="108" ht="22.5" customHeight="1">
      <c r="A108" s="7" t="s">
        <v>7227</v>
      </c>
      <c r="B108" s="7" t="s">
        <v>7270</v>
      </c>
      <c r="C108" s="8" t="s">
        <v>867</v>
      </c>
      <c r="D108" s="7" t="s">
        <v>40</v>
      </c>
      <c r="E108" s="7" t="s">
        <v>7327</v>
      </c>
      <c r="F108" s="7" t="s">
        <v>16</v>
      </c>
      <c r="G108" s="7"/>
    </row>
    <row r="109" ht="22.5" customHeight="1">
      <c r="A109" s="7" t="s">
        <v>7227</v>
      </c>
      <c r="B109" s="7" t="s">
        <v>7270</v>
      </c>
      <c r="C109" s="8" t="s">
        <v>867</v>
      </c>
      <c r="D109" s="7" t="s">
        <v>43</v>
      </c>
      <c r="E109" s="7" t="s">
        <v>7328</v>
      </c>
      <c r="F109" s="7" t="s">
        <v>16</v>
      </c>
      <c r="G109" s="7"/>
    </row>
    <row r="110" ht="22.5" customHeight="1">
      <c r="A110" s="7" t="s">
        <v>7227</v>
      </c>
      <c r="B110" s="7" t="s">
        <v>7270</v>
      </c>
      <c r="C110" s="8" t="s">
        <v>890</v>
      </c>
      <c r="D110" s="7" t="s">
        <v>30</v>
      </c>
      <c r="E110" s="7" t="s">
        <v>7329</v>
      </c>
      <c r="F110" s="7" t="s">
        <v>16</v>
      </c>
      <c r="G110" s="7"/>
    </row>
    <row r="111" ht="22.5" customHeight="1">
      <c r="A111" s="7" t="s">
        <v>7227</v>
      </c>
      <c r="B111" s="7" t="s">
        <v>7270</v>
      </c>
      <c r="C111" s="8" t="s">
        <v>890</v>
      </c>
      <c r="D111" s="7" t="s">
        <v>36</v>
      </c>
      <c r="E111" s="7" t="s">
        <v>7330</v>
      </c>
      <c r="F111" s="7" t="s">
        <v>16</v>
      </c>
      <c r="G111" s="7"/>
    </row>
    <row r="112" ht="22.5" customHeight="1">
      <c r="A112" s="7" t="s">
        <v>7227</v>
      </c>
      <c r="B112" s="7" t="s">
        <v>7270</v>
      </c>
      <c r="C112" s="8" t="s">
        <v>890</v>
      </c>
      <c r="D112" s="7" t="s">
        <v>38</v>
      </c>
      <c r="E112" s="7" t="s">
        <v>7331</v>
      </c>
      <c r="F112" s="7" t="s">
        <v>16</v>
      </c>
      <c r="G112" s="7"/>
    </row>
    <row r="113" ht="22.5" customHeight="1">
      <c r="A113" s="7" t="s">
        <v>7227</v>
      </c>
      <c r="B113" s="7" t="s">
        <v>7270</v>
      </c>
      <c r="C113" s="8" t="s">
        <v>890</v>
      </c>
      <c r="D113" s="7" t="s">
        <v>40</v>
      </c>
      <c r="E113" s="7" t="s">
        <v>7332</v>
      </c>
      <c r="F113" s="7" t="s">
        <v>16</v>
      </c>
      <c r="G113" s="7"/>
    </row>
    <row r="114" ht="22.5" customHeight="1">
      <c r="A114" s="7" t="s">
        <v>7227</v>
      </c>
      <c r="B114" s="7" t="s">
        <v>7270</v>
      </c>
      <c r="C114" s="8" t="s">
        <v>890</v>
      </c>
      <c r="D114" s="7" t="s">
        <v>43</v>
      </c>
      <c r="E114" s="7" t="s">
        <v>7333</v>
      </c>
      <c r="F114" s="7" t="s">
        <v>16</v>
      </c>
      <c r="G114" s="7"/>
    </row>
    <row r="115" ht="22.5" customHeight="1">
      <c r="A115" s="7" t="s">
        <v>7227</v>
      </c>
      <c r="B115" s="7" t="s">
        <v>7270</v>
      </c>
      <c r="C115" s="8" t="s">
        <v>1129</v>
      </c>
      <c r="D115" s="7" t="s">
        <v>30</v>
      </c>
      <c r="E115" s="7" t="s">
        <v>7334</v>
      </c>
      <c r="F115" s="7" t="s">
        <v>16</v>
      </c>
      <c r="G115" s="7"/>
    </row>
    <row r="116" ht="22.5" customHeight="1">
      <c r="A116" s="7" t="s">
        <v>7227</v>
      </c>
      <c r="B116" s="7" t="s">
        <v>7270</v>
      </c>
      <c r="C116" s="8" t="s">
        <v>1129</v>
      </c>
      <c r="D116" s="7" t="s">
        <v>36</v>
      </c>
      <c r="E116" s="7" t="s">
        <v>7335</v>
      </c>
      <c r="F116" s="7" t="s">
        <v>16</v>
      </c>
      <c r="G116" s="7"/>
    </row>
    <row r="117" ht="22.5" customHeight="1">
      <c r="A117" s="7" t="s">
        <v>7227</v>
      </c>
      <c r="B117" s="7" t="s">
        <v>7270</v>
      </c>
      <c r="C117" s="8" t="s">
        <v>1129</v>
      </c>
      <c r="D117" s="7" t="s">
        <v>38</v>
      </c>
      <c r="E117" s="7" t="s">
        <v>7336</v>
      </c>
      <c r="F117" s="7" t="s">
        <v>16</v>
      </c>
      <c r="G117" s="7"/>
    </row>
    <row r="118" ht="22.5" customHeight="1">
      <c r="A118" s="7" t="s">
        <v>7227</v>
      </c>
      <c r="B118" s="7" t="s">
        <v>7270</v>
      </c>
      <c r="C118" s="8" t="s">
        <v>1129</v>
      </c>
      <c r="D118" s="7" t="s">
        <v>40</v>
      </c>
      <c r="E118" s="7" t="s">
        <v>7337</v>
      </c>
      <c r="F118" s="7" t="s">
        <v>16</v>
      </c>
      <c r="G118" s="7"/>
    </row>
    <row r="119" ht="22.5" customHeight="1">
      <c r="A119" s="7" t="s">
        <v>7227</v>
      </c>
      <c r="B119" s="7" t="s">
        <v>7270</v>
      </c>
      <c r="C119" s="8" t="s">
        <v>1129</v>
      </c>
      <c r="D119" s="7" t="s">
        <v>43</v>
      </c>
      <c r="E119" s="7" t="s">
        <v>7338</v>
      </c>
      <c r="F119" s="7" t="s">
        <v>16</v>
      </c>
      <c r="G119" s="7"/>
    </row>
    <row r="120" ht="22.5" customHeight="1">
      <c r="A120" s="7" t="s">
        <v>7227</v>
      </c>
      <c r="B120" s="7" t="s">
        <v>7270</v>
      </c>
      <c r="C120" s="8" t="s">
        <v>1247</v>
      </c>
      <c r="D120" s="7" t="s">
        <v>30</v>
      </c>
      <c r="E120" s="7" t="s">
        <v>7339</v>
      </c>
      <c r="F120" s="7" t="s">
        <v>155</v>
      </c>
      <c r="G120" s="7"/>
    </row>
    <row r="121" ht="22.5" customHeight="1">
      <c r="A121" s="7" t="s">
        <v>7227</v>
      </c>
      <c r="B121" s="7" t="s">
        <v>7270</v>
      </c>
      <c r="C121" s="8" t="s">
        <v>1247</v>
      </c>
      <c r="D121" s="7" t="s">
        <v>36</v>
      </c>
      <c r="E121" s="7" t="s">
        <v>7340</v>
      </c>
      <c r="F121" s="7" t="s">
        <v>155</v>
      </c>
      <c r="G121" s="7"/>
    </row>
    <row r="122" ht="22.5" customHeight="1">
      <c r="A122" s="7" t="s">
        <v>7227</v>
      </c>
      <c r="B122" s="7" t="s">
        <v>7270</v>
      </c>
      <c r="C122" s="8" t="s">
        <v>1247</v>
      </c>
      <c r="D122" s="7" t="s">
        <v>38</v>
      </c>
      <c r="E122" s="7" t="s">
        <v>7341</v>
      </c>
      <c r="F122" s="7" t="s">
        <v>155</v>
      </c>
      <c r="G122" s="7"/>
    </row>
    <row r="123" ht="22.5" customHeight="1">
      <c r="A123" s="7" t="s">
        <v>7227</v>
      </c>
      <c r="B123" s="7" t="s">
        <v>7270</v>
      </c>
      <c r="C123" s="8" t="s">
        <v>1247</v>
      </c>
      <c r="D123" s="7" t="s">
        <v>40</v>
      </c>
      <c r="E123" s="7" t="s">
        <v>7342</v>
      </c>
      <c r="F123" s="7" t="s">
        <v>155</v>
      </c>
      <c r="G123" s="7"/>
    </row>
    <row r="124" ht="22.5" customHeight="1">
      <c r="A124" s="7" t="s">
        <v>7227</v>
      </c>
      <c r="B124" s="7" t="s">
        <v>7270</v>
      </c>
      <c r="C124" s="8" t="s">
        <v>1247</v>
      </c>
      <c r="D124" s="7" t="s">
        <v>43</v>
      </c>
      <c r="E124" s="7" t="s">
        <v>7343</v>
      </c>
      <c r="F124" s="7" t="s">
        <v>155</v>
      </c>
      <c r="G124" s="7"/>
    </row>
    <row r="125" ht="22.5" customHeight="1">
      <c r="A125" s="7" t="s">
        <v>7227</v>
      </c>
      <c r="B125" s="7" t="s">
        <v>7270</v>
      </c>
      <c r="C125" s="8" t="s">
        <v>1391</v>
      </c>
      <c r="D125" s="7" t="s">
        <v>30</v>
      </c>
      <c r="E125" s="7" t="s">
        <v>7344</v>
      </c>
      <c r="F125" s="7" t="s">
        <v>155</v>
      </c>
      <c r="G125" s="7"/>
    </row>
    <row r="126" ht="22.5" customHeight="1">
      <c r="A126" s="7" t="s">
        <v>7227</v>
      </c>
      <c r="B126" s="7" t="s">
        <v>7270</v>
      </c>
      <c r="C126" s="8" t="s">
        <v>1391</v>
      </c>
      <c r="D126" s="7" t="s">
        <v>36</v>
      </c>
      <c r="E126" s="7" t="s">
        <v>7345</v>
      </c>
      <c r="F126" s="7" t="s">
        <v>155</v>
      </c>
      <c r="G126" s="7"/>
    </row>
    <row r="127" ht="22.5" customHeight="1">
      <c r="A127" s="7" t="s">
        <v>7227</v>
      </c>
      <c r="B127" s="7" t="s">
        <v>7270</v>
      </c>
      <c r="C127" s="8" t="s">
        <v>1391</v>
      </c>
      <c r="D127" s="7" t="s">
        <v>38</v>
      </c>
      <c r="E127" s="7" t="s">
        <v>7346</v>
      </c>
      <c r="F127" s="7" t="s">
        <v>155</v>
      </c>
      <c r="G127" s="7"/>
    </row>
    <row r="128" ht="22.5" customHeight="1">
      <c r="A128" s="7" t="s">
        <v>7227</v>
      </c>
      <c r="B128" s="7" t="s">
        <v>7270</v>
      </c>
      <c r="C128" s="8" t="s">
        <v>1391</v>
      </c>
      <c r="D128" s="7" t="s">
        <v>40</v>
      </c>
      <c r="E128" s="7" t="s">
        <v>7347</v>
      </c>
      <c r="F128" s="7" t="s">
        <v>155</v>
      </c>
      <c r="G128" s="7"/>
    </row>
    <row r="129" ht="22.5" customHeight="1">
      <c r="A129" s="7" t="s">
        <v>7227</v>
      </c>
      <c r="B129" s="7" t="s">
        <v>7270</v>
      </c>
      <c r="C129" s="8" t="s">
        <v>1391</v>
      </c>
      <c r="D129" s="7" t="s">
        <v>43</v>
      </c>
      <c r="E129" s="7" t="s">
        <v>7348</v>
      </c>
      <c r="F129" s="7" t="s">
        <v>155</v>
      </c>
      <c r="G129" s="7"/>
    </row>
    <row r="130" ht="22.5" customHeight="1">
      <c r="A130" s="7" t="s">
        <v>7227</v>
      </c>
      <c r="B130" s="7" t="s">
        <v>7270</v>
      </c>
      <c r="C130" s="8" t="s">
        <v>1409</v>
      </c>
      <c r="D130" s="7" t="s">
        <v>30</v>
      </c>
      <c r="E130" s="7" t="s">
        <v>7349</v>
      </c>
      <c r="F130" s="7" t="s">
        <v>155</v>
      </c>
      <c r="G130" s="7"/>
    </row>
    <row r="131" ht="22.5" customHeight="1">
      <c r="A131" s="7" t="s">
        <v>7227</v>
      </c>
      <c r="B131" s="7" t="s">
        <v>7270</v>
      </c>
      <c r="C131" s="8" t="s">
        <v>1409</v>
      </c>
      <c r="D131" s="7" t="s">
        <v>36</v>
      </c>
      <c r="E131" s="7" t="s">
        <v>7350</v>
      </c>
      <c r="F131" s="7" t="s">
        <v>155</v>
      </c>
      <c r="G131" s="7"/>
    </row>
    <row r="132" ht="22.5" customHeight="1">
      <c r="A132" s="7" t="s">
        <v>7227</v>
      </c>
      <c r="B132" s="7" t="s">
        <v>7270</v>
      </c>
      <c r="C132" s="8" t="s">
        <v>1409</v>
      </c>
      <c r="D132" s="7" t="s">
        <v>38</v>
      </c>
      <c r="E132" s="7" t="s">
        <v>7351</v>
      </c>
      <c r="F132" s="7" t="s">
        <v>155</v>
      </c>
      <c r="G132" s="7"/>
    </row>
    <row r="133" ht="22.5" customHeight="1">
      <c r="A133" s="7" t="s">
        <v>7227</v>
      </c>
      <c r="B133" s="7" t="s">
        <v>7270</v>
      </c>
      <c r="C133" s="8" t="s">
        <v>1409</v>
      </c>
      <c r="D133" s="7" t="s">
        <v>40</v>
      </c>
      <c r="E133" s="7" t="s">
        <v>7352</v>
      </c>
      <c r="F133" s="7" t="s">
        <v>155</v>
      </c>
      <c r="G133" s="7"/>
    </row>
    <row r="134" ht="22.5" customHeight="1">
      <c r="A134" s="7" t="s">
        <v>7227</v>
      </c>
      <c r="B134" s="7" t="s">
        <v>7270</v>
      </c>
      <c r="C134" s="8" t="s">
        <v>1409</v>
      </c>
      <c r="D134" s="7" t="s">
        <v>43</v>
      </c>
      <c r="E134" s="7" t="s">
        <v>7353</v>
      </c>
      <c r="F134" s="7" t="s">
        <v>155</v>
      </c>
      <c r="G134" s="7"/>
    </row>
    <row r="135" ht="22.5" customHeight="1">
      <c r="A135" s="7" t="s">
        <v>7227</v>
      </c>
      <c r="B135" s="7" t="s">
        <v>7270</v>
      </c>
      <c r="C135" s="8" t="s">
        <v>1601</v>
      </c>
      <c r="D135" s="7" t="s">
        <v>30</v>
      </c>
      <c r="E135" s="7" t="s">
        <v>7354</v>
      </c>
      <c r="F135" s="7" t="s">
        <v>16</v>
      </c>
      <c r="G135" s="7"/>
    </row>
    <row r="136" ht="22.5" customHeight="1">
      <c r="A136" s="7" t="s">
        <v>7227</v>
      </c>
      <c r="B136" s="7" t="s">
        <v>7270</v>
      </c>
      <c r="C136" s="8" t="s">
        <v>1601</v>
      </c>
      <c r="D136" s="7" t="s">
        <v>36</v>
      </c>
      <c r="E136" s="7" t="s">
        <v>7355</v>
      </c>
      <c r="F136" s="7" t="s">
        <v>16</v>
      </c>
      <c r="G136" s="7"/>
    </row>
    <row r="137" ht="22.5" customHeight="1">
      <c r="A137" s="7" t="s">
        <v>7227</v>
      </c>
      <c r="B137" s="7" t="s">
        <v>7270</v>
      </c>
      <c r="C137" s="8" t="s">
        <v>1601</v>
      </c>
      <c r="D137" s="7" t="s">
        <v>38</v>
      </c>
      <c r="E137" s="7" t="s">
        <v>7356</v>
      </c>
      <c r="F137" s="7" t="s">
        <v>16</v>
      </c>
      <c r="G137" s="7"/>
    </row>
    <row r="138" ht="22.5" customHeight="1">
      <c r="A138" s="7" t="s">
        <v>7227</v>
      </c>
      <c r="B138" s="7" t="s">
        <v>7270</v>
      </c>
      <c r="C138" s="8" t="s">
        <v>1601</v>
      </c>
      <c r="D138" s="7" t="s">
        <v>40</v>
      </c>
      <c r="E138" s="7" t="s">
        <v>7357</v>
      </c>
      <c r="F138" s="7" t="s">
        <v>16</v>
      </c>
      <c r="G138" s="7"/>
    </row>
    <row r="139" ht="22.5" customHeight="1">
      <c r="A139" s="7" t="s">
        <v>7227</v>
      </c>
      <c r="B139" s="7" t="s">
        <v>7270</v>
      </c>
      <c r="C139" s="8" t="s">
        <v>1601</v>
      </c>
      <c r="D139" s="7" t="s">
        <v>43</v>
      </c>
      <c r="E139" s="7" t="s">
        <v>7358</v>
      </c>
      <c r="F139" s="7" t="s">
        <v>16</v>
      </c>
      <c r="G139" s="7"/>
    </row>
    <row r="140" ht="22.5" customHeight="1">
      <c r="A140" s="7" t="s">
        <v>7227</v>
      </c>
      <c r="B140" s="7" t="s">
        <v>7270</v>
      </c>
      <c r="C140" s="8" t="s">
        <v>1645</v>
      </c>
      <c r="D140" s="7" t="s">
        <v>30</v>
      </c>
      <c r="E140" s="7" t="s">
        <v>7359</v>
      </c>
      <c r="F140" s="7" t="s">
        <v>16</v>
      </c>
      <c r="G140" s="7"/>
    </row>
    <row r="141" ht="22.5" customHeight="1">
      <c r="A141" s="7" t="s">
        <v>7227</v>
      </c>
      <c r="B141" s="7" t="s">
        <v>7270</v>
      </c>
      <c r="C141" s="8" t="s">
        <v>1645</v>
      </c>
      <c r="D141" s="7" t="s">
        <v>36</v>
      </c>
      <c r="E141" s="7" t="s">
        <v>7360</v>
      </c>
      <c r="F141" s="7" t="s">
        <v>16</v>
      </c>
      <c r="G141" s="7"/>
    </row>
    <row r="142" ht="22.5" customHeight="1">
      <c r="A142" s="7" t="s">
        <v>7227</v>
      </c>
      <c r="B142" s="7" t="s">
        <v>7270</v>
      </c>
      <c r="C142" s="8" t="s">
        <v>1645</v>
      </c>
      <c r="D142" s="7" t="s">
        <v>38</v>
      </c>
      <c r="E142" s="7" t="s">
        <v>7361</v>
      </c>
      <c r="F142" s="7" t="s">
        <v>16</v>
      </c>
      <c r="G142" s="7"/>
    </row>
    <row r="143" ht="22.5" customHeight="1">
      <c r="A143" s="7" t="s">
        <v>7227</v>
      </c>
      <c r="B143" s="7" t="s">
        <v>7270</v>
      </c>
      <c r="C143" s="8" t="s">
        <v>1645</v>
      </c>
      <c r="D143" s="7" t="s">
        <v>40</v>
      </c>
      <c r="E143" s="7" t="s">
        <v>7362</v>
      </c>
      <c r="F143" s="7" t="s">
        <v>16</v>
      </c>
      <c r="G143" s="7"/>
    </row>
    <row r="144" ht="22.5" customHeight="1">
      <c r="A144" s="7" t="s">
        <v>7227</v>
      </c>
      <c r="B144" s="7" t="s">
        <v>7270</v>
      </c>
      <c r="C144" s="8" t="s">
        <v>1645</v>
      </c>
      <c r="D144" s="7" t="s">
        <v>43</v>
      </c>
      <c r="E144" s="7" t="s">
        <v>7363</v>
      </c>
      <c r="F144" s="7" t="s">
        <v>16</v>
      </c>
      <c r="G144" s="7"/>
    </row>
    <row r="145" ht="22.5" customHeight="1">
      <c r="A145" s="7" t="s">
        <v>7213</v>
      </c>
      <c r="B145" s="7" t="s">
        <v>7364</v>
      </c>
      <c r="C145" s="8" t="s">
        <v>1799</v>
      </c>
      <c r="D145" s="7" t="s">
        <v>43</v>
      </c>
      <c r="E145" s="7" t="s">
        <v>7365</v>
      </c>
      <c r="F145" s="7" t="s">
        <v>26</v>
      </c>
      <c r="G145" s="7"/>
    </row>
    <row r="146" ht="22.5" customHeight="1">
      <c r="A146" s="7" t="s">
        <v>7213</v>
      </c>
      <c r="B146" s="7" t="s">
        <v>7364</v>
      </c>
      <c r="C146" s="8" t="s">
        <v>1828</v>
      </c>
      <c r="D146" s="7" t="s">
        <v>36</v>
      </c>
      <c r="E146" s="7" t="s">
        <v>7366</v>
      </c>
      <c r="F146" s="7" t="s">
        <v>26</v>
      </c>
      <c r="G146" s="7"/>
    </row>
    <row r="147" ht="22.5" customHeight="1">
      <c r="A147" s="7" t="s">
        <v>7213</v>
      </c>
      <c r="B147" s="7" t="s">
        <v>7364</v>
      </c>
      <c r="C147" s="8" t="s">
        <v>1828</v>
      </c>
      <c r="D147" s="7" t="s">
        <v>38</v>
      </c>
      <c r="E147" s="7" t="s">
        <v>7367</v>
      </c>
      <c r="F147" s="7" t="s">
        <v>26</v>
      </c>
      <c r="G147" s="7"/>
    </row>
    <row r="148" ht="22.5" customHeight="1">
      <c r="A148" s="7" t="s">
        <v>7213</v>
      </c>
      <c r="B148" s="7" t="s">
        <v>7364</v>
      </c>
      <c r="C148" s="8" t="s">
        <v>1828</v>
      </c>
      <c r="D148" s="7" t="s">
        <v>40</v>
      </c>
      <c r="E148" s="7" t="s">
        <v>7368</v>
      </c>
      <c r="F148" s="7" t="s">
        <v>26</v>
      </c>
      <c r="G148" s="7"/>
    </row>
    <row r="149" ht="22.5" customHeight="1">
      <c r="A149" s="7" t="s">
        <v>7213</v>
      </c>
      <c r="B149" s="7" t="s">
        <v>7364</v>
      </c>
      <c r="C149" s="8" t="s">
        <v>1828</v>
      </c>
      <c r="D149" s="7" t="s">
        <v>43</v>
      </c>
      <c r="E149" s="7" t="s">
        <v>7369</v>
      </c>
      <c r="F149" s="7" t="s">
        <v>26</v>
      </c>
      <c r="G149" s="7"/>
    </row>
    <row r="150" ht="22.5" customHeight="1">
      <c r="A150" s="7" t="s">
        <v>7213</v>
      </c>
      <c r="B150" s="7" t="s">
        <v>7364</v>
      </c>
      <c r="C150" s="8" t="s">
        <v>2004</v>
      </c>
      <c r="D150" s="7" t="s">
        <v>36</v>
      </c>
      <c r="E150" s="7" t="s">
        <v>7370</v>
      </c>
      <c r="F150" s="7" t="s">
        <v>26</v>
      </c>
      <c r="G150" s="7"/>
    </row>
    <row r="151" ht="22.5" customHeight="1">
      <c r="A151" s="7" t="s">
        <v>7213</v>
      </c>
      <c r="B151" s="7" t="s">
        <v>7364</v>
      </c>
      <c r="C151" s="8" t="s">
        <v>2004</v>
      </c>
      <c r="D151" s="7" t="s">
        <v>38</v>
      </c>
      <c r="E151" s="7" t="s">
        <v>7371</v>
      </c>
      <c r="F151" s="7" t="s">
        <v>26</v>
      </c>
      <c r="G151" s="7"/>
    </row>
    <row r="152" ht="22.5" customHeight="1">
      <c r="A152" s="7" t="s">
        <v>7213</v>
      </c>
      <c r="B152" s="7" t="s">
        <v>7364</v>
      </c>
      <c r="C152" s="8" t="s">
        <v>2004</v>
      </c>
      <c r="D152" s="7" t="s">
        <v>40</v>
      </c>
      <c r="E152" s="7" t="s">
        <v>7372</v>
      </c>
      <c r="F152" s="7" t="s">
        <v>26</v>
      </c>
      <c r="G152" s="7"/>
    </row>
    <row r="153" ht="22.5" customHeight="1">
      <c r="A153" s="7" t="s">
        <v>7213</v>
      </c>
      <c r="B153" s="7" t="s">
        <v>7364</v>
      </c>
      <c r="C153" s="8" t="s">
        <v>2004</v>
      </c>
      <c r="D153" s="7" t="s">
        <v>43</v>
      </c>
      <c r="E153" s="7" t="s">
        <v>7373</v>
      </c>
      <c r="F153" s="7" t="s">
        <v>26</v>
      </c>
      <c r="G153" s="7"/>
    </row>
    <row r="154" ht="22.5" customHeight="1">
      <c r="A154" s="7" t="s">
        <v>7227</v>
      </c>
      <c r="B154" s="7" t="s">
        <v>7364</v>
      </c>
      <c r="C154" s="8" t="s">
        <v>113</v>
      </c>
      <c r="D154" s="7" t="s">
        <v>30</v>
      </c>
      <c r="E154" s="7" t="s">
        <v>7374</v>
      </c>
      <c r="F154" s="7" t="s">
        <v>16</v>
      </c>
      <c r="G154" s="7"/>
    </row>
    <row r="155" ht="22.5" customHeight="1">
      <c r="A155" s="7" t="s">
        <v>7227</v>
      </c>
      <c r="B155" s="7" t="s">
        <v>7364</v>
      </c>
      <c r="C155" s="8" t="s">
        <v>113</v>
      </c>
      <c r="D155" s="7" t="s">
        <v>36</v>
      </c>
      <c r="E155" s="7" t="s">
        <v>7375</v>
      </c>
      <c r="F155" s="7" t="s">
        <v>16</v>
      </c>
      <c r="G155" s="7"/>
    </row>
    <row r="156" ht="22.5" customHeight="1">
      <c r="A156" s="7" t="s">
        <v>7227</v>
      </c>
      <c r="B156" s="7" t="s">
        <v>7364</v>
      </c>
      <c r="C156" s="8" t="s">
        <v>113</v>
      </c>
      <c r="D156" s="7" t="s">
        <v>38</v>
      </c>
      <c r="E156" s="7" t="s">
        <v>7376</v>
      </c>
      <c r="F156" s="7" t="s">
        <v>16</v>
      </c>
      <c r="G156" s="7"/>
    </row>
    <row r="157" ht="22.5" customHeight="1">
      <c r="A157" s="7" t="s">
        <v>7227</v>
      </c>
      <c r="B157" s="7" t="s">
        <v>7364</v>
      </c>
      <c r="C157" s="8" t="s">
        <v>113</v>
      </c>
      <c r="D157" s="7" t="s">
        <v>40</v>
      </c>
      <c r="E157" s="7" t="s">
        <v>7377</v>
      </c>
      <c r="F157" s="7" t="s">
        <v>105</v>
      </c>
      <c r="G157" s="7"/>
    </row>
    <row r="158" ht="22.5" customHeight="1">
      <c r="A158" s="7" t="s">
        <v>7227</v>
      </c>
      <c r="B158" s="7" t="s">
        <v>7364</v>
      </c>
      <c r="C158" s="8" t="s">
        <v>113</v>
      </c>
      <c r="D158" s="7" t="s">
        <v>40</v>
      </c>
      <c r="E158" s="7" t="s">
        <v>7378</v>
      </c>
      <c r="F158" s="7" t="s">
        <v>16</v>
      </c>
      <c r="G158" s="7"/>
    </row>
    <row r="159" ht="22.5" customHeight="1">
      <c r="A159" s="7" t="s">
        <v>7227</v>
      </c>
      <c r="B159" s="7" t="s">
        <v>7364</v>
      </c>
      <c r="C159" s="8" t="s">
        <v>113</v>
      </c>
      <c r="D159" s="7" t="s">
        <v>43</v>
      </c>
      <c r="E159" s="7" t="s">
        <v>7379</v>
      </c>
      <c r="F159" s="7" t="s">
        <v>16</v>
      </c>
      <c r="G159" s="7"/>
    </row>
    <row r="160" ht="22.5" customHeight="1">
      <c r="A160" s="7" t="s">
        <v>7227</v>
      </c>
      <c r="B160" s="7" t="s">
        <v>7364</v>
      </c>
      <c r="C160" s="8" t="s">
        <v>306</v>
      </c>
      <c r="D160" s="7" t="s">
        <v>30</v>
      </c>
      <c r="E160" s="7" t="s">
        <v>7380</v>
      </c>
      <c r="F160" s="7" t="s">
        <v>16</v>
      </c>
      <c r="G160" s="7"/>
    </row>
    <row r="161" ht="22.5" customHeight="1">
      <c r="A161" s="7" t="s">
        <v>7227</v>
      </c>
      <c r="B161" s="7" t="s">
        <v>7364</v>
      </c>
      <c r="C161" s="8" t="s">
        <v>306</v>
      </c>
      <c r="D161" s="7" t="s">
        <v>36</v>
      </c>
      <c r="E161" s="7" t="s">
        <v>7381</v>
      </c>
      <c r="F161" s="7" t="s">
        <v>16</v>
      </c>
      <c r="G161" s="7"/>
    </row>
    <row r="162" ht="22.5" customHeight="1">
      <c r="A162" s="7" t="s">
        <v>7227</v>
      </c>
      <c r="B162" s="7" t="s">
        <v>7364</v>
      </c>
      <c r="C162" s="8" t="s">
        <v>306</v>
      </c>
      <c r="D162" s="7" t="s">
        <v>38</v>
      </c>
      <c r="E162" s="7" t="s">
        <v>7382</v>
      </c>
      <c r="F162" s="7" t="s">
        <v>16</v>
      </c>
      <c r="G162" s="7"/>
    </row>
    <row r="163" ht="22.5" customHeight="1">
      <c r="A163" s="7" t="s">
        <v>7227</v>
      </c>
      <c r="B163" s="7" t="s">
        <v>7364</v>
      </c>
      <c r="C163" s="8" t="s">
        <v>306</v>
      </c>
      <c r="D163" s="7" t="s">
        <v>40</v>
      </c>
      <c r="E163" s="7" t="s">
        <v>7383</v>
      </c>
      <c r="F163" s="7" t="s">
        <v>16</v>
      </c>
      <c r="G163" s="7"/>
    </row>
    <row r="164" ht="22.5" customHeight="1">
      <c r="A164" s="7" t="s">
        <v>7227</v>
      </c>
      <c r="B164" s="7" t="s">
        <v>7364</v>
      </c>
      <c r="C164" s="8" t="s">
        <v>306</v>
      </c>
      <c r="D164" s="7" t="s">
        <v>43</v>
      </c>
      <c r="E164" s="7" t="s">
        <v>7384</v>
      </c>
      <c r="F164" s="7" t="s">
        <v>16</v>
      </c>
      <c r="G164" s="7"/>
    </row>
    <row r="165" ht="22.5" customHeight="1">
      <c r="A165" s="7" t="s">
        <v>7227</v>
      </c>
      <c r="B165" s="7" t="s">
        <v>7364</v>
      </c>
      <c r="C165" s="8" t="s">
        <v>566</v>
      </c>
      <c r="D165" s="7" t="s">
        <v>30</v>
      </c>
      <c r="E165" s="7" t="s">
        <v>7385</v>
      </c>
      <c r="F165" s="7" t="s">
        <v>16</v>
      </c>
      <c r="G165" s="7"/>
    </row>
    <row r="166" ht="22.5" customHeight="1">
      <c r="A166" s="7" t="s">
        <v>7227</v>
      </c>
      <c r="B166" s="7" t="s">
        <v>7364</v>
      </c>
      <c r="C166" s="8" t="s">
        <v>566</v>
      </c>
      <c r="D166" s="7" t="s">
        <v>36</v>
      </c>
      <c r="E166" s="7" t="s">
        <v>7386</v>
      </c>
      <c r="F166" s="7" t="s">
        <v>105</v>
      </c>
      <c r="G166" s="7"/>
    </row>
    <row r="167" ht="22.5" customHeight="1">
      <c r="A167" s="7" t="s">
        <v>7227</v>
      </c>
      <c r="B167" s="7" t="s">
        <v>7364</v>
      </c>
      <c r="C167" s="8" t="s">
        <v>566</v>
      </c>
      <c r="D167" s="7" t="s">
        <v>36</v>
      </c>
      <c r="E167" s="7" t="s">
        <v>7387</v>
      </c>
      <c r="F167" s="7" t="s">
        <v>16</v>
      </c>
      <c r="G167" s="7"/>
    </row>
    <row r="168" ht="22.5" customHeight="1">
      <c r="A168" s="7" t="s">
        <v>7227</v>
      </c>
      <c r="B168" s="7" t="s">
        <v>7364</v>
      </c>
      <c r="C168" s="8" t="s">
        <v>566</v>
      </c>
      <c r="D168" s="7" t="s">
        <v>38</v>
      </c>
      <c r="E168" s="7" t="s">
        <v>7388</v>
      </c>
      <c r="F168" s="7" t="s">
        <v>16</v>
      </c>
      <c r="G168" s="7"/>
    </row>
    <row r="169" ht="22.5" customHeight="1">
      <c r="A169" s="7" t="s">
        <v>7227</v>
      </c>
      <c r="B169" s="7" t="s">
        <v>7364</v>
      </c>
      <c r="C169" s="8" t="s">
        <v>566</v>
      </c>
      <c r="D169" s="7" t="s">
        <v>40</v>
      </c>
      <c r="E169" s="7" t="s">
        <v>7389</v>
      </c>
      <c r="F169" s="7" t="s">
        <v>16</v>
      </c>
      <c r="G169" s="7"/>
    </row>
    <row r="170" ht="22.5" customHeight="1">
      <c r="A170" s="7" t="s">
        <v>7227</v>
      </c>
      <c r="B170" s="7" t="s">
        <v>7364</v>
      </c>
      <c r="C170" s="8" t="s">
        <v>566</v>
      </c>
      <c r="D170" s="7" t="s">
        <v>43</v>
      </c>
      <c r="E170" s="7" t="s">
        <v>7390</v>
      </c>
      <c r="F170" s="7" t="s">
        <v>16</v>
      </c>
      <c r="G170" s="7"/>
    </row>
    <row r="171" ht="22.5" customHeight="1">
      <c r="A171" s="7" t="s">
        <v>7227</v>
      </c>
      <c r="B171" s="7" t="s">
        <v>7364</v>
      </c>
      <c r="C171" s="8" t="s">
        <v>581</v>
      </c>
      <c r="D171" s="7" t="s">
        <v>30</v>
      </c>
      <c r="E171" s="7" t="s">
        <v>7391</v>
      </c>
      <c r="F171" s="7" t="s">
        <v>16</v>
      </c>
      <c r="G171" s="7"/>
    </row>
    <row r="172" ht="22.5" customHeight="1">
      <c r="A172" s="7" t="s">
        <v>7227</v>
      </c>
      <c r="B172" s="7" t="s">
        <v>7364</v>
      </c>
      <c r="C172" s="8" t="s">
        <v>581</v>
      </c>
      <c r="D172" s="7" t="s">
        <v>36</v>
      </c>
      <c r="E172" s="7" t="s">
        <v>7392</v>
      </c>
      <c r="F172" s="7" t="s">
        <v>16</v>
      </c>
      <c r="G172" s="7"/>
    </row>
    <row r="173" ht="22.5" customHeight="1">
      <c r="A173" s="7" t="s">
        <v>7227</v>
      </c>
      <c r="B173" s="7" t="s">
        <v>7364</v>
      </c>
      <c r="C173" s="8" t="s">
        <v>581</v>
      </c>
      <c r="D173" s="7" t="s">
        <v>38</v>
      </c>
      <c r="E173" s="7" t="s">
        <v>7393</v>
      </c>
      <c r="F173" s="7" t="s">
        <v>16</v>
      </c>
      <c r="G173" s="7"/>
    </row>
    <row r="174" ht="22.5" customHeight="1">
      <c r="A174" s="7" t="s">
        <v>7227</v>
      </c>
      <c r="B174" s="7" t="s">
        <v>7364</v>
      </c>
      <c r="C174" s="8" t="s">
        <v>581</v>
      </c>
      <c r="D174" s="7" t="s">
        <v>40</v>
      </c>
      <c r="E174" s="7" t="s">
        <v>7394</v>
      </c>
      <c r="F174" s="7" t="s">
        <v>16</v>
      </c>
      <c r="G174" s="7"/>
    </row>
    <row r="175" ht="22.5" customHeight="1">
      <c r="A175" s="7" t="s">
        <v>7227</v>
      </c>
      <c r="B175" s="7" t="s">
        <v>7364</v>
      </c>
      <c r="C175" s="8" t="s">
        <v>581</v>
      </c>
      <c r="D175" s="7" t="s">
        <v>43</v>
      </c>
      <c r="E175" s="7" t="s">
        <v>7395</v>
      </c>
      <c r="F175" s="7" t="s">
        <v>16</v>
      </c>
      <c r="G175" s="7"/>
    </row>
    <row r="176" ht="22.5" customHeight="1">
      <c r="A176" s="7" t="s">
        <v>7227</v>
      </c>
      <c r="B176" s="7" t="s">
        <v>7364</v>
      </c>
      <c r="C176" s="8" t="s">
        <v>588</v>
      </c>
      <c r="D176" s="7" t="s">
        <v>30</v>
      </c>
      <c r="E176" s="7" t="s">
        <v>7396</v>
      </c>
      <c r="F176" s="7" t="s">
        <v>16</v>
      </c>
      <c r="G176" s="7"/>
    </row>
    <row r="177" ht="22.5" customHeight="1">
      <c r="A177" s="7" t="s">
        <v>7227</v>
      </c>
      <c r="B177" s="7" t="s">
        <v>7364</v>
      </c>
      <c r="C177" s="8" t="s">
        <v>588</v>
      </c>
      <c r="D177" s="7" t="s">
        <v>36</v>
      </c>
      <c r="E177" s="7" t="s">
        <v>7397</v>
      </c>
      <c r="F177" s="7" t="s">
        <v>16</v>
      </c>
      <c r="G177" s="7"/>
    </row>
    <row r="178" ht="22.5" customHeight="1">
      <c r="A178" s="7" t="s">
        <v>7227</v>
      </c>
      <c r="B178" s="7" t="s">
        <v>7364</v>
      </c>
      <c r="C178" s="8" t="s">
        <v>588</v>
      </c>
      <c r="D178" s="7" t="s">
        <v>38</v>
      </c>
      <c r="E178" s="7" t="s">
        <v>7398</v>
      </c>
      <c r="F178" s="7" t="s">
        <v>16</v>
      </c>
      <c r="G178" s="7"/>
    </row>
    <row r="179" ht="22.5" customHeight="1">
      <c r="A179" s="7" t="s">
        <v>7227</v>
      </c>
      <c r="B179" s="7" t="s">
        <v>7364</v>
      </c>
      <c r="C179" s="8" t="s">
        <v>588</v>
      </c>
      <c r="D179" s="7" t="s">
        <v>40</v>
      </c>
      <c r="E179" s="7" t="s">
        <v>7399</v>
      </c>
      <c r="F179" s="7" t="s">
        <v>16</v>
      </c>
      <c r="G179" s="7"/>
    </row>
    <row r="180" ht="22.5" customHeight="1">
      <c r="A180" s="7" t="s">
        <v>7227</v>
      </c>
      <c r="B180" s="7" t="s">
        <v>7364</v>
      </c>
      <c r="C180" s="8" t="s">
        <v>588</v>
      </c>
      <c r="D180" s="7" t="s">
        <v>43</v>
      </c>
      <c r="E180" s="7" t="s">
        <v>7400</v>
      </c>
      <c r="F180" s="7" t="s">
        <v>16</v>
      </c>
      <c r="G180" s="7"/>
    </row>
    <row r="181" ht="22.5" customHeight="1">
      <c r="A181" s="7" t="s">
        <v>7227</v>
      </c>
      <c r="B181" s="7" t="s">
        <v>7364</v>
      </c>
      <c r="C181" s="8" t="s">
        <v>714</v>
      </c>
      <c r="D181" s="7" t="s">
        <v>30</v>
      </c>
      <c r="E181" s="7" t="s">
        <v>7401</v>
      </c>
      <c r="F181" s="7" t="s">
        <v>16</v>
      </c>
      <c r="G181" s="7"/>
    </row>
    <row r="182" ht="22.5" customHeight="1">
      <c r="A182" s="7" t="s">
        <v>7227</v>
      </c>
      <c r="B182" s="7" t="s">
        <v>7364</v>
      </c>
      <c r="C182" s="8" t="s">
        <v>714</v>
      </c>
      <c r="D182" s="7" t="s">
        <v>36</v>
      </c>
      <c r="E182" s="7" t="s">
        <v>7402</v>
      </c>
      <c r="F182" s="7" t="s">
        <v>16</v>
      </c>
      <c r="G182" s="7"/>
    </row>
    <row r="183" ht="22.5" customHeight="1">
      <c r="A183" s="7" t="s">
        <v>7227</v>
      </c>
      <c r="B183" s="7" t="s">
        <v>7364</v>
      </c>
      <c r="C183" s="8" t="s">
        <v>714</v>
      </c>
      <c r="D183" s="7" t="s">
        <v>38</v>
      </c>
      <c r="E183" s="7" t="s">
        <v>7403</v>
      </c>
      <c r="F183" s="7" t="s">
        <v>16</v>
      </c>
      <c r="G183" s="7"/>
    </row>
    <row r="184" ht="22.5" customHeight="1">
      <c r="A184" s="7" t="s">
        <v>7227</v>
      </c>
      <c r="B184" s="7" t="s">
        <v>7364</v>
      </c>
      <c r="C184" s="8" t="s">
        <v>714</v>
      </c>
      <c r="D184" s="7" t="s">
        <v>40</v>
      </c>
      <c r="E184" s="7" t="s">
        <v>7404</v>
      </c>
      <c r="F184" s="7" t="s">
        <v>16</v>
      </c>
      <c r="G184" s="7"/>
    </row>
    <row r="185" ht="22.5" customHeight="1">
      <c r="A185" s="7" t="s">
        <v>7227</v>
      </c>
      <c r="B185" s="7" t="s">
        <v>7364</v>
      </c>
      <c r="C185" s="8" t="s">
        <v>714</v>
      </c>
      <c r="D185" s="7" t="s">
        <v>43</v>
      </c>
      <c r="E185" s="7" t="s">
        <v>7405</v>
      </c>
      <c r="F185" s="7" t="s">
        <v>16</v>
      </c>
      <c r="G185" s="7"/>
    </row>
    <row r="186" ht="22.5" customHeight="1">
      <c r="A186" s="7" t="s">
        <v>7227</v>
      </c>
      <c r="B186" s="7" t="s">
        <v>7364</v>
      </c>
      <c r="C186" s="8" t="s">
        <v>810</v>
      </c>
      <c r="D186" s="7" t="s">
        <v>30</v>
      </c>
      <c r="E186" s="7" t="s">
        <v>7406</v>
      </c>
      <c r="F186" s="7" t="s">
        <v>16</v>
      </c>
      <c r="G186" s="7"/>
    </row>
    <row r="187" ht="22.5" customHeight="1">
      <c r="A187" s="7" t="s">
        <v>7227</v>
      </c>
      <c r="B187" s="7" t="s">
        <v>7364</v>
      </c>
      <c r="C187" s="8" t="s">
        <v>810</v>
      </c>
      <c r="D187" s="7" t="s">
        <v>36</v>
      </c>
      <c r="E187" s="7" t="s">
        <v>7407</v>
      </c>
      <c r="F187" s="7" t="s">
        <v>16</v>
      </c>
      <c r="G187" s="7"/>
    </row>
    <row r="188" ht="22.5" customHeight="1">
      <c r="A188" s="7" t="s">
        <v>7227</v>
      </c>
      <c r="B188" s="7" t="s">
        <v>7364</v>
      </c>
      <c r="C188" s="8" t="s">
        <v>810</v>
      </c>
      <c r="D188" s="7" t="s">
        <v>38</v>
      </c>
      <c r="E188" s="7" t="s">
        <v>7408</v>
      </c>
      <c r="F188" s="7" t="s">
        <v>16</v>
      </c>
      <c r="G188" s="7"/>
    </row>
    <row r="189" ht="22.5" customHeight="1">
      <c r="A189" s="7" t="s">
        <v>7227</v>
      </c>
      <c r="B189" s="7" t="s">
        <v>7364</v>
      </c>
      <c r="C189" s="8" t="s">
        <v>810</v>
      </c>
      <c r="D189" s="7" t="s">
        <v>40</v>
      </c>
      <c r="E189" s="7" t="s">
        <v>7409</v>
      </c>
      <c r="F189" s="7" t="s">
        <v>16</v>
      </c>
      <c r="G189" s="7"/>
    </row>
    <row r="190" ht="22.5" customHeight="1">
      <c r="A190" s="7" t="s">
        <v>7227</v>
      </c>
      <c r="B190" s="7" t="s">
        <v>7364</v>
      </c>
      <c r="C190" s="8" t="s">
        <v>810</v>
      </c>
      <c r="D190" s="7" t="s">
        <v>43</v>
      </c>
      <c r="E190" s="7" t="s">
        <v>7410</v>
      </c>
      <c r="F190" s="7" t="s">
        <v>16</v>
      </c>
      <c r="G190" s="7"/>
    </row>
    <row r="191" ht="22.5" customHeight="1">
      <c r="A191" s="7" t="s">
        <v>7227</v>
      </c>
      <c r="B191" s="7" t="s">
        <v>7364</v>
      </c>
      <c r="C191" s="8" t="s">
        <v>1527</v>
      </c>
      <c r="D191" s="7" t="s">
        <v>30</v>
      </c>
      <c r="E191" s="7" t="s">
        <v>7411</v>
      </c>
      <c r="F191" s="7" t="s">
        <v>16</v>
      </c>
      <c r="G191" s="7"/>
    </row>
    <row r="192" ht="22.5" customHeight="1">
      <c r="A192" s="7" t="s">
        <v>7227</v>
      </c>
      <c r="B192" s="7" t="s">
        <v>7364</v>
      </c>
      <c r="C192" s="8" t="s">
        <v>1527</v>
      </c>
      <c r="D192" s="7" t="s">
        <v>36</v>
      </c>
      <c r="E192" s="7" t="s">
        <v>7412</v>
      </c>
      <c r="F192" s="7" t="s">
        <v>16</v>
      </c>
      <c r="G192" s="7"/>
    </row>
    <row r="193" ht="22.5" customHeight="1">
      <c r="A193" s="7" t="s">
        <v>7227</v>
      </c>
      <c r="B193" s="7" t="s">
        <v>7364</v>
      </c>
      <c r="C193" s="8" t="s">
        <v>1527</v>
      </c>
      <c r="D193" s="7" t="s">
        <v>38</v>
      </c>
      <c r="E193" s="7" t="s">
        <v>7413</v>
      </c>
      <c r="F193" s="7" t="s">
        <v>16</v>
      </c>
      <c r="G193" s="7"/>
    </row>
    <row r="194" ht="22.5" customHeight="1">
      <c r="A194" s="7" t="s">
        <v>7227</v>
      </c>
      <c r="B194" s="7" t="s">
        <v>7364</v>
      </c>
      <c r="C194" s="8" t="s">
        <v>1527</v>
      </c>
      <c r="D194" s="7" t="s">
        <v>43</v>
      </c>
      <c r="E194" s="7" t="s">
        <v>7414</v>
      </c>
      <c r="F194" s="7" t="s">
        <v>16</v>
      </c>
      <c r="G194" s="7"/>
    </row>
    <row r="195" ht="22.5" customHeight="1">
      <c r="A195" s="7" t="s">
        <v>7227</v>
      </c>
      <c r="B195" s="7" t="s">
        <v>7364</v>
      </c>
      <c r="C195" s="8" t="s">
        <v>1578</v>
      </c>
      <c r="D195" s="7" t="s">
        <v>30</v>
      </c>
      <c r="E195" s="7" t="s">
        <v>7415</v>
      </c>
      <c r="F195" s="7" t="s">
        <v>16</v>
      </c>
      <c r="G195" s="7"/>
    </row>
    <row r="196" ht="22.5" customHeight="1">
      <c r="A196" s="7" t="s">
        <v>7227</v>
      </c>
      <c r="B196" s="7" t="s">
        <v>7364</v>
      </c>
      <c r="C196" s="8" t="s">
        <v>1578</v>
      </c>
      <c r="D196" s="7" t="s">
        <v>36</v>
      </c>
      <c r="E196" s="7" t="s">
        <v>7416</v>
      </c>
      <c r="F196" s="7" t="s">
        <v>16</v>
      </c>
      <c r="G196" s="7"/>
    </row>
    <row r="197" ht="22.5" customHeight="1">
      <c r="A197" s="7" t="s">
        <v>7227</v>
      </c>
      <c r="B197" s="7" t="s">
        <v>7364</v>
      </c>
      <c r="C197" s="8" t="s">
        <v>1578</v>
      </c>
      <c r="D197" s="7" t="s">
        <v>38</v>
      </c>
      <c r="E197" s="7" t="s">
        <v>7417</v>
      </c>
      <c r="F197" s="7" t="s">
        <v>16</v>
      </c>
      <c r="G197" s="7"/>
    </row>
    <row r="198" ht="22.5" customHeight="1">
      <c r="A198" s="7" t="s">
        <v>7227</v>
      </c>
      <c r="B198" s="7" t="s">
        <v>7364</v>
      </c>
      <c r="C198" s="8" t="s">
        <v>1578</v>
      </c>
      <c r="D198" s="7" t="s">
        <v>40</v>
      </c>
      <c r="E198" s="7" t="s">
        <v>7418</v>
      </c>
      <c r="F198" s="7" t="s">
        <v>16</v>
      </c>
      <c r="G198" s="7"/>
    </row>
    <row r="199" ht="22.5" customHeight="1">
      <c r="A199" s="7" t="s">
        <v>7227</v>
      </c>
      <c r="B199" s="7" t="s">
        <v>7364</v>
      </c>
      <c r="C199" s="8" t="s">
        <v>1578</v>
      </c>
      <c r="D199" s="7" t="s">
        <v>43</v>
      </c>
      <c r="E199" s="7" t="s">
        <v>7419</v>
      </c>
      <c r="F199" s="7" t="s">
        <v>16</v>
      </c>
      <c r="G199" s="7"/>
    </row>
    <row r="200" ht="22.5" customHeight="1">
      <c r="A200" s="7" t="s">
        <v>7227</v>
      </c>
      <c r="B200" s="7" t="s">
        <v>7364</v>
      </c>
      <c r="C200" s="8" t="s">
        <v>7420</v>
      </c>
      <c r="D200" s="7" t="s">
        <v>30</v>
      </c>
      <c r="E200" s="7" t="s">
        <v>7421</v>
      </c>
      <c r="F200" s="7" t="s">
        <v>16</v>
      </c>
      <c r="G200" s="7"/>
    </row>
    <row r="201" ht="22.5" customHeight="1">
      <c r="A201" s="7" t="s">
        <v>7227</v>
      </c>
      <c r="B201" s="7" t="s">
        <v>7364</v>
      </c>
      <c r="C201" s="8" t="s">
        <v>7420</v>
      </c>
      <c r="D201" s="7" t="s">
        <v>36</v>
      </c>
      <c r="E201" s="7" t="s">
        <v>7422</v>
      </c>
      <c r="F201" s="7" t="s">
        <v>16</v>
      </c>
      <c r="G201" s="7"/>
    </row>
    <row r="202" ht="22.5" customHeight="1">
      <c r="A202" s="7" t="s">
        <v>7227</v>
      </c>
      <c r="B202" s="7" t="s">
        <v>7364</v>
      </c>
      <c r="C202" s="8" t="s">
        <v>7420</v>
      </c>
      <c r="D202" s="7" t="s">
        <v>38</v>
      </c>
      <c r="E202" s="7" t="s">
        <v>7423</v>
      </c>
      <c r="F202" s="7" t="s">
        <v>16</v>
      </c>
      <c r="G202" s="7"/>
    </row>
    <row r="203" ht="22.5" customHeight="1">
      <c r="A203" s="7" t="s">
        <v>7227</v>
      </c>
      <c r="B203" s="7" t="s">
        <v>7364</v>
      </c>
      <c r="C203" s="8" t="s">
        <v>7420</v>
      </c>
      <c r="D203" s="7" t="s">
        <v>40</v>
      </c>
      <c r="E203" s="7" t="s">
        <v>7424</v>
      </c>
      <c r="F203" s="7" t="s">
        <v>16</v>
      </c>
      <c r="G203" s="7"/>
    </row>
    <row r="204" ht="22.5" customHeight="1">
      <c r="A204" s="7" t="s">
        <v>7227</v>
      </c>
      <c r="B204" s="7" t="s">
        <v>7364</v>
      </c>
      <c r="C204" s="8" t="s">
        <v>7420</v>
      </c>
      <c r="D204" s="7" t="s">
        <v>40</v>
      </c>
      <c r="E204" s="7" t="s">
        <v>7425</v>
      </c>
      <c r="F204" s="7" t="s">
        <v>16</v>
      </c>
      <c r="G204" s="7"/>
    </row>
    <row r="205" ht="22.5" customHeight="1">
      <c r="A205" s="7" t="s">
        <v>7227</v>
      </c>
      <c r="B205" s="7" t="s">
        <v>7364</v>
      </c>
      <c r="C205" s="8" t="s">
        <v>7420</v>
      </c>
      <c r="D205" s="7" t="s">
        <v>43</v>
      </c>
      <c r="E205" s="7" t="s">
        <v>7426</v>
      </c>
      <c r="F205" s="7" t="s">
        <v>16</v>
      </c>
      <c r="G205" s="7"/>
    </row>
    <row r="206" ht="22.5" customHeight="1">
      <c r="A206" s="7" t="s">
        <v>7427</v>
      </c>
      <c r="B206" s="7" t="s">
        <v>7428</v>
      </c>
      <c r="C206" s="8" t="s">
        <v>7429</v>
      </c>
      <c r="D206" s="7" t="s">
        <v>43</v>
      </c>
      <c r="E206" s="7" t="s">
        <v>7430</v>
      </c>
      <c r="F206" s="7" t="s">
        <v>16</v>
      </c>
      <c r="G206" s="7" t="s">
        <v>1917</v>
      </c>
    </row>
    <row r="207" ht="22.5" customHeight="1">
      <c r="A207" s="7" t="s">
        <v>7427</v>
      </c>
      <c r="B207" s="7" t="s">
        <v>7428</v>
      </c>
      <c r="C207" s="8" t="s">
        <v>7431</v>
      </c>
      <c r="D207" s="7" t="s">
        <v>43</v>
      </c>
      <c r="E207" s="27" t="s">
        <v>7432</v>
      </c>
      <c r="F207" s="7" t="s">
        <v>16</v>
      </c>
      <c r="G207" s="7" t="s">
        <v>1917</v>
      </c>
    </row>
    <row r="208" ht="22.5" customHeight="1">
      <c r="A208" s="7" t="s">
        <v>7427</v>
      </c>
      <c r="B208" s="7" t="s">
        <v>7428</v>
      </c>
      <c r="C208" s="8" t="s">
        <v>7433</v>
      </c>
      <c r="D208" s="7" t="s">
        <v>43</v>
      </c>
      <c r="E208" s="7" t="s">
        <v>7434</v>
      </c>
      <c r="F208" s="7" t="s">
        <v>16</v>
      </c>
      <c r="G208" s="7" t="s">
        <v>1917</v>
      </c>
    </row>
    <row r="209" ht="22.5" customHeight="1">
      <c r="A209" s="7" t="s">
        <v>7427</v>
      </c>
      <c r="B209" s="7" t="s">
        <v>7428</v>
      </c>
      <c r="C209" s="8" t="s">
        <v>7435</v>
      </c>
      <c r="D209" s="7" t="s">
        <v>30</v>
      </c>
      <c r="E209" s="7" t="s">
        <v>7436</v>
      </c>
      <c r="F209" s="7"/>
      <c r="G209" s="7"/>
    </row>
    <row r="210" ht="22.5" customHeight="1">
      <c r="A210" s="7" t="s">
        <v>7427</v>
      </c>
      <c r="B210" s="7" t="s">
        <v>7428</v>
      </c>
      <c r="C210" s="8" t="s">
        <v>7435</v>
      </c>
      <c r="D210" s="7" t="s">
        <v>36</v>
      </c>
      <c r="E210" s="7" t="s">
        <v>7437</v>
      </c>
      <c r="F210" s="7" t="s">
        <v>16</v>
      </c>
      <c r="G210" s="7"/>
    </row>
    <row r="211" ht="22.5" customHeight="1">
      <c r="A211" s="7" t="s">
        <v>7427</v>
      </c>
      <c r="B211" s="7" t="s">
        <v>7428</v>
      </c>
      <c r="C211" s="8" t="s">
        <v>7435</v>
      </c>
      <c r="D211" s="7" t="s">
        <v>38</v>
      </c>
      <c r="E211" s="7" t="s">
        <v>7438</v>
      </c>
      <c r="F211" s="7" t="s">
        <v>16</v>
      </c>
      <c r="G211" s="7"/>
    </row>
    <row r="212" ht="22.5" customHeight="1">
      <c r="A212" s="7" t="s">
        <v>7427</v>
      </c>
      <c r="B212" s="7" t="s">
        <v>7428</v>
      </c>
      <c r="C212" s="8" t="s">
        <v>7435</v>
      </c>
      <c r="D212" s="7" t="s">
        <v>40</v>
      </c>
      <c r="E212" s="7" t="s">
        <v>7439</v>
      </c>
      <c r="F212" s="7" t="s">
        <v>16</v>
      </c>
      <c r="G212" s="7"/>
    </row>
    <row r="213" ht="22.5" customHeight="1">
      <c r="A213" s="7" t="s">
        <v>7427</v>
      </c>
      <c r="B213" s="7" t="s">
        <v>7428</v>
      </c>
      <c r="C213" s="8" t="s">
        <v>7435</v>
      </c>
      <c r="D213" s="7" t="s">
        <v>43</v>
      </c>
      <c r="E213" s="7" t="s">
        <v>7440</v>
      </c>
      <c r="F213" s="7" t="s">
        <v>16</v>
      </c>
      <c r="G213" s="7"/>
    </row>
    <row r="214" ht="22.5" customHeight="1">
      <c r="A214" s="7" t="s">
        <v>7427</v>
      </c>
      <c r="B214" s="7" t="s">
        <v>7428</v>
      </c>
      <c r="C214" s="8" t="s">
        <v>7441</v>
      </c>
      <c r="D214" s="7" t="s">
        <v>36</v>
      </c>
      <c r="E214" s="7" t="s">
        <v>7442</v>
      </c>
      <c r="F214" s="7"/>
      <c r="G214" s="7"/>
    </row>
    <row r="215" ht="22.5" customHeight="1">
      <c r="A215" s="7" t="s">
        <v>7427</v>
      </c>
      <c r="B215" s="7" t="s">
        <v>7428</v>
      </c>
      <c r="C215" s="8" t="s">
        <v>7441</v>
      </c>
      <c r="D215" s="7" t="s">
        <v>38</v>
      </c>
      <c r="E215" s="7" t="s">
        <v>7443</v>
      </c>
      <c r="F215" s="7" t="s">
        <v>26</v>
      </c>
      <c r="G215" s="7"/>
    </row>
    <row r="216" ht="22.5" customHeight="1">
      <c r="A216" s="7" t="s">
        <v>7427</v>
      </c>
      <c r="B216" s="7" t="s">
        <v>7428</v>
      </c>
      <c r="C216" s="8" t="s">
        <v>7441</v>
      </c>
      <c r="D216" s="7" t="s">
        <v>40</v>
      </c>
      <c r="E216" s="7" t="s">
        <v>7444</v>
      </c>
      <c r="F216" s="7" t="s">
        <v>26</v>
      </c>
      <c r="G216" s="7"/>
    </row>
    <row r="217" ht="22.5" customHeight="1">
      <c r="A217" s="7" t="s">
        <v>7427</v>
      </c>
      <c r="B217" s="7" t="s">
        <v>7428</v>
      </c>
      <c r="C217" s="8" t="s">
        <v>7441</v>
      </c>
      <c r="D217" s="7" t="s">
        <v>43</v>
      </c>
      <c r="E217" s="7" t="s">
        <v>7445</v>
      </c>
      <c r="F217" s="7" t="s">
        <v>26</v>
      </c>
      <c r="G217" s="7"/>
    </row>
    <row r="218" ht="22.5" customHeight="1">
      <c r="A218" s="7" t="s">
        <v>7427</v>
      </c>
      <c r="B218" s="7" t="s">
        <v>7428</v>
      </c>
      <c r="C218" s="8" t="s">
        <v>7446</v>
      </c>
      <c r="D218" s="7" t="s">
        <v>36</v>
      </c>
      <c r="E218" s="7" t="s">
        <v>7447</v>
      </c>
      <c r="F218" s="7" t="s">
        <v>26</v>
      </c>
      <c r="G218" s="7"/>
    </row>
    <row r="219" ht="22.5" customHeight="1">
      <c r="A219" s="7" t="s">
        <v>7427</v>
      </c>
      <c r="B219" s="7" t="s">
        <v>7428</v>
      </c>
      <c r="C219" s="8" t="s">
        <v>7446</v>
      </c>
      <c r="D219" s="7" t="s">
        <v>38</v>
      </c>
      <c r="E219" s="7" t="s">
        <v>7448</v>
      </c>
      <c r="F219" s="7" t="s">
        <v>26</v>
      </c>
      <c r="G219" s="7"/>
    </row>
    <row r="220" ht="22.5" customHeight="1">
      <c r="A220" s="7" t="s">
        <v>7427</v>
      </c>
      <c r="B220" s="7" t="s">
        <v>7428</v>
      </c>
      <c r="C220" s="8" t="s">
        <v>7446</v>
      </c>
      <c r="D220" s="7" t="s">
        <v>40</v>
      </c>
      <c r="E220" s="7" t="s">
        <v>7449</v>
      </c>
      <c r="F220" s="7" t="s">
        <v>26</v>
      </c>
      <c r="G220" s="7"/>
    </row>
    <row r="221" ht="22.5" customHeight="1">
      <c r="A221" s="7" t="s">
        <v>7427</v>
      </c>
      <c r="B221" s="7" t="s">
        <v>7428</v>
      </c>
      <c r="C221" s="8" t="s">
        <v>7446</v>
      </c>
      <c r="D221" s="7" t="s">
        <v>43</v>
      </c>
      <c r="E221" s="7" t="s">
        <v>7450</v>
      </c>
      <c r="F221" s="7" t="s">
        <v>26</v>
      </c>
      <c r="G221" s="7"/>
    </row>
    <row r="222" ht="22.5" customHeight="1">
      <c r="A222" s="7" t="s">
        <v>7213</v>
      </c>
      <c r="B222" s="7" t="s">
        <v>7451</v>
      </c>
      <c r="C222" s="8" t="s">
        <v>7452</v>
      </c>
      <c r="D222" s="7" t="s">
        <v>43</v>
      </c>
      <c r="E222" s="7" t="s">
        <v>7453</v>
      </c>
      <c r="F222" s="7" t="s">
        <v>16</v>
      </c>
      <c r="G222" s="7"/>
    </row>
    <row r="223" ht="22.5" customHeight="1">
      <c r="A223" s="7" t="s">
        <v>7213</v>
      </c>
      <c r="B223" s="7" t="s">
        <v>7451</v>
      </c>
      <c r="C223" s="8" t="s">
        <v>7454</v>
      </c>
      <c r="D223" s="7" t="s">
        <v>40</v>
      </c>
      <c r="E223" s="7" t="s">
        <v>7455</v>
      </c>
      <c r="F223" s="7" t="s">
        <v>16</v>
      </c>
      <c r="G223" s="7"/>
    </row>
    <row r="224" ht="22.5" customHeight="1">
      <c r="A224" s="7" t="s">
        <v>7213</v>
      </c>
      <c r="B224" s="7" t="s">
        <v>7451</v>
      </c>
      <c r="C224" s="8" t="s">
        <v>7456</v>
      </c>
      <c r="D224" s="7" t="s">
        <v>38</v>
      </c>
      <c r="E224" s="7" t="s">
        <v>7457</v>
      </c>
      <c r="F224" s="7" t="s">
        <v>16</v>
      </c>
      <c r="G224" s="7"/>
    </row>
    <row r="225" ht="22.5" customHeight="1">
      <c r="A225" s="7" t="s">
        <v>7213</v>
      </c>
      <c r="B225" s="7" t="s">
        <v>7451</v>
      </c>
      <c r="C225" s="8" t="s">
        <v>7458</v>
      </c>
      <c r="D225" s="7" t="s">
        <v>40</v>
      </c>
      <c r="E225" s="7" t="s">
        <v>7459</v>
      </c>
      <c r="F225" s="7" t="s">
        <v>16</v>
      </c>
      <c r="G225" s="7"/>
    </row>
    <row r="226" ht="22.5" customHeight="1">
      <c r="A226" s="7" t="s">
        <v>7213</v>
      </c>
      <c r="B226" s="7" t="s">
        <v>7451</v>
      </c>
      <c r="C226" s="8" t="s">
        <v>7460</v>
      </c>
      <c r="D226" s="7" t="s">
        <v>43</v>
      </c>
      <c r="E226" s="7" t="s">
        <v>7461</v>
      </c>
      <c r="F226" s="7" t="s">
        <v>16</v>
      </c>
      <c r="G226" s="7"/>
    </row>
    <row r="227" ht="22.5" customHeight="1">
      <c r="A227" s="7" t="s">
        <v>7213</v>
      </c>
      <c r="B227" s="7" t="s">
        <v>7451</v>
      </c>
      <c r="C227" s="8" t="s">
        <v>7462</v>
      </c>
      <c r="D227" s="7" t="s">
        <v>38</v>
      </c>
      <c r="E227" s="7" t="s">
        <v>7463</v>
      </c>
      <c r="F227" s="7" t="s">
        <v>16</v>
      </c>
      <c r="G227" s="7"/>
    </row>
    <row r="228" ht="22.5" customHeight="1">
      <c r="A228" s="7" t="s">
        <v>7213</v>
      </c>
      <c r="B228" s="7" t="s">
        <v>7451</v>
      </c>
      <c r="C228" s="8" t="s">
        <v>7464</v>
      </c>
      <c r="D228" s="7" t="s">
        <v>38</v>
      </c>
      <c r="E228" s="7" t="s">
        <v>7465</v>
      </c>
      <c r="F228" s="7" t="s">
        <v>16</v>
      </c>
      <c r="G228" s="7"/>
    </row>
    <row r="229" ht="22.5" customHeight="1">
      <c r="A229" s="7" t="s">
        <v>7213</v>
      </c>
      <c r="B229" s="7" t="s">
        <v>7451</v>
      </c>
      <c r="C229" s="8" t="s">
        <v>7466</v>
      </c>
      <c r="D229" s="7" t="s">
        <v>38</v>
      </c>
      <c r="E229" s="7" t="s">
        <v>7467</v>
      </c>
      <c r="F229" s="7" t="s">
        <v>16</v>
      </c>
      <c r="G229" s="7"/>
    </row>
    <row r="230" ht="22.5" customHeight="1">
      <c r="A230" s="7" t="s">
        <v>7213</v>
      </c>
      <c r="B230" s="7" t="s">
        <v>7451</v>
      </c>
      <c r="C230" s="8" t="s">
        <v>7468</v>
      </c>
      <c r="D230" s="7" t="s">
        <v>38</v>
      </c>
      <c r="E230" s="7" t="s">
        <v>7469</v>
      </c>
      <c r="F230" s="7" t="s">
        <v>16</v>
      </c>
      <c r="G230" s="7"/>
    </row>
    <row r="231" ht="22.5" customHeight="1">
      <c r="A231" s="7" t="s">
        <v>7213</v>
      </c>
      <c r="B231" s="7" t="s">
        <v>7451</v>
      </c>
      <c r="C231" s="8" t="s">
        <v>7470</v>
      </c>
      <c r="D231" s="7" t="s">
        <v>43</v>
      </c>
      <c r="E231" s="7" t="s">
        <v>7471</v>
      </c>
      <c r="F231" s="7" t="s">
        <v>16</v>
      </c>
      <c r="G231" s="7"/>
    </row>
    <row r="232" ht="22.5" customHeight="1">
      <c r="A232" s="7" t="s">
        <v>7213</v>
      </c>
      <c r="B232" s="7" t="s">
        <v>7451</v>
      </c>
      <c r="C232" s="8" t="s">
        <v>7472</v>
      </c>
      <c r="D232" s="7" t="s">
        <v>43</v>
      </c>
      <c r="E232" s="7" t="s">
        <v>7473</v>
      </c>
      <c r="F232" s="7" t="s">
        <v>16</v>
      </c>
      <c r="G232" s="7"/>
    </row>
    <row r="233" ht="22.5" customHeight="1">
      <c r="A233" s="7" t="s">
        <v>7213</v>
      </c>
      <c r="B233" s="7" t="s">
        <v>7451</v>
      </c>
      <c r="C233" s="8" t="s">
        <v>7474</v>
      </c>
      <c r="D233" s="7" t="s">
        <v>38</v>
      </c>
      <c r="E233" s="7" t="s">
        <v>7475</v>
      </c>
      <c r="F233" s="7" t="s">
        <v>16</v>
      </c>
      <c r="G233" s="7"/>
    </row>
    <row r="234" ht="22.5" customHeight="1">
      <c r="A234" s="7" t="s">
        <v>7213</v>
      </c>
      <c r="B234" s="7" t="s">
        <v>7451</v>
      </c>
      <c r="C234" s="8" t="s">
        <v>7476</v>
      </c>
      <c r="D234" s="7" t="s">
        <v>38</v>
      </c>
      <c r="E234" s="7" t="s">
        <v>7477</v>
      </c>
      <c r="F234" s="7" t="s">
        <v>16</v>
      </c>
      <c r="G234" s="7"/>
    </row>
    <row r="235" ht="22.5" customHeight="1">
      <c r="A235" s="7" t="s">
        <v>7213</v>
      </c>
      <c r="B235" s="7" t="s">
        <v>7451</v>
      </c>
      <c r="C235" s="8" t="s">
        <v>7478</v>
      </c>
      <c r="D235" s="7" t="s">
        <v>38</v>
      </c>
      <c r="E235" s="7" t="s">
        <v>7479</v>
      </c>
      <c r="F235" s="7" t="s">
        <v>16</v>
      </c>
      <c r="G235" s="7"/>
    </row>
    <row r="236" ht="22.5" customHeight="1">
      <c r="A236" s="7" t="s">
        <v>7213</v>
      </c>
      <c r="B236" s="7" t="s">
        <v>7451</v>
      </c>
      <c r="C236" s="8" t="s">
        <v>7480</v>
      </c>
      <c r="D236" s="7" t="s">
        <v>36</v>
      </c>
      <c r="E236" s="7" t="s">
        <v>7481</v>
      </c>
      <c r="F236" s="7" t="s">
        <v>16</v>
      </c>
      <c r="G236" s="7"/>
    </row>
    <row r="237" ht="22.5" customHeight="1">
      <c r="A237" s="7" t="s">
        <v>7213</v>
      </c>
      <c r="B237" s="7" t="s">
        <v>7451</v>
      </c>
      <c r="C237" s="8" t="s">
        <v>7482</v>
      </c>
      <c r="D237" s="7" t="s">
        <v>38</v>
      </c>
      <c r="E237" s="7" t="s">
        <v>7483</v>
      </c>
      <c r="F237" s="7" t="s">
        <v>16</v>
      </c>
      <c r="G237" s="7"/>
    </row>
    <row r="238" ht="22.5" customHeight="1">
      <c r="A238" s="7" t="s">
        <v>7213</v>
      </c>
      <c r="B238" s="7" t="s">
        <v>7451</v>
      </c>
      <c r="C238" s="8" t="s">
        <v>7484</v>
      </c>
      <c r="D238" s="7" t="s">
        <v>43</v>
      </c>
      <c r="E238" s="7" t="s">
        <v>7485</v>
      </c>
      <c r="F238" s="7" t="s">
        <v>16</v>
      </c>
      <c r="G238" s="7"/>
    </row>
    <row r="239" ht="22.5" customHeight="1">
      <c r="A239" s="7" t="s">
        <v>7213</v>
      </c>
      <c r="B239" s="7" t="s">
        <v>7451</v>
      </c>
      <c r="C239" s="8" t="s">
        <v>7486</v>
      </c>
      <c r="D239" s="7" t="s">
        <v>40</v>
      </c>
      <c r="E239" s="7" t="s">
        <v>7487</v>
      </c>
      <c r="F239" s="7" t="s">
        <v>16</v>
      </c>
      <c r="G239" s="7"/>
    </row>
    <row r="240" ht="22.5" customHeight="1">
      <c r="A240" s="7" t="s">
        <v>7213</v>
      </c>
      <c r="B240" s="7" t="s">
        <v>7451</v>
      </c>
      <c r="C240" s="8" t="s">
        <v>7488</v>
      </c>
      <c r="D240" s="7" t="s">
        <v>43</v>
      </c>
      <c r="E240" s="7" t="s">
        <v>7489</v>
      </c>
      <c r="F240" s="7" t="s">
        <v>16</v>
      </c>
      <c r="G240" s="7"/>
    </row>
    <row r="241" ht="22.5" customHeight="1">
      <c r="A241" s="7" t="s">
        <v>7213</v>
      </c>
      <c r="B241" s="7" t="s">
        <v>7451</v>
      </c>
      <c r="C241" s="8" t="s">
        <v>7490</v>
      </c>
      <c r="D241" s="7" t="s">
        <v>43</v>
      </c>
      <c r="E241" s="7" t="s">
        <v>7491</v>
      </c>
      <c r="F241" s="7" t="s">
        <v>16</v>
      </c>
      <c r="G241" s="7"/>
    </row>
    <row r="242" ht="22.5" customHeight="1">
      <c r="A242" s="7" t="s">
        <v>7213</v>
      </c>
      <c r="B242" s="7" t="s">
        <v>7451</v>
      </c>
      <c r="C242" s="8" t="s">
        <v>7492</v>
      </c>
      <c r="D242" s="7" t="s">
        <v>38</v>
      </c>
      <c r="E242" s="7" t="s">
        <v>7493</v>
      </c>
      <c r="F242" s="7" t="s">
        <v>16</v>
      </c>
      <c r="G242" s="7"/>
    </row>
    <row r="243" ht="22.5" customHeight="1">
      <c r="A243" s="7" t="s">
        <v>7213</v>
      </c>
      <c r="B243" s="7" t="s">
        <v>7451</v>
      </c>
      <c r="C243" s="8" t="s">
        <v>7494</v>
      </c>
      <c r="D243" s="7" t="s">
        <v>38</v>
      </c>
      <c r="E243" s="7" t="s">
        <v>7495</v>
      </c>
      <c r="F243" s="7" t="s">
        <v>16</v>
      </c>
      <c r="G243" s="7"/>
    </row>
    <row r="244" ht="22.5" customHeight="1">
      <c r="A244" s="7" t="s">
        <v>7213</v>
      </c>
      <c r="B244" s="7" t="s">
        <v>7451</v>
      </c>
      <c r="C244" s="8" t="s">
        <v>7496</v>
      </c>
      <c r="D244" s="7" t="s">
        <v>38</v>
      </c>
      <c r="E244" s="7" t="s">
        <v>7497</v>
      </c>
      <c r="F244" s="7" t="s">
        <v>16</v>
      </c>
      <c r="G244" s="7"/>
    </row>
    <row r="245" ht="22.5" customHeight="1">
      <c r="A245" s="7" t="s">
        <v>7213</v>
      </c>
      <c r="B245" s="7" t="s">
        <v>7451</v>
      </c>
      <c r="C245" s="8" t="s">
        <v>7498</v>
      </c>
      <c r="D245" s="7" t="s">
        <v>38</v>
      </c>
      <c r="E245" s="7" t="s">
        <v>7499</v>
      </c>
      <c r="F245" s="7" t="s">
        <v>16</v>
      </c>
      <c r="G245" s="7"/>
    </row>
    <row r="246" ht="22.5" customHeight="1">
      <c r="A246" s="7" t="s">
        <v>7213</v>
      </c>
      <c r="B246" s="7" t="s">
        <v>7451</v>
      </c>
      <c r="C246" s="8" t="s">
        <v>7500</v>
      </c>
      <c r="D246" s="7" t="s">
        <v>38</v>
      </c>
      <c r="E246" s="7" t="s">
        <v>7501</v>
      </c>
      <c r="F246" s="7" t="s">
        <v>16</v>
      </c>
      <c r="G246" s="7"/>
    </row>
    <row r="247" ht="22.5" customHeight="1">
      <c r="A247" s="7" t="s">
        <v>7213</v>
      </c>
      <c r="B247" s="7" t="s">
        <v>7451</v>
      </c>
      <c r="C247" s="8" t="s">
        <v>7502</v>
      </c>
      <c r="D247" s="7" t="s">
        <v>40</v>
      </c>
      <c r="E247" s="7" t="s">
        <v>7503</v>
      </c>
      <c r="F247" s="7" t="s">
        <v>16</v>
      </c>
      <c r="G247" s="7"/>
    </row>
    <row r="248" ht="22.5" customHeight="1">
      <c r="A248" s="7" t="s">
        <v>7213</v>
      </c>
      <c r="B248" s="7" t="s">
        <v>7451</v>
      </c>
      <c r="C248" s="8" t="s">
        <v>7504</v>
      </c>
      <c r="D248" s="7" t="s">
        <v>40</v>
      </c>
      <c r="E248" s="7" t="s">
        <v>7505</v>
      </c>
      <c r="F248" s="7" t="s">
        <v>16</v>
      </c>
      <c r="G248" s="7"/>
    </row>
    <row r="249" ht="22.5" customHeight="1">
      <c r="A249" s="7" t="s">
        <v>7213</v>
      </c>
      <c r="B249" s="7" t="s">
        <v>7451</v>
      </c>
      <c r="C249" s="8" t="s">
        <v>7506</v>
      </c>
      <c r="D249" s="7" t="s">
        <v>40</v>
      </c>
      <c r="E249" s="7" t="s">
        <v>7507</v>
      </c>
      <c r="F249" s="7" t="s">
        <v>16</v>
      </c>
      <c r="G249" s="7"/>
    </row>
    <row r="250" ht="22.5" customHeight="1">
      <c r="A250" s="7" t="s">
        <v>7213</v>
      </c>
      <c r="B250" s="7" t="s">
        <v>7451</v>
      </c>
      <c r="C250" s="8" t="s">
        <v>7508</v>
      </c>
      <c r="D250" s="7" t="s">
        <v>38</v>
      </c>
      <c r="E250" s="7" t="s">
        <v>7509</v>
      </c>
      <c r="F250" s="7" t="s">
        <v>16</v>
      </c>
      <c r="G250" s="7"/>
    </row>
    <row r="251" ht="22.5" customHeight="1">
      <c r="A251" s="7" t="s">
        <v>7213</v>
      </c>
      <c r="B251" s="7" t="s">
        <v>7451</v>
      </c>
      <c r="C251" s="8" t="s">
        <v>7510</v>
      </c>
      <c r="D251" s="7" t="s">
        <v>38</v>
      </c>
      <c r="E251" s="7" t="s">
        <v>7511</v>
      </c>
      <c r="F251" s="7" t="s">
        <v>16</v>
      </c>
      <c r="G251" s="7"/>
    </row>
    <row r="252" ht="22.5" customHeight="1">
      <c r="A252" s="7" t="s">
        <v>7213</v>
      </c>
      <c r="B252" s="7" t="s">
        <v>7451</v>
      </c>
      <c r="C252" s="8" t="s">
        <v>7512</v>
      </c>
      <c r="D252" s="7" t="s">
        <v>38</v>
      </c>
      <c r="E252" s="7" t="s">
        <v>7513</v>
      </c>
      <c r="F252" s="7" t="s">
        <v>16</v>
      </c>
      <c r="G252" s="7"/>
    </row>
    <row r="253" ht="22.5" customHeight="1">
      <c r="A253" s="7" t="s">
        <v>7213</v>
      </c>
      <c r="B253" s="7" t="s">
        <v>7451</v>
      </c>
      <c r="C253" s="8" t="s">
        <v>7514</v>
      </c>
      <c r="D253" s="7" t="s">
        <v>38</v>
      </c>
      <c r="E253" s="7" t="s">
        <v>7515</v>
      </c>
      <c r="F253" s="7" t="s">
        <v>16</v>
      </c>
      <c r="G253" s="7"/>
    </row>
    <row r="254" ht="22.5" customHeight="1">
      <c r="A254" s="7" t="s">
        <v>7213</v>
      </c>
      <c r="B254" s="7" t="s">
        <v>7451</v>
      </c>
      <c r="C254" s="8" t="s">
        <v>7516</v>
      </c>
      <c r="D254" s="7" t="s">
        <v>38</v>
      </c>
      <c r="E254" s="7" t="s">
        <v>7517</v>
      </c>
      <c r="F254" s="7" t="s">
        <v>16</v>
      </c>
      <c r="G254" s="7"/>
    </row>
    <row r="255" ht="22.5" customHeight="1">
      <c r="A255" s="7" t="s">
        <v>7213</v>
      </c>
      <c r="B255" s="7" t="s">
        <v>7451</v>
      </c>
      <c r="C255" s="8" t="s">
        <v>7518</v>
      </c>
      <c r="D255" s="7" t="s">
        <v>43</v>
      </c>
      <c r="E255" s="7" t="s">
        <v>7519</v>
      </c>
      <c r="F255" s="7" t="s">
        <v>16</v>
      </c>
      <c r="G255" s="7"/>
    </row>
    <row r="256" ht="22.5" customHeight="1">
      <c r="A256" s="7" t="s">
        <v>7213</v>
      </c>
      <c r="B256" s="7" t="s">
        <v>7451</v>
      </c>
      <c r="C256" s="8" t="s">
        <v>7520</v>
      </c>
      <c r="D256" s="7" t="s">
        <v>30</v>
      </c>
      <c r="E256" s="7" t="s">
        <v>7521</v>
      </c>
      <c r="F256" s="7" t="s">
        <v>16</v>
      </c>
      <c r="G256" s="7"/>
    </row>
    <row r="257" ht="22.5" customHeight="1">
      <c r="A257" s="7" t="s">
        <v>7213</v>
      </c>
      <c r="B257" s="7" t="s">
        <v>7451</v>
      </c>
      <c r="C257" s="8" t="s">
        <v>7522</v>
      </c>
      <c r="D257" s="7" t="s">
        <v>38</v>
      </c>
      <c r="E257" s="7" t="s">
        <v>7523</v>
      </c>
      <c r="F257" s="7" t="s">
        <v>16</v>
      </c>
      <c r="G257" s="7"/>
    </row>
    <row r="258" ht="22.5" customHeight="1">
      <c r="A258" s="7" t="s">
        <v>7213</v>
      </c>
      <c r="B258" s="7" t="s">
        <v>7451</v>
      </c>
      <c r="C258" s="8" t="s">
        <v>7524</v>
      </c>
      <c r="D258" s="7" t="s">
        <v>30</v>
      </c>
      <c r="E258" s="7" t="s">
        <v>7525</v>
      </c>
      <c r="F258" s="7" t="s">
        <v>16</v>
      </c>
      <c r="G258" s="7"/>
    </row>
    <row r="259" ht="22.5" customHeight="1">
      <c r="A259" s="7" t="s">
        <v>7213</v>
      </c>
      <c r="B259" s="7" t="s">
        <v>7451</v>
      </c>
      <c r="C259" s="8" t="s">
        <v>7526</v>
      </c>
      <c r="D259" s="7" t="s">
        <v>38</v>
      </c>
      <c r="E259" s="7" t="s">
        <v>7527</v>
      </c>
      <c r="F259" s="7" t="s">
        <v>16</v>
      </c>
      <c r="G259" s="7"/>
    </row>
    <row r="260" ht="22.5" customHeight="1">
      <c r="A260" s="7" t="s">
        <v>7213</v>
      </c>
      <c r="B260" s="7" t="s">
        <v>7451</v>
      </c>
      <c r="C260" s="8" t="s">
        <v>7528</v>
      </c>
      <c r="D260" s="7" t="s">
        <v>40</v>
      </c>
      <c r="E260" s="7" t="s">
        <v>7529</v>
      </c>
      <c r="F260" s="7" t="s">
        <v>16</v>
      </c>
      <c r="G260" s="7"/>
    </row>
    <row r="261" ht="22.5" customHeight="1">
      <c r="A261" s="7" t="s">
        <v>7213</v>
      </c>
      <c r="B261" s="7" t="s">
        <v>7451</v>
      </c>
      <c r="C261" s="8" t="s">
        <v>7530</v>
      </c>
      <c r="D261" s="7" t="s">
        <v>40</v>
      </c>
      <c r="E261" s="7" t="s">
        <v>7531</v>
      </c>
      <c r="F261" s="7" t="s">
        <v>16</v>
      </c>
      <c r="G261" s="7"/>
    </row>
    <row r="262" ht="22.5" customHeight="1">
      <c r="A262" s="7" t="s">
        <v>7213</v>
      </c>
      <c r="B262" s="7" t="s">
        <v>7451</v>
      </c>
      <c r="C262" s="8" t="s">
        <v>7532</v>
      </c>
      <c r="D262" s="7" t="s">
        <v>38</v>
      </c>
      <c r="E262" s="7" t="s">
        <v>7533</v>
      </c>
      <c r="F262" s="7" t="s">
        <v>16</v>
      </c>
      <c r="G262" s="7"/>
    </row>
    <row r="263" ht="22.5" customHeight="1">
      <c r="A263" s="7" t="s">
        <v>7213</v>
      </c>
      <c r="B263" s="7" t="s">
        <v>7451</v>
      </c>
      <c r="C263" s="8" t="s">
        <v>7532</v>
      </c>
      <c r="D263" s="7" t="s">
        <v>38</v>
      </c>
      <c r="E263" s="7" t="s">
        <v>7534</v>
      </c>
      <c r="F263" s="7" t="s">
        <v>16</v>
      </c>
      <c r="G263" s="7"/>
    </row>
    <row r="264" ht="22.5" customHeight="1">
      <c r="A264" s="7" t="s">
        <v>7213</v>
      </c>
      <c r="B264" s="7" t="s">
        <v>7451</v>
      </c>
      <c r="C264" s="8" t="s">
        <v>7532</v>
      </c>
      <c r="D264" s="7" t="s">
        <v>38</v>
      </c>
      <c r="E264" s="7" t="s">
        <v>7535</v>
      </c>
      <c r="F264" s="7" t="s">
        <v>16</v>
      </c>
      <c r="G264" s="7"/>
    </row>
    <row r="265" ht="22.5" customHeight="1">
      <c r="A265" s="7" t="s">
        <v>7213</v>
      </c>
      <c r="B265" s="7" t="s">
        <v>7451</v>
      </c>
      <c r="C265" s="8" t="s">
        <v>7532</v>
      </c>
      <c r="D265" s="7" t="s">
        <v>38</v>
      </c>
      <c r="E265" s="7" t="s">
        <v>7536</v>
      </c>
      <c r="F265" s="7" t="s">
        <v>16</v>
      </c>
      <c r="G265" s="7"/>
    </row>
    <row r="266" ht="22.5" customHeight="1">
      <c r="A266" s="7" t="s">
        <v>7213</v>
      </c>
      <c r="B266" s="7" t="s">
        <v>7451</v>
      </c>
      <c r="C266" s="8" t="s">
        <v>7537</v>
      </c>
      <c r="D266" s="7" t="s">
        <v>38</v>
      </c>
      <c r="E266" s="7" t="s">
        <v>7538</v>
      </c>
      <c r="F266" s="7" t="s">
        <v>16</v>
      </c>
      <c r="G266" s="7"/>
    </row>
    <row r="267" ht="22.5" customHeight="1">
      <c r="A267" s="7" t="s">
        <v>7213</v>
      </c>
      <c r="B267" s="7" t="s">
        <v>7451</v>
      </c>
      <c r="C267" s="8" t="s">
        <v>7539</v>
      </c>
      <c r="D267" s="7" t="s">
        <v>38</v>
      </c>
      <c r="E267" s="7" t="s">
        <v>7540</v>
      </c>
      <c r="F267" s="7" t="s">
        <v>16</v>
      </c>
      <c r="G267" s="7"/>
    </row>
    <row r="268" ht="22.5" customHeight="1">
      <c r="A268" s="7" t="s">
        <v>7213</v>
      </c>
      <c r="B268" s="7" t="s">
        <v>7451</v>
      </c>
      <c r="C268" s="8" t="s">
        <v>7541</v>
      </c>
      <c r="D268" s="7" t="s">
        <v>38</v>
      </c>
      <c r="E268" s="7" t="s">
        <v>7542</v>
      </c>
      <c r="F268" s="7" t="s">
        <v>16</v>
      </c>
      <c r="G268" s="7"/>
    </row>
    <row r="269" ht="22.5" customHeight="1">
      <c r="A269" s="7" t="s">
        <v>7213</v>
      </c>
      <c r="B269" s="7" t="s">
        <v>7451</v>
      </c>
      <c r="C269" s="8" t="s">
        <v>7541</v>
      </c>
      <c r="D269" s="7" t="s">
        <v>38</v>
      </c>
      <c r="E269" s="7" t="s">
        <v>7543</v>
      </c>
      <c r="F269" s="7" t="s">
        <v>16</v>
      </c>
      <c r="G269" s="7"/>
    </row>
    <row r="270" ht="22.5" customHeight="1">
      <c r="A270" s="7" t="s">
        <v>7213</v>
      </c>
      <c r="B270" s="7" t="s">
        <v>7451</v>
      </c>
      <c r="C270" s="8" t="s">
        <v>7544</v>
      </c>
      <c r="D270" s="7" t="s">
        <v>38</v>
      </c>
      <c r="E270" s="7" t="s">
        <v>7545</v>
      </c>
      <c r="F270" s="7" t="s">
        <v>16</v>
      </c>
      <c r="G270" s="7"/>
    </row>
    <row r="271" ht="22.5" customHeight="1">
      <c r="A271" s="7" t="s">
        <v>7213</v>
      </c>
      <c r="B271" s="7" t="s">
        <v>7451</v>
      </c>
      <c r="C271" s="8" t="s">
        <v>7546</v>
      </c>
      <c r="D271" s="7" t="s">
        <v>38</v>
      </c>
      <c r="E271" s="7" t="s">
        <v>7547</v>
      </c>
      <c r="F271" s="7" t="s">
        <v>16</v>
      </c>
      <c r="G271" s="7"/>
    </row>
    <row r="272" ht="22.5" customHeight="1">
      <c r="A272" s="7" t="s">
        <v>7213</v>
      </c>
      <c r="B272" s="7" t="s">
        <v>7451</v>
      </c>
      <c r="C272" s="8" t="s">
        <v>7548</v>
      </c>
      <c r="D272" s="7" t="s">
        <v>38</v>
      </c>
      <c r="E272" s="7" t="s">
        <v>7549</v>
      </c>
      <c r="F272" s="7" t="s">
        <v>16</v>
      </c>
      <c r="G272" s="7"/>
    </row>
    <row r="273" ht="22.5" customHeight="1">
      <c r="A273" s="7" t="s">
        <v>7213</v>
      </c>
      <c r="B273" s="7" t="s">
        <v>7451</v>
      </c>
      <c r="C273" s="8" t="s">
        <v>7550</v>
      </c>
      <c r="D273" s="7" t="s">
        <v>43</v>
      </c>
      <c r="E273" s="7" t="s">
        <v>7551</v>
      </c>
      <c r="F273" s="7" t="s">
        <v>16</v>
      </c>
      <c r="G273" s="7"/>
    </row>
    <row r="274" ht="22.5" customHeight="1">
      <c r="A274" s="7" t="s">
        <v>7227</v>
      </c>
      <c r="B274" s="7" t="s">
        <v>7552</v>
      </c>
      <c r="C274" s="8" t="s">
        <v>401</v>
      </c>
      <c r="D274" s="7" t="s">
        <v>30</v>
      </c>
      <c r="E274" s="7" t="s">
        <v>7553</v>
      </c>
      <c r="F274" s="7" t="s">
        <v>16</v>
      </c>
      <c r="G274" s="7"/>
    </row>
    <row r="275" ht="22.5" customHeight="1">
      <c r="A275" s="7" t="s">
        <v>7227</v>
      </c>
      <c r="B275" s="7" t="s">
        <v>7552</v>
      </c>
      <c r="C275" s="8" t="s">
        <v>401</v>
      </c>
      <c r="D275" s="7" t="s">
        <v>36</v>
      </c>
      <c r="E275" s="7" t="s">
        <v>7554</v>
      </c>
      <c r="F275" s="7" t="s">
        <v>105</v>
      </c>
      <c r="G275" s="7"/>
    </row>
    <row r="276" ht="22.5" customHeight="1">
      <c r="A276" s="7" t="s">
        <v>7227</v>
      </c>
      <c r="B276" s="7" t="s">
        <v>7552</v>
      </c>
      <c r="C276" s="8" t="s">
        <v>401</v>
      </c>
      <c r="D276" s="7" t="s">
        <v>36</v>
      </c>
      <c r="E276" s="7" t="s">
        <v>7555</v>
      </c>
      <c r="F276" s="7" t="s">
        <v>16</v>
      </c>
      <c r="G276" s="7"/>
    </row>
    <row r="277" ht="22.5" customHeight="1">
      <c r="A277" s="7" t="s">
        <v>7227</v>
      </c>
      <c r="B277" s="7" t="s">
        <v>7552</v>
      </c>
      <c r="C277" s="8" t="s">
        <v>401</v>
      </c>
      <c r="D277" s="7" t="s">
        <v>38</v>
      </c>
      <c r="E277" s="7" t="s">
        <v>7556</v>
      </c>
      <c r="F277" s="7" t="s">
        <v>16</v>
      </c>
      <c r="G277" s="7"/>
    </row>
    <row r="278" ht="22.5" customHeight="1">
      <c r="A278" s="7" t="s">
        <v>7227</v>
      </c>
      <c r="B278" s="7" t="s">
        <v>7552</v>
      </c>
      <c r="C278" s="8" t="s">
        <v>401</v>
      </c>
      <c r="D278" s="7" t="s">
        <v>40</v>
      </c>
      <c r="E278" s="7" t="s">
        <v>7557</v>
      </c>
      <c r="F278" s="7" t="s">
        <v>16</v>
      </c>
      <c r="G278" s="7"/>
    </row>
    <row r="279" ht="22.5" customHeight="1">
      <c r="A279" s="7" t="s">
        <v>7227</v>
      </c>
      <c r="B279" s="7" t="s">
        <v>7552</v>
      </c>
      <c r="C279" s="8" t="s">
        <v>401</v>
      </c>
      <c r="D279" s="7" t="s">
        <v>43</v>
      </c>
      <c r="E279" s="7" t="s">
        <v>7558</v>
      </c>
      <c r="F279" s="7" t="s">
        <v>16</v>
      </c>
      <c r="G279" s="7"/>
    </row>
    <row r="280" ht="22.5" customHeight="1">
      <c r="A280" s="7" t="s">
        <v>7227</v>
      </c>
      <c r="B280" s="7" t="s">
        <v>7552</v>
      </c>
      <c r="C280" s="8" t="s">
        <v>420</v>
      </c>
      <c r="D280" s="7" t="s">
        <v>30</v>
      </c>
      <c r="E280" s="7" t="s">
        <v>7559</v>
      </c>
      <c r="F280" s="7" t="s">
        <v>16</v>
      </c>
      <c r="G280" s="7"/>
    </row>
    <row r="281" ht="22.5" customHeight="1">
      <c r="A281" s="7" t="s">
        <v>7227</v>
      </c>
      <c r="B281" s="7" t="s">
        <v>7552</v>
      </c>
      <c r="C281" s="8" t="s">
        <v>420</v>
      </c>
      <c r="D281" s="7" t="s">
        <v>36</v>
      </c>
      <c r="E281" s="7" t="s">
        <v>7560</v>
      </c>
      <c r="F281" s="7" t="s">
        <v>16</v>
      </c>
      <c r="G281" s="7"/>
    </row>
    <row r="282" ht="22.5" customHeight="1">
      <c r="A282" s="7" t="s">
        <v>7227</v>
      </c>
      <c r="B282" s="7" t="s">
        <v>7552</v>
      </c>
      <c r="C282" s="8" t="s">
        <v>420</v>
      </c>
      <c r="D282" s="7" t="s">
        <v>38</v>
      </c>
      <c r="E282" s="7" t="s">
        <v>7561</v>
      </c>
      <c r="F282" s="7" t="s">
        <v>16</v>
      </c>
      <c r="G282" s="7"/>
    </row>
    <row r="283" ht="22.5" customHeight="1">
      <c r="A283" s="7" t="s">
        <v>7227</v>
      </c>
      <c r="B283" s="7" t="s">
        <v>7552</v>
      </c>
      <c r="C283" s="8" t="s">
        <v>420</v>
      </c>
      <c r="D283" s="7" t="s">
        <v>40</v>
      </c>
      <c r="E283" s="7" t="s">
        <v>7562</v>
      </c>
      <c r="F283" s="7" t="s">
        <v>16</v>
      </c>
      <c r="G283" s="7"/>
    </row>
    <row r="284" ht="22.5" customHeight="1">
      <c r="A284" s="7" t="s">
        <v>7227</v>
      </c>
      <c r="B284" s="7" t="s">
        <v>7552</v>
      </c>
      <c r="C284" s="8" t="s">
        <v>420</v>
      </c>
      <c r="D284" s="7" t="s">
        <v>43</v>
      </c>
      <c r="E284" s="7" t="s">
        <v>7563</v>
      </c>
      <c r="F284" s="7" t="s">
        <v>16</v>
      </c>
      <c r="G284" s="7"/>
    </row>
    <row r="285" ht="22.5" customHeight="1">
      <c r="A285" s="7" t="s">
        <v>7227</v>
      </c>
      <c r="B285" s="7" t="s">
        <v>7552</v>
      </c>
      <c r="C285" s="8" t="s">
        <v>430</v>
      </c>
      <c r="D285" s="7" t="s">
        <v>30</v>
      </c>
      <c r="E285" s="7" t="s">
        <v>7564</v>
      </c>
      <c r="F285" s="7" t="s">
        <v>16</v>
      </c>
      <c r="G285" s="7"/>
    </row>
    <row r="286" ht="22.5" customHeight="1">
      <c r="A286" s="7" t="s">
        <v>7227</v>
      </c>
      <c r="B286" s="7" t="s">
        <v>7552</v>
      </c>
      <c r="C286" s="8" t="s">
        <v>430</v>
      </c>
      <c r="D286" s="7" t="s">
        <v>36</v>
      </c>
      <c r="E286" s="7" t="s">
        <v>7565</v>
      </c>
      <c r="F286" s="7" t="s">
        <v>16</v>
      </c>
      <c r="G286" s="7"/>
    </row>
    <row r="287" ht="22.5" customHeight="1">
      <c r="A287" s="7" t="s">
        <v>7227</v>
      </c>
      <c r="B287" s="7" t="s">
        <v>7552</v>
      </c>
      <c r="C287" s="8" t="s">
        <v>430</v>
      </c>
      <c r="D287" s="7" t="s">
        <v>38</v>
      </c>
      <c r="E287" s="7" t="s">
        <v>7566</v>
      </c>
      <c r="F287" s="7" t="s">
        <v>16</v>
      </c>
      <c r="G287" s="7"/>
    </row>
    <row r="288" ht="22.5" customHeight="1">
      <c r="A288" s="7" t="s">
        <v>7227</v>
      </c>
      <c r="B288" s="7" t="s">
        <v>7552</v>
      </c>
      <c r="C288" s="8" t="s">
        <v>430</v>
      </c>
      <c r="D288" s="7" t="s">
        <v>40</v>
      </c>
      <c r="E288" s="7" t="s">
        <v>7567</v>
      </c>
      <c r="F288" s="7" t="s">
        <v>16</v>
      </c>
      <c r="G288" s="7"/>
    </row>
    <row r="289" ht="22.5" customHeight="1">
      <c r="A289" s="7" t="s">
        <v>7227</v>
      </c>
      <c r="B289" s="7" t="s">
        <v>7552</v>
      </c>
      <c r="C289" s="8" t="s">
        <v>430</v>
      </c>
      <c r="D289" s="7" t="s">
        <v>43</v>
      </c>
      <c r="E289" s="7" t="s">
        <v>7568</v>
      </c>
      <c r="F289" s="7" t="s">
        <v>16</v>
      </c>
      <c r="G289" s="7"/>
    </row>
    <row r="290" ht="22.5" customHeight="1">
      <c r="A290" s="7" t="s">
        <v>7227</v>
      </c>
      <c r="B290" s="7" t="s">
        <v>7552</v>
      </c>
      <c r="C290" s="8" t="s">
        <v>446</v>
      </c>
      <c r="D290" s="7" t="s">
        <v>30</v>
      </c>
      <c r="E290" s="7" t="s">
        <v>7569</v>
      </c>
      <c r="F290" s="7" t="s">
        <v>16</v>
      </c>
      <c r="G290" s="7"/>
    </row>
    <row r="291" ht="22.5" customHeight="1">
      <c r="A291" s="7" t="s">
        <v>7227</v>
      </c>
      <c r="B291" s="7" t="s">
        <v>7552</v>
      </c>
      <c r="C291" s="8" t="s">
        <v>446</v>
      </c>
      <c r="D291" s="7" t="s">
        <v>36</v>
      </c>
      <c r="E291" s="7" t="s">
        <v>7570</v>
      </c>
      <c r="F291" s="7" t="s">
        <v>16</v>
      </c>
      <c r="G291" s="7"/>
    </row>
    <row r="292" ht="22.5" customHeight="1">
      <c r="A292" s="7" t="s">
        <v>7227</v>
      </c>
      <c r="B292" s="7" t="s">
        <v>7552</v>
      </c>
      <c r="C292" s="8" t="s">
        <v>446</v>
      </c>
      <c r="D292" s="7" t="s">
        <v>38</v>
      </c>
      <c r="E292" s="7" t="s">
        <v>7571</v>
      </c>
      <c r="F292" s="7" t="s">
        <v>16</v>
      </c>
      <c r="G292" s="7"/>
    </row>
    <row r="293" ht="22.5" customHeight="1">
      <c r="A293" s="7" t="s">
        <v>7227</v>
      </c>
      <c r="B293" s="7" t="s">
        <v>7552</v>
      </c>
      <c r="C293" s="8" t="s">
        <v>446</v>
      </c>
      <c r="D293" s="7" t="s">
        <v>40</v>
      </c>
      <c r="E293" s="7" t="s">
        <v>7572</v>
      </c>
      <c r="F293" s="7" t="s">
        <v>16</v>
      </c>
      <c r="G293" s="7"/>
    </row>
    <row r="294" ht="22.5" customHeight="1">
      <c r="A294" s="7" t="s">
        <v>7227</v>
      </c>
      <c r="B294" s="7" t="s">
        <v>7552</v>
      </c>
      <c r="C294" s="8" t="s">
        <v>446</v>
      </c>
      <c r="D294" s="7" t="s">
        <v>43</v>
      </c>
      <c r="E294" s="7" t="s">
        <v>7573</v>
      </c>
      <c r="F294" s="7" t="s">
        <v>16</v>
      </c>
      <c r="G294" s="7"/>
    </row>
    <row r="295" ht="22.5" customHeight="1">
      <c r="A295" s="7" t="s">
        <v>7227</v>
      </c>
      <c r="B295" s="7" t="s">
        <v>7552</v>
      </c>
      <c r="C295" s="8" t="s">
        <v>1548</v>
      </c>
      <c r="D295" s="7" t="s">
        <v>30</v>
      </c>
      <c r="E295" s="7" t="s">
        <v>7574</v>
      </c>
      <c r="F295" s="7" t="s">
        <v>26</v>
      </c>
      <c r="G295" s="7"/>
    </row>
    <row r="296" ht="22.5" customHeight="1">
      <c r="A296" s="7" t="s">
        <v>7227</v>
      </c>
      <c r="B296" s="7" t="s">
        <v>7552</v>
      </c>
      <c r="C296" s="8" t="s">
        <v>1548</v>
      </c>
      <c r="D296" s="7" t="s">
        <v>36</v>
      </c>
      <c r="E296" s="7" t="s">
        <v>7575</v>
      </c>
      <c r="F296" s="7" t="s">
        <v>26</v>
      </c>
      <c r="G296" s="7"/>
    </row>
    <row r="297" ht="22.5" customHeight="1">
      <c r="A297" s="7" t="s">
        <v>7227</v>
      </c>
      <c r="B297" s="7" t="s">
        <v>7552</v>
      </c>
      <c r="C297" s="8" t="s">
        <v>1548</v>
      </c>
      <c r="D297" s="7" t="s">
        <v>38</v>
      </c>
      <c r="E297" s="7" t="s">
        <v>7576</v>
      </c>
      <c r="F297" s="7" t="s">
        <v>26</v>
      </c>
      <c r="G297" s="7"/>
    </row>
    <row r="298" ht="22.5" customHeight="1">
      <c r="A298" s="7" t="s">
        <v>7227</v>
      </c>
      <c r="B298" s="7" t="s">
        <v>7552</v>
      </c>
      <c r="C298" s="8" t="s">
        <v>1548</v>
      </c>
      <c r="D298" s="7" t="s">
        <v>40</v>
      </c>
      <c r="E298" s="7" t="s">
        <v>7577</v>
      </c>
      <c r="F298" s="7" t="s">
        <v>26</v>
      </c>
      <c r="G298" s="7"/>
    </row>
    <row r="299" ht="22.5" customHeight="1">
      <c r="A299" s="7" t="s">
        <v>7227</v>
      </c>
      <c r="B299" s="7" t="s">
        <v>7552</v>
      </c>
      <c r="C299" s="8" t="s">
        <v>1548</v>
      </c>
      <c r="D299" s="7" t="s">
        <v>43</v>
      </c>
      <c r="E299" s="7" t="s">
        <v>7578</v>
      </c>
      <c r="F299" s="7" t="s">
        <v>26</v>
      </c>
      <c r="G299" s="7"/>
    </row>
    <row r="300" ht="22.5" customHeight="1">
      <c r="A300" s="7" t="s">
        <v>7579</v>
      </c>
      <c r="B300" s="7" t="s">
        <v>2327</v>
      </c>
      <c r="C300" s="8" t="s">
        <v>3965</v>
      </c>
      <c r="D300" s="7" t="s">
        <v>43</v>
      </c>
      <c r="E300" s="7" t="s">
        <v>7580</v>
      </c>
      <c r="F300" s="7" t="s">
        <v>16</v>
      </c>
      <c r="G300" s="7"/>
    </row>
    <row r="301" ht="22.5" customHeight="1">
      <c r="A301" s="7" t="s">
        <v>7579</v>
      </c>
      <c r="B301" s="7" t="s">
        <v>2327</v>
      </c>
      <c r="C301" s="8" t="s">
        <v>4011</v>
      </c>
      <c r="D301" s="7" t="s">
        <v>36</v>
      </c>
      <c r="E301" s="7" t="s">
        <v>7581</v>
      </c>
      <c r="F301" s="7" t="s">
        <v>16</v>
      </c>
      <c r="G301" s="7"/>
    </row>
    <row r="302" ht="22.5" customHeight="1">
      <c r="A302" s="7" t="s">
        <v>7579</v>
      </c>
      <c r="B302" s="7" t="s">
        <v>2327</v>
      </c>
      <c r="C302" s="8" t="s">
        <v>5080</v>
      </c>
      <c r="D302" s="7" t="s">
        <v>40</v>
      </c>
      <c r="E302" s="7" t="s">
        <v>7582</v>
      </c>
      <c r="F302" s="7" t="s">
        <v>16</v>
      </c>
      <c r="G302" s="7"/>
    </row>
    <row r="303" ht="22.5" customHeight="1">
      <c r="A303" s="7" t="s">
        <v>7579</v>
      </c>
      <c r="B303" s="7" t="s">
        <v>2327</v>
      </c>
      <c r="C303" s="8" t="s">
        <v>5329</v>
      </c>
      <c r="D303" s="7" t="s">
        <v>40</v>
      </c>
      <c r="E303" s="7" t="s">
        <v>7583</v>
      </c>
      <c r="F303" s="7" t="s">
        <v>16</v>
      </c>
      <c r="G303" s="7"/>
    </row>
    <row r="304" ht="22.5" customHeight="1">
      <c r="A304" s="7" t="s">
        <v>7579</v>
      </c>
      <c r="B304" s="7" t="s">
        <v>2327</v>
      </c>
      <c r="C304" s="8" t="s">
        <v>5329</v>
      </c>
      <c r="D304" s="7" t="s">
        <v>43</v>
      </c>
      <c r="E304" s="7" t="s">
        <v>7584</v>
      </c>
      <c r="F304" s="7" t="s">
        <v>16</v>
      </c>
      <c r="G304" s="7"/>
    </row>
    <row r="305" ht="22.5" customHeight="1">
      <c r="A305" s="7" t="s">
        <v>7579</v>
      </c>
      <c r="B305" s="7" t="s">
        <v>2327</v>
      </c>
      <c r="C305" s="8" t="s">
        <v>5480</v>
      </c>
      <c r="D305" s="7" t="s">
        <v>36</v>
      </c>
      <c r="E305" s="7" t="s">
        <v>7585</v>
      </c>
      <c r="F305" s="7" t="s">
        <v>16</v>
      </c>
      <c r="G305" s="7"/>
    </row>
    <row r="306" ht="22.5" customHeight="1">
      <c r="A306" s="7" t="s">
        <v>7579</v>
      </c>
      <c r="B306" s="7" t="s">
        <v>2327</v>
      </c>
      <c r="C306" s="8" t="s">
        <v>5567</v>
      </c>
      <c r="D306" s="7" t="s">
        <v>40</v>
      </c>
      <c r="E306" s="7" t="s">
        <v>7586</v>
      </c>
      <c r="F306" s="7" t="s">
        <v>16</v>
      </c>
      <c r="G306" s="7"/>
    </row>
    <row r="307" ht="22.5" customHeight="1">
      <c r="A307" s="7" t="s">
        <v>7579</v>
      </c>
      <c r="B307" s="7" t="s">
        <v>2327</v>
      </c>
      <c r="C307" s="8" t="s">
        <v>5681</v>
      </c>
      <c r="D307" s="7" t="s">
        <v>36</v>
      </c>
      <c r="E307" s="7" t="s">
        <v>7587</v>
      </c>
      <c r="F307" s="7" t="s">
        <v>16</v>
      </c>
      <c r="G307" s="7"/>
    </row>
    <row r="308" ht="22.5" customHeight="1">
      <c r="A308" s="7" t="s">
        <v>7579</v>
      </c>
      <c r="B308" s="7" t="s">
        <v>2327</v>
      </c>
      <c r="C308" s="8" t="s">
        <v>6605</v>
      </c>
      <c r="D308" s="7" t="s">
        <v>38</v>
      </c>
      <c r="E308" s="7" t="s">
        <v>7588</v>
      </c>
      <c r="F308" s="7" t="s">
        <v>16</v>
      </c>
      <c r="G308" s="7"/>
    </row>
    <row r="309" ht="22.5" customHeight="1">
      <c r="A309" s="7" t="s">
        <v>7579</v>
      </c>
      <c r="B309" s="7" t="s">
        <v>2327</v>
      </c>
      <c r="C309" s="8" t="s">
        <v>7589</v>
      </c>
      <c r="D309" s="7" t="s">
        <v>43</v>
      </c>
      <c r="E309" s="7" t="s">
        <v>7590</v>
      </c>
      <c r="F309" s="7" t="s">
        <v>16</v>
      </c>
      <c r="G309" s="7"/>
    </row>
    <row r="310" ht="22.5" customHeight="1">
      <c r="A310" s="7" t="s">
        <v>7579</v>
      </c>
      <c r="B310" s="7" t="s">
        <v>2327</v>
      </c>
      <c r="C310" s="8" t="s">
        <v>7591</v>
      </c>
      <c r="D310" s="7" t="s">
        <v>43</v>
      </c>
      <c r="E310" s="7" t="s">
        <v>7592</v>
      </c>
      <c r="F310" s="7" t="s">
        <v>16</v>
      </c>
      <c r="G310" s="7"/>
    </row>
    <row r="311" ht="22.5" customHeight="1">
      <c r="A311" s="7" t="s">
        <v>7579</v>
      </c>
      <c r="B311" s="7" t="s">
        <v>2327</v>
      </c>
      <c r="C311" s="8" t="s">
        <v>6793</v>
      </c>
      <c r="D311" s="7" t="s">
        <v>38</v>
      </c>
      <c r="E311" s="7" t="s">
        <v>7593</v>
      </c>
      <c r="F311" s="7" t="s">
        <v>16</v>
      </c>
      <c r="G311" s="7"/>
    </row>
    <row r="312" ht="22.5" customHeight="1">
      <c r="A312" s="7" t="s">
        <v>7579</v>
      </c>
      <c r="B312" s="7" t="s">
        <v>2327</v>
      </c>
      <c r="C312" s="8" t="s">
        <v>6845</v>
      </c>
      <c r="D312" s="7" t="s">
        <v>38</v>
      </c>
      <c r="E312" s="7" t="s">
        <v>7594</v>
      </c>
      <c r="F312" s="7" t="s">
        <v>16</v>
      </c>
      <c r="G312" s="7"/>
    </row>
    <row r="313" ht="22.5" customHeight="1">
      <c r="A313" s="7" t="s">
        <v>7579</v>
      </c>
      <c r="B313" s="7" t="s">
        <v>2327</v>
      </c>
      <c r="C313" s="8" t="s">
        <v>7184</v>
      </c>
      <c r="D313" s="7" t="s">
        <v>40</v>
      </c>
      <c r="E313" s="7" t="s">
        <v>7595</v>
      </c>
      <c r="F313" s="7" t="s">
        <v>16</v>
      </c>
      <c r="G313" s="7"/>
    </row>
    <row r="314" ht="22.5" customHeight="1">
      <c r="A314" s="7" t="s">
        <v>7579</v>
      </c>
      <c r="B314" s="7" t="s">
        <v>3837</v>
      </c>
      <c r="C314" s="8" t="s">
        <v>3838</v>
      </c>
      <c r="D314" s="7" t="s">
        <v>38</v>
      </c>
      <c r="E314" s="7" t="s">
        <v>7596</v>
      </c>
      <c r="F314" s="7" t="s">
        <v>16</v>
      </c>
      <c r="G314" s="7"/>
    </row>
    <row r="315" ht="22.5" customHeight="1">
      <c r="A315" s="7" t="s">
        <v>7579</v>
      </c>
      <c r="B315" s="7" t="s">
        <v>3837</v>
      </c>
      <c r="C315" s="8" t="s">
        <v>7597</v>
      </c>
      <c r="D315" s="7" t="s">
        <v>36</v>
      </c>
      <c r="E315" s="7" t="s">
        <v>7598</v>
      </c>
      <c r="F315" s="7" t="s">
        <v>16</v>
      </c>
      <c r="G315" s="7"/>
    </row>
    <row r="316" ht="22.5" customHeight="1">
      <c r="A316" s="7" t="s">
        <v>7579</v>
      </c>
      <c r="B316" s="7" t="s">
        <v>3837</v>
      </c>
      <c r="C316" s="8" t="s">
        <v>7599</v>
      </c>
      <c r="D316" s="7" t="s">
        <v>43</v>
      </c>
      <c r="E316" s="7" t="s">
        <v>7600</v>
      </c>
      <c r="F316" s="7" t="s">
        <v>16</v>
      </c>
      <c r="G316" s="7"/>
    </row>
    <row r="317" ht="22.5" customHeight="1">
      <c r="A317" s="7" t="s">
        <v>7579</v>
      </c>
      <c r="B317" s="7" t="s">
        <v>3837</v>
      </c>
      <c r="C317" s="8" t="s">
        <v>7601</v>
      </c>
      <c r="D317" s="7" t="s">
        <v>43</v>
      </c>
      <c r="E317" s="7" t="s">
        <v>7602</v>
      </c>
      <c r="F317" s="7" t="s">
        <v>16</v>
      </c>
      <c r="G317" s="7"/>
    </row>
    <row r="318" ht="22.5" customHeight="1">
      <c r="A318" s="7" t="s">
        <v>7579</v>
      </c>
      <c r="B318" s="7" t="s">
        <v>3837</v>
      </c>
      <c r="C318" s="8" t="s">
        <v>5069</v>
      </c>
      <c r="D318" s="7" t="s">
        <v>38</v>
      </c>
      <c r="E318" s="7" t="s">
        <v>7603</v>
      </c>
      <c r="F318" s="7" t="s">
        <v>16</v>
      </c>
      <c r="G318" s="7"/>
    </row>
    <row r="319" ht="22.5" customHeight="1">
      <c r="A319" s="7" t="s">
        <v>7579</v>
      </c>
      <c r="B319" s="7" t="s">
        <v>3837</v>
      </c>
      <c r="C319" s="8" t="s">
        <v>5135</v>
      </c>
      <c r="D319" s="7" t="s">
        <v>40</v>
      </c>
      <c r="E319" s="7" t="s">
        <v>7604</v>
      </c>
      <c r="F319" s="7" t="s">
        <v>16</v>
      </c>
      <c r="G319" s="7"/>
    </row>
    <row r="320" ht="22.5" customHeight="1">
      <c r="A320" s="7" t="s">
        <v>7579</v>
      </c>
      <c r="B320" s="7" t="s">
        <v>3837</v>
      </c>
      <c r="C320" s="8" t="s">
        <v>5345</v>
      </c>
      <c r="D320" s="7" t="s">
        <v>40</v>
      </c>
      <c r="E320" s="7" t="s">
        <v>7605</v>
      </c>
      <c r="F320" s="7" t="s">
        <v>16</v>
      </c>
      <c r="G320" s="7"/>
    </row>
    <row r="321" ht="22.5" customHeight="1">
      <c r="A321" s="7" t="s">
        <v>7579</v>
      </c>
      <c r="B321" s="7" t="s">
        <v>3837</v>
      </c>
      <c r="C321" s="8" t="s">
        <v>5345</v>
      </c>
      <c r="D321" s="7" t="s">
        <v>43</v>
      </c>
      <c r="E321" s="7" t="s">
        <v>7606</v>
      </c>
      <c r="F321" s="7" t="s">
        <v>16</v>
      </c>
      <c r="G321" s="7"/>
    </row>
    <row r="322" ht="22.5" customHeight="1">
      <c r="A322" s="7" t="s">
        <v>7579</v>
      </c>
      <c r="B322" s="7" t="s">
        <v>3837</v>
      </c>
      <c r="C322" s="8" t="s">
        <v>7607</v>
      </c>
      <c r="D322" s="7" t="s">
        <v>40</v>
      </c>
      <c r="E322" s="7" t="s">
        <v>7608</v>
      </c>
      <c r="F322" s="7" t="s">
        <v>16</v>
      </c>
      <c r="G322" s="7"/>
    </row>
    <row r="323" ht="22.5" customHeight="1">
      <c r="A323" s="7" t="s">
        <v>7579</v>
      </c>
      <c r="B323" s="7" t="s">
        <v>3837</v>
      </c>
      <c r="C323" s="8" t="s">
        <v>5633</v>
      </c>
      <c r="D323" s="7" t="s">
        <v>43</v>
      </c>
      <c r="E323" s="7" t="s">
        <v>7609</v>
      </c>
      <c r="F323" s="7" t="s">
        <v>16</v>
      </c>
      <c r="G323" s="7"/>
    </row>
    <row r="324" ht="22.5" customHeight="1">
      <c r="A324" s="7" t="s">
        <v>7579</v>
      </c>
      <c r="B324" s="7" t="s">
        <v>3837</v>
      </c>
      <c r="C324" s="8" t="s">
        <v>5976</v>
      </c>
      <c r="D324" s="7" t="s">
        <v>40</v>
      </c>
      <c r="E324" s="7" t="s">
        <v>7610</v>
      </c>
      <c r="F324" s="7" t="s">
        <v>16</v>
      </c>
      <c r="G324" s="7"/>
    </row>
    <row r="325" ht="22.5" customHeight="1">
      <c r="A325" s="7" t="s">
        <v>7579</v>
      </c>
      <c r="B325" s="7" t="s">
        <v>3837</v>
      </c>
      <c r="C325" s="8" t="s">
        <v>6175</v>
      </c>
      <c r="D325" s="7" t="s">
        <v>36</v>
      </c>
      <c r="E325" s="7" t="s">
        <v>7611</v>
      </c>
      <c r="F325" s="7" t="s">
        <v>16</v>
      </c>
      <c r="G325" s="7"/>
    </row>
    <row r="326" ht="22.5" customHeight="1">
      <c r="A326" s="7" t="s">
        <v>7579</v>
      </c>
      <c r="B326" s="7" t="s">
        <v>3837</v>
      </c>
      <c r="C326" s="8" t="s">
        <v>6247</v>
      </c>
      <c r="D326" s="7" t="s">
        <v>38</v>
      </c>
      <c r="E326" s="7" t="s">
        <v>7612</v>
      </c>
      <c r="F326" s="7" t="s">
        <v>16</v>
      </c>
      <c r="G326" s="7"/>
    </row>
    <row r="327" ht="22.5" customHeight="1">
      <c r="A327" s="7" t="s">
        <v>7579</v>
      </c>
      <c r="B327" s="7" t="s">
        <v>3837</v>
      </c>
      <c r="C327" s="8" t="s">
        <v>7613</v>
      </c>
      <c r="D327" s="7" t="s">
        <v>36</v>
      </c>
      <c r="E327" s="7" t="s">
        <v>7614</v>
      </c>
      <c r="F327" s="7" t="s">
        <v>16</v>
      </c>
      <c r="G327" s="7"/>
    </row>
    <row r="328" ht="22.5" customHeight="1">
      <c r="A328" s="7" t="s">
        <v>7227</v>
      </c>
      <c r="B328" s="7" t="s">
        <v>226</v>
      </c>
      <c r="C328" s="8" t="s">
        <v>227</v>
      </c>
      <c r="D328" s="7" t="s">
        <v>38</v>
      </c>
      <c r="E328" s="7" t="s">
        <v>7615</v>
      </c>
      <c r="F328" s="7" t="s">
        <v>26</v>
      </c>
      <c r="G328" s="7"/>
    </row>
    <row r="329" ht="22.5" customHeight="1">
      <c r="A329" s="7" t="s">
        <v>7227</v>
      </c>
      <c r="B329" s="7" t="s">
        <v>226</v>
      </c>
      <c r="C329" s="8" t="s">
        <v>227</v>
      </c>
      <c r="D329" s="7" t="s">
        <v>43</v>
      </c>
      <c r="E329" s="7" t="s">
        <v>7616</v>
      </c>
      <c r="F329" s="7" t="s">
        <v>26</v>
      </c>
      <c r="G329" s="7"/>
    </row>
    <row r="330" ht="22.5" customHeight="1">
      <c r="A330" s="7" t="s">
        <v>7227</v>
      </c>
      <c r="B330" s="7" t="s">
        <v>226</v>
      </c>
      <c r="C330" s="8" t="s">
        <v>7617</v>
      </c>
      <c r="D330" s="7" t="s">
        <v>40</v>
      </c>
      <c r="E330" s="7" t="s">
        <v>7618</v>
      </c>
      <c r="F330" s="7" t="s">
        <v>16</v>
      </c>
      <c r="G330" s="7"/>
    </row>
    <row r="331" ht="22.5" customHeight="1">
      <c r="A331" s="7" t="s">
        <v>7227</v>
      </c>
      <c r="B331" s="7" t="s">
        <v>226</v>
      </c>
      <c r="C331" s="8" t="s">
        <v>7619</v>
      </c>
      <c r="D331" s="7" t="s">
        <v>36</v>
      </c>
      <c r="E331" s="7" t="s">
        <v>7620</v>
      </c>
      <c r="F331" s="7" t="s">
        <v>16</v>
      </c>
      <c r="G331" s="7"/>
    </row>
    <row r="332" ht="22.5" customHeight="1">
      <c r="A332" s="7" t="s">
        <v>7227</v>
      </c>
      <c r="B332" s="7" t="s">
        <v>226</v>
      </c>
      <c r="C332" s="8" t="s">
        <v>7621</v>
      </c>
      <c r="D332" s="7" t="s">
        <v>38</v>
      </c>
      <c r="E332" s="7" t="s">
        <v>7622</v>
      </c>
      <c r="F332" s="7" t="s">
        <v>16</v>
      </c>
      <c r="G332" s="7"/>
    </row>
    <row r="333" ht="22.5" customHeight="1">
      <c r="A333" s="7" t="s">
        <v>7227</v>
      </c>
      <c r="B333" s="7" t="s">
        <v>226</v>
      </c>
      <c r="C333" s="8" t="s">
        <v>595</v>
      </c>
      <c r="D333" s="7" t="s">
        <v>36</v>
      </c>
      <c r="E333" s="7" t="s">
        <v>7623</v>
      </c>
      <c r="F333" s="7" t="s">
        <v>26</v>
      </c>
      <c r="G333" s="7"/>
    </row>
    <row r="334" ht="22.5" customHeight="1">
      <c r="A334" s="7" t="s">
        <v>7227</v>
      </c>
      <c r="B334" s="7" t="s">
        <v>226</v>
      </c>
      <c r="C334" s="8" t="s">
        <v>595</v>
      </c>
      <c r="D334" s="7" t="s">
        <v>38</v>
      </c>
      <c r="E334" s="7" t="s">
        <v>7624</v>
      </c>
      <c r="F334" s="7" t="s">
        <v>26</v>
      </c>
      <c r="G334" s="7"/>
    </row>
    <row r="335" ht="22.5" customHeight="1">
      <c r="A335" s="7" t="s">
        <v>7227</v>
      </c>
      <c r="B335" s="7" t="s">
        <v>226</v>
      </c>
      <c r="C335" s="8" t="s">
        <v>595</v>
      </c>
      <c r="D335" s="7" t="s">
        <v>43</v>
      </c>
      <c r="E335" s="7" t="s">
        <v>7625</v>
      </c>
      <c r="F335" s="7" t="s">
        <v>26</v>
      </c>
      <c r="G335" s="7"/>
    </row>
    <row r="336" ht="22.5" customHeight="1">
      <c r="A336" s="7" t="s">
        <v>7227</v>
      </c>
      <c r="B336" s="7" t="s">
        <v>226</v>
      </c>
      <c r="C336" s="8" t="s">
        <v>7626</v>
      </c>
      <c r="D336" s="7" t="s">
        <v>40</v>
      </c>
      <c r="E336" s="7" t="s">
        <v>7627</v>
      </c>
      <c r="F336" s="7" t="s">
        <v>16</v>
      </c>
      <c r="G336" s="7"/>
    </row>
    <row r="337" ht="22.5" customHeight="1">
      <c r="A337" s="7" t="s">
        <v>7227</v>
      </c>
      <c r="B337" s="7" t="s">
        <v>226</v>
      </c>
      <c r="C337" s="8" t="s">
        <v>7628</v>
      </c>
      <c r="D337" s="7" t="s">
        <v>36</v>
      </c>
      <c r="E337" s="7" t="s">
        <v>7629</v>
      </c>
      <c r="F337" s="7" t="s">
        <v>16</v>
      </c>
      <c r="G337" s="7"/>
    </row>
    <row r="338" ht="22.5" customHeight="1">
      <c r="A338" s="7" t="s">
        <v>7227</v>
      </c>
      <c r="B338" s="7" t="s">
        <v>226</v>
      </c>
      <c r="C338" s="8" t="s">
        <v>7630</v>
      </c>
      <c r="D338" s="7" t="s">
        <v>38</v>
      </c>
      <c r="E338" s="7" t="s">
        <v>7631</v>
      </c>
      <c r="F338" s="7" t="s">
        <v>16</v>
      </c>
      <c r="G338" s="7"/>
    </row>
    <row r="339" ht="22.5" customHeight="1">
      <c r="A339" s="7" t="s">
        <v>7227</v>
      </c>
      <c r="B339" s="7" t="s">
        <v>226</v>
      </c>
      <c r="C339" s="8" t="s">
        <v>622</v>
      </c>
      <c r="D339" s="7" t="s">
        <v>36</v>
      </c>
      <c r="E339" s="7" t="s">
        <v>7632</v>
      </c>
      <c r="F339" s="7" t="s">
        <v>26</v>
      </c>
      <c r="G339" s="7"/>
    </row>
    <row r="340" ht="22.5" customHeight="1">
      <c r="A340" s="7" t="s">
        <v>7227</v>
      </c>
      <c r="B340" s="7" t="s">
        <v>226</v>
      </c>
      <c r="C340" s="8" t="s">
        <v>622</v>
      </c>
      <c r="D340" s="7" t="s">
        <v>40</v>
      </c>
      <c r="E340" s="7" t="s">
        <v>7633</v>
      </c>
      <c r="F340" s="7" t="s">
        <v>26</v>
      </c>
      <c r="G340" s="7"/>
    </row>
    <row r="341" ht="22.5" customHeight="1">
      <c r="A341" s="7" t="s">
        <v>7227</v>
      </c>
      <c r="B341" s="7" t="s">
        <v>226</v>
      </c>
      <c r="C341" s="8" t="s">
        <v>7634</v>
      </c>
      <c r="D341" s="7" t="s">
        <v>38</v>
      </c>
      <c r="E341" s="7" t="s">
        <v>7635</v>
      </c>
      <c r="F341" s="7" t="s">
        <v>16</v>
      </c>
      <c r="G341" s="7"/>
    </row>
    <row r="342" ht="22.5" customHeight="1">
      <c r="A342" s="7" t="s">
        <v>7227</v>
      </c>
      <c r="B342" s="7" t="s">
        <v>226</v>
      </c>
      <c r="C342" s="8" t="s">
        <v>7636</v>
      </c>
      <c r="D342" s="7" t="s">
        <v>30</v>
      </c>
      <c r="E342" s="7" t="s">
        <v>7637</v>
      </c>
      <c r="F342" s="7" t="s">
        <v>16</v>
      </c>
      <c r="G342" s="7"/>
    </row>
    <row r="343" ht="22.5" customHeight="1">
      <c r="A343" s="7" t="s">
        <v>7227</v>
      </c>
      <c r="B343" s="7" t="s">
        <v>226</v>
      </c>
      <c r="C343" s="8" t="s">
        <v>7638</v>
      </c>
      <c r="D343" s="7" t="s">
        <v>36</v>
      </c>
      <c r="E343" s="7" t="s">
        <v>7639</v>
      </c>
      <c r="F343" s="7" t="s">
        <v>16</v>
      </c>
      <c r="G343" s="7"/>
    </row>
    <row r="344" ht="22.5" customHeight="1">
      <c r="A344" s="7" t="s">
        <v>7227</v>
      </c>
      <c r="B344" s="7" t="s">
        <v>226</v>
      </c>
      <c r="C344" s="8" t="s">
        <v>7640</v>
      </c>
      <c r="D344" s="7" t="s">
        <v>40</v>
      </c>
      <c r="E344" s="7" t="s">
        <v>7641</v>
      </c>
      <c r="F344" s="7" t="s">
        <v>16</v>
      </c>
      <c r="G344" s="7"/>
    </row>
    <row r="345" ht="22.5" customHeight="1">
      <c r="A345" s="7" t="s">
        <v>7227</v>
      </c>
      <c r="B345" s="7" t="s">
        <v>226</v>
      </c>
      <c r="C345" s="8" t="s">
        <v>7642</v>
      </c>
      <c r="D345" s="7" t="s">
        <v>38</v>
      </c>
      <c r="E345" s="7" t="s">
        <v>7643</v>
      </c>
      <c r="F345" s="7" t="s">
        <v>16</v>
      </c>
      <c r="G345" s="7"/>
    </row>
    <row r="346" ht="22.5" customHeight="1">
      <c r="A346" s="7" t="s">
        <v>7227</v>
      </c>
      <c r="B346" s="7" t="s">
        <v>226</v>
      </c>
      <c r="C346" s="8" t="s">
        <v>7644</v>
      </c>
      <c r="D346" s="7" t="s">
        <v>30</v>
      </c>
      <c r="E346" s="7" t="s">
        <v>7645</v>
      </c>
      <c r="F346" s="7" t="s">
        <v>16</v>
      </c>
      <c r="G346" s="7"/>
    </row>
    <row r="347" ht="22.5" customHeight="1">
      <c r="A347" s="7" t="s">
        <v>7227</v>
      </c>
      <c r="B347" s="7" t="s">
        <v>226</v>
      </c>
      <c r="C347" s="8" t="s">
        <v>1182</v>
      </c>
      <c r="D347" s="7" t="s">
        <v>43</v>
      </c>
      <c r="E347" s="7" t="s">
        <v>7646</v>
      </c>
      <c r="F347" s="7" t="s">
        <v>26</v>
      </c>
      <c r="G347" s="7"/>
    </row>
    <row r="348" ht="22.5" customHeight="1">
      <c r="A348" s="7" t="s">
        <v>7227</v>
      </c>
      <c r="B348" s="7" t="s">
        <v>226</v>
      </c>
      <c r="C348" s="8" t="s">
        <v>7647</v>
      </c>
      <c r="D348" s="7" t="s">
        <v>43</v>
      </c>
      <c r="E348" s="7" t="s">
        <v>7648</v>
      </c>
      <c r="F348" s="7" t="s">
        <v>16</v>
      </c>
      <c r="G348" s="7"/>
    </row>
    <row r="349" ht="22.5" customHeight="1">
      <c r="A349" s="7" t="s">
        <v>7227</v>
      </c>
      <c r="B349" s="7" t="s">
        <v>226</v>
      </c>
      <c r="C349" s="8" t="s">
        <v>1424</v>
      </c>
      <c r="D349" s="7" t="s">
        <v>38</v>
      </c>
      <c r="E349" s="7" t="s">
        <v>7649</v>
      </c>
      <c r="F349" s="7" t="s">
        <v>26</v>
      </c>
      <c r="G349" s="7"/>
    </row>
    <row r="350" ht="22.5" customHeight="1">
      <c r="A350" s="7" t="s">
        <v>7227</v>
      </c>
      <c r="B350" s="7" t="s">
        <v>226</v>
      </c>
      <c r="C350" s="8" t="s">
        <v>1424</v>
      </c>
      <c r="D350" s="7" t="s">
        <v>43</v>
      </c>
      <c r="E350" s="7" t="s">
        <v>7650</v>
      </c>
      <c r="F350" s="7" t="s">
        <v>26</v>
      </c>
      <c r="G350" s="7"/>
    </row>
    <row r="351" ht="22.5" customHeight="1">
      <c r="A351" s="7" t="s">
        <v>7227</v>
      </c>
      <c r="B351" s="7" t="s">
        <v>226</v>
      </c>
      <c r="C351" s="8" t="s">
        <v>7651</v>
      </c>
      <c r="D351" s="7" t="s">
        <v>36</v>
      </c>
      <c r="E351" s="7" t="s">
        <v>7652</v>
      </c>
      <c r="F351" s="7" t="s">
        <v>16</v>
      </c>
      <c r="G351" s="7"/>
    </row>
    <row r="352" ht="22.5" customHeight="1">
      <c r="A352" s="7" t="s">
        <v>7227</v>
      </c>
      <c r="B352" s="7" t="s">
        <v>226</v>
      </c>
      <c r="C352" s="8" t="s">
        <v>7653</v>
      </c>
      <c r="D352" s="7" t="s">
        <v>36</v>
      </c>
      <c r="E352" s="7" t="s">
        <v>7654</v>
      </c>
      <c r="F352" s="7" t="s">
        <v>16</v>
      </c>
      <c r="G352" s="7"/>
    </row>
    <row r="353" ht="22.5" customHeight="1">
      <c r="A353" s="7" t="s">
        <v>7227</v>
      </c>
      <c r="B353" s="7" t="s">
        <v>226</v>
      </c>
      <c r="C353" s="8" t="s">
        <v>1516</v>
      </c>
      <c r="D353" s="7" t="s">
        <v>36</v>
      </c>
      <c r="E353" s="7" t="s">
        <v>7655</v>
      </c>
      <c r="F353" s="7" t="s">
        <v>26</v>
      </c>
      <c r="G353" s="7"/>
    </row>
    <row r="354" ht="22.5" customHeight="1">
      <c r="A354" s="7" t="s">
        <v>7227</v>
      </c>
      <c r="B354" s="7" t="s">
        <v>226</v>
      </c>
      <c r="C354" s="8" t="s">
        <v>1516</v>
      </c>
      <c r="D354" s="7" t="s">
        <v>38</v>
      </c>
      <c r="E354" s="7" t="s">
        <v>7656</v>
      </c>
      <c r="F354" s="7" t="s">
        <v>26</v>
      </c>
      <c r="G354" s="7"/>
    </row>
    <row r="355" ht="22.5" customHeight="1">
      <c r="A355" s="7" t="s">
        <v>7227</v>
      </c>
      <c r="B355" s="7" t="s">
        <v>226</v>
      </c>
      <c r="C355" s="8" t="s">
        <v>1516</v>
      </c>
      <c r="D355" s="7" t="s">
        <v>40</v>
      </c>
      <c r="E355" s="7" t="s">
        <v>7657</v>
      </c>
      <c r="F355" s="7" t="s">
        <v>26</v>
      </c>
      <c r="G355" s="7"/>
    </row>
    <row r="356" ht="22.5" customHeight="1">
      <c r="A356" s="7" t="s">
        <v>7227</v>
      </c>
      <c r="B356" s="7" t="s">
        <v>226</v>
      </c>
      <c r="C356" s="8" t="s">
        <v>1516</v>
      </c>
      <c r="D356" s="7" t="s">
        <v>43</v>
      </c>
      <c r="E356" s="7" t="s">
        <v>7658</v>
      </c>
      <c r="F356" s="7" t="s">
        <v>26</v>
      </c>
      <c r="G356" s="7"/>
    </row>
    <row r="357" ht="22.5" customHeight="1">
      <c r="A357" s="7" t="s">
        <v>7227</v>
      </c>
      <c r="B357" s="7" t="s">
        <v>226</v>
      </c>
      <c r="C357" s="8" t="s">
        <v>7659</v>
      </c>
      <c r="D357" s="7" t="s">
        <v>38</v>
      </c>
      <c r="E357" s="7" t="s">
        <v>7660</v>
      </c>
      <c r="F357" s="7" t="s">
        <v>16</v>
      </c>
      <c r="G357" s="7"/>
    </row>
    <row r="358" ht="22.5" customHeight="1">
      <c r="A358" s="7" t="s">
        <v>7227</v>
      </c>
      <c r="B358" s="7" t="s">
        <v>226</v>
      </c>
      <c r="C358" s="8" t="s">
        <v>7661</v>
      </c>
      <c r="D358" s="7" t="s">
        <v>30</v>
      </c>
      <c r="E358" s="7" t="s">
        <v>7662</v>
      </c>
      <c r="F358" s="7" t="s">
        <v>16</v>
      </c>
      <c r="G358" s="7"/>
    </row>
    <row r="359" ht="22.5" customHeight="1">
      <c r="A359" s="7" t="s">
        <v>7227</v>
      </c>
      <c r="B359" s="7" t="s">
        <v>226</v>
      </c>
      <c r="C359" s="8" t="s">
        <v>1719</v>
      </c>
      <c r="D359" s="7" t="s">
        <v>36</v>
      </c>
      <c r="E359" s="7" t="s">
        <v>7663</v>
      </c>
      <c r="F359" s="7" t="s">
        <v>26</v>
      </c>
      <c r="G359" s="7"/>
    </row>
    <row r="360" ht="22.5" customHeight="1">
      <c r="A360" s="7" t="s">
        <v>7227</v>
      </c>
      <c r="B360" s="7" t="s">
        <v>226</v>
      </c>
      <c r="C360" s="8" t="s">
        <v>1719</v>
      </c>
      <c r="D360" s="7" t="s">
        <v>40</v>
      </c>
      <c r="E360" s="7" t="s">
        <v>7664</v>
      </c>
      <c r="F360" s="7" t="s">
        <v>26</v>
      </c>
      <c r="G360" s="7"/>
    </row>
    <row r="361" ht="22.5" customHeight="1">
      <c r="A361" s="7" t="s">
        <v>7227</v>
      </c>
      <c r="B361" s="7" t="s">
        <v>226</v>
      </c>
      <c r="C361" s="8" t="s">
        <v>1719</v>
      </c>
      <c r="D361" s="7" t="s">
        <v>43</v>
      </c>
      <c r="E361" s="7" t="s">
        <v>7665</v>
      </c>
      <c r="F361" s="7" t="s">
        <v>26</v>
      </c>
      <c r="G361" s="7"/>
    </row>
    <row r="362" ht="22.5" customHeight="1">
      <c r="A362" s="7" t="s">
        <v>7579</v>
      </c>
      <c r="B362" s="7" t="s">
        <v>3827</v>
      </c>
      <c r="C362" s="8" t="s">
        <v>7666</v>
      </c>
      <c r="D362" s="7" t="s">
        <v>40</v>
      </c>
      <c r="E362" s="7" t="s">
        <v>7667</v>
      </c>
      <c r="F362" s="7" t="s">
        <v>16</v>
      </c>
      <c r="G362" s="7"/>
    </row>
    <row r="363" ht="22.5" customHeight="1">
      <c r="A363" s="7" t="s">
        <v>7579</v>
      </c>
      <c r="B363" s="7" t="s">
        <v>3827</v>
      </c>
      <c r="C363" s="8" t="s">
        <v>4485</v>
      </c>
      <c r="D363" s="7" t="s">
        <v>36</v>
      </c>
      <c r="E363" s="7" t="s">
        <v>7668</v>
      </c>
      <c r="F363" s="7" t="s">
        <v>16</v>
      </c>
      <c r="G363" s="7"/>
    </row>
    <row r="364" ht="22.5" customHeight="1">
      <c r="A364" s="7" t="s">
        <v>7579</v>
      </c>
      <c r="B364" s="7" t="s">
        <v>3827</v>
      </c>
      <c r="C364" s="8" t="s">
        <v>4570</v>
      </c>
      <c r="D364" s="7" t="s">
        <v>36</v>
      </c>
      <c r="E364" s="7" t="s">
        <v>7669</v>
      </c>
      <c r="F364" s="7" t="s">
        <v>16</v>
      </c>
      <c r="G364" s="7"/>
    </row>
    <row r="365" ht="22.5" customHeight="1">
      <c r="A365" s="7" t="s">
        <v>7579</v>
      </c>
      <c r="B365" s="7" t="s">
        <v>3827</v>
      </c>
      <c r="C365" s="8" t="s">
        <v>4682</v>
      </c>
      <c r="D365" s="7" t="s">
        <v>43</v>
      </c>
      <c r="E365" s="7" t="s">
        <v>7670</v>
      </c>
      <c r="F365" s="7" t="s">
        <v>16</v>
      </c>
      <c r="G365" s="7"/>
    </row>
    <row r="366" ht="22.5" customHeight="1">
      <c r="A366" s="7" t="s">
        <v>7579</v>
      </c>
      <c r="B366" s="7" t="s">
        <v>3827</v>
      </c>
      <c r="C366" s="8" t="s">
        <v>4693</v>
      </c>
      <c r="D366" s="7" t="s">
        <v>36</v>
      </c>
      <c r="E366" s="7" t="s">
        <v>7671</v>
      </c>
      <c r="F366" s="7" t="s">
        <v>16</v>
      </c>
      <c r="G366" s="7"/>
    </row>
    <row r="367" ht="22.5" customHeight="1">
      <c r="A367" s="7" t="s">
        <v>7579</v>
      </c>
      <c r="B367" s="7" t="s">
        <v>3827</v>
      </c>
      <c r="C367" s="8" t="s">
        <v>7672</v>
      </c>
      <c r="D367" s="7" t="s">
        <v>40</v>
      </c>
      <c r="E367" s="7" t="s">
        <v>7673</v>
      </c>
      <c r="F367" s="7" t="s">
        <v>16</v>
      </c>
      <c r="G367" s="7"/>
    </row>
    <row r="368" ht="22.5" customHeight="1">
      <c r="A368" s="7" t="s">
        <v>7579</v>
      </c>
      <c r="B368" s="7" t="s">
        <v>3827</v>
      </c>
      <c r="C368" s="8" t="s">
        <v>5407</v>
      </c>
      <c r="D368" s="7" t="s">
        <v>40</v>
      </c>
      <c r="E368" s="7" t="s">
        <v>7674</v>
      </c>
      <c r="F368" s="7" t="s">
        <v>16</v>
      </c>
      <c r="G368" s="7"/>
    </row>
    <row r="369" ht="22.5" customHeight="1">
      <c r="A369" s="7" t="s">
        <v>7579</v>
      </c>
      <c r="B369" s="7" t="s">
        <v>3827</v>
      </c>
      <c r="C369" s="8" t="s">
        <v>5641</v>
      </c>
      <c r="D369" s="7" t="s">
        <v>43</v>
      </c>
      <c r="E369" s="7" t="s">
        <v>7675</v>
      </c>
      <c r="F369" s="7" t="s">
        <v>16</v>
      </c>
      <c r="G369" s="7"/>
    </row>
    <row r="370" ht="22.5" customHeight="1">
      <c r="A370" s="7" t="s">
        <v>7579</v>
      </c>
      <c r="B370" s="7" t="s">
        <v>3827</v>
      </c>
      <c r="C370" s="8" t="s">
        <v>6323</v>
      </c>
      <c r="D370" s="7" t="s">
        <v>43</v>
      </c>
      <c r="E370" s="7" t="s">
        <v>7676</v>
      </c>
      <c r="F370" s="7" t="s">
        <v>16</v>
      </c>
      <c r="G370" s="7"/>
    </row>
    <row r="371" ht="22.5" customHeight="1">
      <c r="A371" s="7" t="s">
        <v>7579</v>
      </c>
      <c r="B371" s="7" t="s">
        <v>3827</v>
      </c>
      <c r="C371" s="8" t="s">
        <v>6506</v>
      </c>
      <c r="D371" s="7" t="s">
        <v>38</v>
      </c>
      <c r="E371" s="7" t="s">
        <v>7677</v>
      </c>
      <c r="F371" s="7" t="s">
        <v>16</v>
      </c>
      <c r="G371" s="7"/>
    </row>
    <row r="372" ht="22.5" customHeight="1">
      <c r="A372" s="7" t="s">
        <v>7579</v>
      </c>
      <c r="B372" s="7" t="s">
        <v>3827</v>
      </c>
      <c r="C372" s="8" t="s">
        <v>6584</v>
      </c>
      <c r="D372" s="7" t="s">
        <v>40</v>
      </c>
      <c r="E372" s="7" t="s">
        <v>7678</v>
      </c>
      <c r="F372" s="7" t="s">
        <v>16</v>
      </c>
      <c r="G372" s="7"/>
    </row>
    <row r="373" ht="22.5" customHeight="1">
      <c r="A373" s="7" t="s">
        <v>7579</v>
      </c>
      <c r="B373" s="7" t="s">
        <v>3827</v>
      </c>
      <c r="C373" s="8" t="s">
        <v>6724</v>
      </c>
      <c r="D373" s="7" t="s">
        <v>38</v>
      </c>
      <c r="E373" s="7" t="s">
        <v>7679</v>
      </c>
      <c r="F373" s="7" t="s">
        <v>16</v>
      </c>
      <c r="G373" s="7"/>
    </row>
    <row r="374" ht="22.5" customHeight="1">
      <c r="A374" s="7" t="s">
        <v>7579</v>
      </c>
      <c r="B374" s="7" t="s">
        <v>3827</v>
      </c>
      <c r="C374" s="8" t="s">
        <v>6916</v>
      </c>
      <c r="D374" s="7" t="s">
        <v>38</v>
      </c>
      <c r="E374" s="7" t="s">
        <v>7680</v>
      </c>
      <c r="F374" s="7" t="s">
        <v>16</v>
      </c>
      <c r="G374" s="7"/>
    </row>
    <row r="375" ht="22.5" customHeight="1">
      <c r="A375" s="7" t="s">
        <v>7227</v>
      </c>
      <c r="B375" s="7" t="s">
        <v>48</v>
      </c>
      <c r="C375" s="8" t="s">
        <v>58</v>
      </c>
      <c r="D375" s="7" t="s">
        <v>43</v>
      </c>
      <c r="E375" s="7" t="s">
        <v>7681</v>
      </c>
      <c r="F375" s="7" t="s">
        <v>16</v>
      </c>
      <c r="G375" s="7"/>
    </row>
    <row r="376" ht="22.5" customHeight="1">
      <c r="A376" s="7" t="s">
        <v>7227</v>
      </c>
      <c r="B376" s="7" t="s">
        <v>48</v>
      </c>
      <c r="C376" s="8" t="s">
        <v>64</v>
      </c>
      <c r="D376" s="7" t="s">
        <v>43</v>
      </c>
      <c r="E376" s="7" t="s">
        <v>7682</v>
      </c>
      <c r="F376" s="7" t="s">
        <v>16</v>
      </c>
      <c r="G376" s="7"/>
    </row>
    <row r="377" ht="22.5" customHeight="1">
      <c r="A377" s="7" t="s">
        <v>7227</v>
      </c>
      <c r="B377" s="7" t="s">
        <v>48</v>
      </c>
      <c r="C377" s="8" t="s">
        <v>72</v>
      </c>
      <c r="D377" s="7" t="s">
        <v>40</v>
      </c>
      <c r="E377" s="7" t="s">
        <v>7683</v>
      </c>
      <c r="F377" s="7" t="s">
        <v>16</v>
      </c>
      <c r="G377" s="7"/>
    </row>
    <row r="378" ht="22.5" customHeight="1">
      <c r="A378" s="7" t="s">
        <v>7227</v>
      </c>
      <c r="B378" s="7" t="s">
        <v>48</v>
      </c>
      <c r="C378" s="8" t="s">
        <v>72</v>
      </c>
      <c r="D378" s="7" t="s">
        <v>43</v>
      </c>
      <c r="E378" s="7" t="s">
        <v>7684</v>
      </c>
      <c r="F378" s="7" t="s">
        <v>16</v>
      </c>
      <c r="G378" s="7"/>
    </row>
    <row r="379" ht="22.5" customHeight="1">
      <c r="A379" s="7" t="s">
        <v>7227</v>
      </c>
      <c r="B379" s="7" t="s">
        <v>48</v>
      </c>
      <c r="C379" s="8" t="s">
        <v>94</v>
      </c>
      <c r="D379" s="7" t="s">
        <v>43</v>
      </c>
      <c r="E379" s="7" t="s">
        <v>7685</v>
      </c>
      <c r="F379" s="7" t="s">
        <v>16</v>
      </c>
      <c r="G379" s="7"/>
    </row>
    <row r="380" ht="22.5" customHeight="1">
      <c r="A380" s="7" t="s">
        <v>7227</v>
      </c>
      <c r="B380" s="7" t="s">
        <v>48</v>
      </c>
      <c r="C380" s="8" t="s">
        <v>164</v>
      </c>
      <c r="D380" s="7" t="s">
        <v>40</v>
      </c>
      <c r="E380" s="7" t="s">
        <v>7686</v>
      </c>
      <c r="F380" s="7" t="s">
        <v>16</v>
      </c>
      <c r="G380" s="7"/>
    </row>
    <row r="381" ht="22.5" customHeight="1">
      <c r="A381" s="7" t="s">
        <v>7227</v>
      </c>
      <c r="B381" s="7" t="s">
        <v>48</v>
      </c>
      <c r="C381" s="8" t="s">
        <v>164</v>
      </c>
      <c r="D381" s="7" t="s">
        <v>43</v>
      </c>
      <c r="E381" s="7" t="s">
        <v>7687</v>
      </c>
      <c r="F381" s="7" t="s">
        <v>16</v>
      </c>
      <c r="G381" s="7"/>
    </row>
    <row r="382" ht="22.5" customHeight="1">
      <c r="A382" s="7" t="s">
        <v>7227</v>
      </c>
      <c r="B382" s="7" t="s">
        <v>48</v>
      </c>
      <c r="C382" s="8" t="s">
        <v>179</v>
      </c>
      <c r="D382" s="7" t="s">
        <v>38</v>
      </c>
      <c r="E382" s="7" t="s">
        <v>7688</v>
      </c>
      <c r="F382" s="7" t="s">
        <v>16</v>
      </c>
      <c r="G382" s="7"/>
    </row>
    <row r="383" ht="22.5" customHeight="1">
      <c r="A383" s="7" t="s">
        <v>7227</v>
      </c>
      <c r="B383" s="7" t="s">
        <v>48</v>
      </c>
      <c r="C383" s="8" t="s">
        <v>179</v>
      </c>
      <c r="D383" s="7" t="s">
        <v>40</v>
      </c>
      <c r="E383" s="7" t="s">
        <v>7689</v>
      </c>
      <c r="F383" s="7" t="s">
        <v>16</v>
      </c>
      <c r="G383" s="7"/>
    </row>
    <row r="384" ht="22.5" customHeight="1">
      <c r="A384" s="7" t="s">
        <v>7227</v>
      </c>
      <c r="B384" s="7" t="s">
        <v>48</v>
      </c>
      <c r="C384" s="8" t="s">
        <v>179</v>
      </c>
      <c r="D384" s="7" t="s">
        <v>43</v>
      </c>
      <c r="E384" s="7" t="s">
        <v>7690</v>
      </c>
      <c r="F384" s="7" t="s">
        <v>16</v>
      </c>
      <c r="G384" s="7"/>
    </row>
    <row r="385" ht="22.5" customHeight="1">
      <c r="A385" s="7" t="s">
        <v>7227</v>
      </c>
      <c r="B385" s="7" t="s">
        <v>48</v>
      </c>
      <c r="C385" s="8" t="s">
        <v>221</v>
      </c>
      <c r="D385" s="7" t="s">
        <v>40</v>
      </c>
      <c r="E385" s="7" t="s">
        <v>7691</v>
      </c>
      <c r="F385" s="7" t="s">
        <v>16</v>
      </c>
      <c r="G385" s="7"/>
    </row>
    <row r="386" ht="22.5" customHeight="1">
      <c r="A386" s="7" t="s">
        <v>7227</v>
      </c>
      <c r="B386" s="7" t="s">
        <v>48</v>
      </c>
      <c r="C386" s="8" t="s">
        <v>221</v>
      </c>
      <c r="D386" s="7" t="s">
        <v>43</v>
      </c>
      <c r="E386" s="7" t="s">
        <v>7692</v>
      </c>
      <c r="F386" s="7" t="s">
        <v>16</v>
      </c>
      <c r="G386" s="7"/>
    </row>
    <row r="387" ht="22.5" customHeight="1">
      <c r="A387" s="7" t="s">
        <v>7227</v>
      </c>
      <c r="B387" s="7" t="s">
        <v>48</v>
      </c>
      <c r="C387" s="8" t="s">
        <v>273</v>
      </c>
      <c r="D387" s="7" t="s">
        <v>40</v>
      </c>
      <c r="E387" s="7" t="s">
        <v>7693</v>
      </c>
      <c r="F387" s="7" t="s">
        <v>16</v>
      </c>
      <c r="G387" s="7"/>
    </row>
    <row r="388" ht="22.5" customHeight="1">
      <c r="A388" s="7" t="s">
        <v>7227</v>
      </c>
      <c r="B388" s="7" t="s">
        <v>48</v>
      </c>
      <c r="C388" s="8" t="s">
        <v>273</v>
      </c>
      <c r="D388" s="7" t="s">
        <v>43</v>
      </c>
      <c r="E388" s="7" t="s">
        <v>7694</v>
      </c>
      <c r="F388" s="7" t="s">
        <v>16</v>
      </c>
      <c r="G388" s="7"/>
    </row>
    <row r="389" ht="22.5" customHeight="1">
      <c r="A389" s="7" t="s">
        <v>7227</v>
      </c>
      <c r="B389" s="7" t="s">
        <v>48</v>
      </c>
      <c r="C389" s="8" t="s">
        <v>280</v>
      </c>
      <c r="D389" s="7" t="s">
        <v>40</v>
      </c>
      <c r="E389" s="7" t="s">
        <v>7695</v>
      </c>
      <c r="F389" s="7" t="s">
        <v>16</v>
      </c>
      <c r="G389" s="7"/>
    </row>
    <row r="390" ht="22.5" customHeight="1">
      <c r="A390" s="7" t="s">
        <v>7227</v>
      </c>
      <c r="B390" s="7" t="s">
        <v>48</v>
      </c>
      <c r="C390" s="8" t="s">
        <v>280</v>
      </c>
      <c r="D390" s="7" t="s">
        <v>43</v>
      </c>
      <c r="E390" s="7" t="s">
        <v>7696</v>
      </c>
      <c r="F390" s="7" t="s">
        <v>16</v>
      </c>
      <c r="G390" s="7"/>
    </row>
    <row r="391" ht="22.5" customHeight="1">
      <c r="A391" s="7" t="s">
        <v>7227</v>
      </c>
      <c r="B391" s="7" t="s">
        <v>48</v>
      </c>
      <c r="C391" s="8" t="s">
        <v>290</v>
      </c>
      <c r="D391" s="7" t="s">
        <v>40</v>
      </c>
      <c r="E391" s="7" t="s">
        <v>7697</v>
      </c>
      <c r="F391" s="7" t="s">
        <v>16</v>
      </c>
      <c r="G391" s="7"/>
    </row>
    <row r="392" ht="22.5" customHeight="1">
      <c r="A392" s="7" t="s">
        <v>7227</v>
      </c>
      <c r="B392" s="7" t="s">
        <v>48</v>
      </c>
      <c r="C392" s="8" t="s">
        <v>290</v>
      </c>
      <c r="D392" s="7" t="s">
        <v>43</v>
      </c>
      <c r="E392" s="7" t="s">
        <v>7698</v>
      </c>
      <c r="F392" s="7" t="s">
        <v>16</v>
      </c>
      <c r="G392" s="7"/>
    </row>
    <row r="393" ht="22.5" customHeight="1">
      <c r="A393" s="7" t="s">
        <v>7227</v>
      </c>
      <c r="B393" s="7" t="s">
        <v>48</v>
      </c>
      <c r="C393" s="8" t="s">
        <v>297</v>
      </c>
      <c r="D393" s="7" t="s">
        <v>43</v>
      </c>
      <c r="E393" s="7" t="s">
        <v>7699</v>
      </c>
      <c r="F393" s="7" t="s">
        <v>16</v>
      </c>
      <c r="G393" s="7"/>
    </row>
    <row r="394" ht="22.5" customHeight="1">
      <c r="A394" s="7" t="s">
        <v>7227</v>
      </c>
      <c r="B394" s="7" t="s">
        <v>48</v>
      </c>
      <c r="C394" s="8" t="s">
        <v>457</v>
      </c>
      <c r="D394" s="7" t="s">
        <v>40</v>
      </c>
      <c r="E394" s="7" t="s">
        <v>7700</v>
      </c>
      <c r="F394" s="7" t="s">
        <v>16</v>
      </c>
      <c r="G394" s="7"/>
    </row>
    <row r="395" ht="22.5" customHeight="1">
      <c r="A395" s="7" t="s">
        <v>7227</v>
      </c>
      <c r="B395" s="7" t="s">
        <v>48</v>
      </c>
      <c r="C395" s="8" t="s">
        <v>457</v>
      </c>
      <c r="D395" s="7" t="s">
        <v>43</v>
      </c>
      <c r="E395" s="7" t="s">
        <v>7701</v>
      </c>
      <c r="F395" s="7" t="s">
        <v>16</v>
      </c>
      <c r="G395" s="7"/>
    </row>
    <row r="396" ht="22.5" customHeight="1">
      <c r="A396" s="7" t="s">
        <v>7227</v>
      </c>
      <c r="B396" s="7" t="s">
        <v>48</v>
      </c>
      <c r="C396" s="8" t="s">
        <v>473</v>
      </c>
      <c r="D396" s="7" t="s">
        <v>40</v>
      </c>
      <c r="E396" s="7" t="s">
        <v>7702</v>
      </c>
      <c r="F396" s="7" t="s">
        <v>16</v>
      </c>
      <c r="G396" s="7"/>
    </row>
    <row r="397" ht="22.5" customHeight="1">
      <c r="A397" s="7" t="s">
        <v>7227</v>
      </c>
      <c r="B397" s="7" t="s">
        <v>48</v>
      </c>
      <c r="C397" s="8" t="s">
        <v>473</v>
      </c>
      <c r="D397" s="7" t="s">
        <v>43</v>
      </c>
      <c r="E397" s="7" t="s">
        <v>7703</v>
      </c>
      <c r="F397" s="7" t="s">
        <v>16</v>
      </c>
      <c r="G397" s="7"/>
    </row>
    <row r="398" ht="22.5" customHeight="1">
      <c r="A398" s="7" t="s">
        <v>7227</v>
      </c>
      <c r="B398" s="7" t="s">
        <v>48</v>
      </c>
      <c r="C398" s="8" t="s">
        <v>480</v>
      </c>
      <c r="D398" s="7" t="s">
        <v>40</v>
      </c>
      <c r="E398" s="7" t="s">
        <v>7704</v>
      </c>
      <c r="F398" s="7" t="s">
        <v>16</v>
      </c>
      <c r="G398" s="7"/>
    </row>
    <row r="399" ht="22.5" customHeight="1">
      <c r="A399" s="7" t="s">
        <v>7227</v>
      </c>
      <c r="B399" s="7" t="s">
        <v>48</v>
      </c>
      <c r="C399" s="8" t="s">
        <v>480</v>
      </c>
      <c r="D399" s="7" t="s">
        <v>43</v>
      </c>
      <c r="E399" s="7" t="s">
        <v>7705</v>
      </c>
      <c r="F399" s="7" t="s">
        <v>16</v>
      </c>
      <c r="G399" s="7"/>
    </row>
    <row r="400" ht="22.5" customHeight="1">
      <c r="A400" s="7" t="s">
        <v>7227</v>
      </c>
      <c r="B400" s="7" t="s">
        <v>48</v>
      </c>
      <c r="C400" s="8" t="s">
        <v>552</v>
      </c>
      <c r="D400" s="7" t="s">
        <v>38</v>
      </c>
      <c r="E400" s="7" t="s">
        <v>7706</v>
      </c>
      <c r="F400" s="7" t="s">
        <v>16</v>
      </c>
      <c r="G400" s="7"/>
    </row>
    <row r="401" ht="22.5" customHeight="1">
      <c r="A401" s="7" t="s">
        <v>7227</v>
      </c>
      <c r="B401" s="7" t="s">
        <v>48</v>
      </c>
      <c r="C401" s="8" t="s">
        <v>552</v>
      </c>
      <c r="D401" s="7" t="s">
        <v>40</v>
      </c>
      <c r="E401" s="7" t="s">
        <v>7707</v>
      </c>
      <c r="F401" s="7" t="s">
        <v>16</v>
      </c>
      <c r="G401" s="7"/>
    </row>
    <row r="402" ht="22.5" customHeight="1">
      <c r="A402" s="7" t="s">
        <v>7227</v>
      </c>
      <c r="B402" s="7" t="s">
        <v>48</v>
      </c>
      <c r="C402" s="8" t="s">
        <v>552</v>
      </c>
      <c r="D402" s="7" t="s">
        <v>43</v>
      </c>
      <c r="E402" s="7" t="s">
        <v>7708</v>
      </c>
      <c r="F402" s="7" t="s">
        <v>16</v>
      </c>
      <c r="G402" s="7"/>
    </row>
    <row r="403" ht="22.5" customHeight="1">
      <c r="A403" s="7" t="s">
        <v>7227</v>
      </c>
      <c r="B403" s="7" t="s">
        <v>48</v>
      </c>
      <c r="C403" s="8" t="s">
        <v>637</v>
      </c>
      <c r="D403" s="7" t="s">
        <v>40</v>
      </c>
      <c r="E403" s="7" t="s">
        <v>7709</v>
      </c>
      <c r="F403" s="7" t="s">
        <v>16</v>
      </c>
      <c r="G403" s="7"/>
    </row>
    <row r="404" ht="22.5" customHeight="1">
      <c r="A404" s="7" t="s">
        <v>7227</v>
      </c>
      <c r="B404" s="7" t="s">
        <v>48</v>
      </c>
      <c r="C404" s="8" t="s">
        <v>637</v>
      </c>
      <c r="D404" s="7" t="s">
        <v>43</v>
      </c>
      <c r="E404" s="7" t="s">
        <v>7710</v>
      </c>
      <c r="F404" s="7" t="s">
        <v>16</v>
      </c>
      <c r="G404" s="7"/>
    </row>
    <row r="405" ht="22.5" customHeight="1">
      <c r="A405" s="7" t="s">
        <v>7227</v>
      </c>
      <c r="B405" s="7" t="s">
        <v>48</v>
      </c>
      <c r="C405" s="8" t="s">
        <v>663</v>
      </c>
      <c r="D405" s="7" t="s">
        <v>43</v>
      </c>
      <c r="E405" s="7" t="s">
        <v>7711</v>
      </c>
      <c r="F405" s="7" t="s">
        <v>16</v>
      </c>
      <c r="G405" s="7"/>
    </row>
    <row r="406" ht="22.5" customHeight="1">
      <c r="A406" s="7" t="s">
        <v>7227</v>
      </c>
      <c r="B406" s="7" t="s">
        <v>48</v>
      </c>
      <c r="C406" s="8" t="s">
        <v>667</v>
      </c>
      <c r="D406" s="7" t="s">
        <v>40</v>
      </c>
      <c r="E406" s="7" t="s">
        <v>7712</v>
      </c>
      <c r="F406" s="7" t="s">
        <v>16</v>
      </c>
      <c r="G406" s="7"/>
    </row>
    <row r="407" ht="22.5" customHeight="1">
      <c r="A407" s="7" t="s">
        <v>7227</v>
      </c>
      <c r="B407" s="7" t="s">
        <v>48</v>
      </c>
      <c r="C407" s="8" t="s">
        <v>667</v>
      </c>
      <c r="D407" s="7" t="s">
        <v>43</v>
      </c>
      <c r="E407" s="7" t="s">
        <v>7713</v>
      </c>
      <c r="F407" s="7" t="s">
        <v>16</v>
      </c>
      <c r="G407" s="7"/>
    </row>
    <row r="408" ht="22.5" customHeight="1">
      <c r="A408" s="7" t="s">
        <v>7227</v>
      </c>
      <c r="B408" s="7" t="s">
        <v>48</v>
      </c>
      <c r="C408" s="8" t="s">
        <v>783</v>
      </c>
      <c r="D408" s="7" t="s">
        <v>43</v>
      </c>
      <c r="E408" s="7" t="s">
        <v>7714</v>
      </c>
      <c r="F408" s="7" t="s">
        <v>16</v>
      </c>
      <c r="G408" s="7"/>
    </row>
    <row r="409" ht="22.5" customHeight="1">
      <c r="A409" s="7" t="s">
        <v>7227</v>
      </c>
      <c r="B409" s="7" t="s">
        <v>48</v>
      </c>
      <c r="C409" s="8" t="s">
        <v>884</v>
      </c>
      <c r="D409" s="7" t="s">
        <v>40</v>
      </c>
      <c r="E409" s="7" t="s">
        <v>7715</v>
      </c>
      <c r="F409" s="7" t="s">
        <v>16</v>
      </c>
      <c r="G409" s="7"/>
    </row>
    <row r="410" ht="22.5" customHeight="1">
      <c r="A410" s="7" t="s">
        <v>7227</v>
      </c>
      <c r="B410" s="7" t="s">
        <v>48</v>
      </c>
      <c r="C410" s="8" t="s">
        <v>884</v>
      </c>
      <c r="D410" s="7" t="s">
        <v>43</v>
      </c>
      <c r="E410" s="7" t="s">
        <v>7716</v>
      </c>
      <c r="F410" s="7" t="s">
        <v>16</v>
      </c>
      <c r="G410" s="7"/>
    </row>
    <row r="411" ht="22.5" customHeight="1">
      <c r="A411" s="7" t="s">
        <v>7227</v>
      </c>
      <c r="B411" s="7" t="s">
        <v>48</v>
      </c>
      <c r="C411" s="8" t="s">
        <v>926</v>
      </c>
      <c r="D411" s="7" t="s">
        <v>40</v>
      </c>
      <c r="E411" s="7" t="s">
        <v>7717</v>
      </c>
      <c r="F411" s="7" t="s">
        <v>16</v>
      </c>
      <c r="G411" s="7"/>
    </row>
    <row r="412" ht="22.5" customHeight="1">
      <c r="A412" s="7" t="s">
        <v>7227</v>
      </c>
      <c r="B412" s="7" t="s">
        <v>48</v>
      </c>
      <c r="C412" s="8" t="s">
        <v>926</v>
      </c>
      <c r="D412" s="7" t="s">
        <v>43</v>
      </c>
      <c r="E412" s="7" t="s">
        <v>7718</v>
      </c>
      <c r="F412" s="7" t="s">
        <v>16</v>
      </c>
      <c r="G412" s="7"/>
    </row>
    <row r="413" ht="22.5" customHeight="1">
      <c r="A413" s="7" t="s">
        <v>7227</v>
      </c>
      <c r="B413" s="7" t="s">
        <v>48</v>
      </c>
      <c r="C413" s="8" t="s">
        <v>956</v>
      </c>
      <c r="D413" s="7" t="s">
        <v>40</v>
      </c>
      <c r="E413" s="7" t="s">
        <v>7719</v>
      </c>
      <c r="F413" s="7" t="s">
        <v>16</v>
      </c>
      <c r="G413" s="7"/>
    </row>
    <row r="414" ht="22.5" customHeight="1">
      <c r="A414" s="7" t="s">
        <v>7227</v>
      </c>
      <c r="B414" s="7" t="s">
        <v>48</v>
      </c>
      <c r="C414" s="8" t="s">
        <v>956</v>
      </c>
      <c r="D414" s="7" t="s">
        <v>43</v>
      </c>
      <c r="E414" s="7" t="s">
        <v>7720</v>
      </c>
      <c r="F414" s="7" t="s">
        <v>16</v>
      </c>
      <c r="G414" s="7"/>
    </row>
    <row r="415" ht="22.5" customHeight="1">
      <c r="A415" s="7" t="s">
        <v>7227</v>
      </c>
      <c r="B415" s="7" t="s">
        <v>48</v>
      </c>
      <c r="C415" s="8" t="s">
        <v>1190</v>
      </c>
      <c r="D415" s="7" t="s">
        <v>40</v>
      </c>
      <c r="E415" s="7" t="s">
        <v>7721</v>
      </c>
      <c r="F415" s="7" t="s">
        <v>16</v>
      </c>
      <c r="G415" s="7"/>
    </row>
    <row r="416" ht="22.5" customHeight="1">
      <c r="A416" s="7" t="s">
        <v>7227</v>
      </c>
      <c r="B416" s="7" t="s">
        <v>48</v>
      </c>
      <c r="C416" s="8" t="s">
        <v>1190</v>
      </c>
      <c r="D416" s="7" t="s">
        <v>43</v>
      </c>
      <c r="E416" s="7" t="s">
        <v>7722</v>
      </c>
      <c r="F416" s="7" t="s">
        <v>16</v>
      </c>
      <c r="G416" s="7"/>
    </row>
    <row r="417" ht="22.5" customHeight="1">
      <c r="A417" s="7" t="s">
        <v>7227</v>
      </c>
      <c r="B417" s="7" t="s">
        <v>48</v>
      </c>
      <c r="C417" s="8" t="s">
        <v>1199</v>
      </c>
      <c r="D417" s="7" t="s">
        <v>40</v>
      </c>
      <c r="E417" s="7" t="s">
        <v>7723</v>
      </c>
      <c r="F417" s="7" t="s">
        <v>16</v>
      </c>
      <c r="G417" s="7"/>
    </row>
    <row r="418" ht="22.5" customHeight="1">
      <c r="A418" s="7" t="s">
        <v>7227</v>
      </c>
      <c r="B418" s="7" t="s">
        <v>48</v>
      </c>
      <c r="C418" s="8" t="s">
        <v>1199</v>
      </c>
      <c r="D418" s="7" t="s">
        <v>43</v>
      </c>
      <c r="E418" s="7" t="s">
        <v>7724</v>
      </c>
      <c r="F418" s="7" t="s">
        <v>16</v>
      </c>
      <c r="G418" s="7"/>
    </row>
    <row r="419" ht="22.5" customHeight="1">
      <c r="A419" s="7" t="s">
        <v>7227</v>
      </c>
      <c r="B419" s="7" t="s">
        <v>48</v>
      </c>
      <c r="C419" s="8" t="s">
        <v>1290</v>
      </c>
      <c r="D419" s="7" t="s">
        <v>43</v>
      </c>
      <c r="E419" s="7" t="s">
        <v>7725</v>
      </c>
      <c r="F419" s="7" t="s">
        <v>16</v>
      </c>
      <c r="G419" s="7"/>
    </row>
    <row r="420" ht="22.5" customHeight="1">
      <c r="A420" s="7" t="s">
        <v>7227</v>
      </c>
      <c r="B420" s="7" t="s">
        <v>48</v>
      </c>
      <c r="C420" s="8" t="s">
        <v>1335</v>
      </c>
      <c r="D420" s="7" t="s">
        <v>38</v>
      </c>
      <c r="E420" s="7" t="s">
        <v>7726</v>
      </c>
      <c r="F420" s="7" t="s">
        <v>16</v>
      </c>
      <c r="G420" s="7"/>
    </row>
    <row r="421" ht="22.5" customHeight="1">
      <c r="A421" s="7" t="s">
        <v>7227</v>
      </c>
      <c r="B421" s="7" t="s">
        <v>48</v>
      </c>
      <c r="C421" s="8" t="s">
        <v>1335</v>
      </c>
      <c r="D421" s="7" t="s">
        <v>40</v>
      </c>
      <c r="E421" s="7" t="s">
        <v>7727</v>
      </c>
      <c r="F421" s="7" t="s">
        <v>16</v>
      </c>
      <c r="G421" s="7"/>
    </row>
    <row r="422" ht="22.5" customHeight="1">
      <c r="A422" s="7" t="s">
        <v>7227</v>
      </c>
      <c r="B422" s="7" t="s">
        <v>48</v>
      </c>
      <c r="C422" s="8" t="s">
        <v>1335</v>
      </c>
      <c r="D422" s="7" t="s">
        <v>43</v>
      </c>
      <c r="E422" s="7" t="s">
        <v>7728</v>
      </c>
      <c r="F422" s="7" t="s">
        <v>16</v>
      </c>
      <c r="G422" s="7"/>
    </row>
    <row r="423" ht="22.5" customHeight="1">
      <c r="A423" s="7" t="s">
        <v>7227</v>
      </c>
      <c r="B423" s="7" t="s">
        <v>48</v>
      </c>
      <c r="C423" s="8" t="s">
        <v>1359</v>
      </c>
      <c r="D423" s="7" t="s">
        <v>40</v>
      </c>
      <c r="E423" s="7" t="s">
        <v>7729</v>
      </c>
      <c r="F423" s="7" t="s">
        <v>16</v>
      </c>
      <c r="G423" s="7"/>
    </row>
    <row r="424" ht="22.5" customHeight="1">
      <c r="A424" s="7" t="s">
        <v>7227</v>
      </c>
      <c r="B424" s="7" t="s">
        <v>48</v>
      </c>
      <c r="C424" s="8" t="s">
        <v>1359</v>
      </c>
      <c r="D424" s="7" t="s">
        <v>43</v>
      </c>
      <c r="E424" s="7" t="s">
        <v>7730</v>
      </c>
      <c r="F424" s="7" t="s">
        <v>16</v>
      </c>
      <c r="G424" s="7"/>
    </row>
    <row r="425" ht="22.5" customHeight="1">
      <c r="A425" s="7" t="s">
        <v>7227</v>
      </c>
      <c r="B425" s="7" t="s">
        <v>48</v>
      </c>
      <c r="C425" s="8" t="s">
        <v>1372</v>
      </c>
      <c r="D425" s="7" t="s">
        <v>40</v>
      </c>
      <c r="E425" s="7" t="s">
        <v>7731</v>
      </c>
      <c r="F425" s="7" t="s">
        <v>16</v>
      </c>
      <c r="G425" s="7"/>
    </row>
    <row r="426" ht="22.5" customHeight="1">
      <c r="A426" s="7" t="s">
        <v>7227</v>
      </c>
      <c r="B426" s="7" t="s">
        <v>48</v>
      </c>
      <c r="C426" s="8" t="s">
        <v>1372</v>
      </c>
      <c r="D426" s="7" t="s">
        <v>43</v>
      </c>
      <c r="E426" s="7" t="s">
        <v>7732</v>
      </c>
      <c r="F426" s="7" t="s">
        <v>16</v>
      </c>
      <c r="G426" s="7"/>
    </row>
    <row r="427" ht="22.5" customHeight="1">
      <c r="A427" s="7" t="s">
        <v>7227</v>
      </c>
      <c r="B427" s="7" t="s">
        <v>48</v>
      </c>
      <c r="C427" s="8" t="s">
        <v>7733</v>
      </c>
      <c r="D427" s="7" t="s">
        <v>38</v>
      </c>
      <c r="E427" s="7" t="s">
        <v>7734</v>
      </c>
      <c r="F427" s="7" t="s">
        <v>16</v>
      </c>
      <c r="G427" s="7"/>
    </row>
    <row r="428" ht="22.5" customHeight="1">
      <c r="A428" s="7" t="s">
        <v>7227</v>
      </c>
      <c r="B428" s="7" t="s">
        <v>48</v>
      </c>
      <c r="C428" s="8" t="s">
        <v>7733</v>
      </c>
      <c r="D428" s="7" t="s">
        <v>40</v>
      </c>
      <c r="E428" s="7" t="s">
        <v>7735</v>
      </c>
      <c r="F428" s="7" t="s">
        <v>16</v>
      </c>
      <c r="G428" s="7"/>
    </row>
    <row r="429" ht="22.5" customHeight="1">
      <c r="A429" s="7" t="s">
        <v>7227</v>
      </c>
      <c r="B429" s="7" t="s">
        <v>48</v>
      </c>
      <c r="C429" s="8" t="s">
        <v>7733</v>
      </c>
      <c r="D429" s="7" t="s">
        <v>43</v>
      </c>
      <c r="E429" s="7" t="s">
        <v>7736</v>
      </c>
      <c r="F429" s="7" t="s">
        <v>16</v>
      </c>
      <c r="G429" s="7"/>
    </row>
    <row r="430" ht="22.5" customHeight="1">
      <c r="A430" s="7" t="s">
        <v>7227</v>
      </c>
      <c r="B430" s="7" t="s">
        <v>48</v>
      </c>
      <c r="C430" s="8" t="s">
        <v>1469</v>
      </c>
      <c r="D430" s="7" t="s">
        <v>40</v>
      </c>
      <c r="E430" s="7" t="s">
        <v>7737</v>
      </c>
      <c r="F430" s="7" t="s">
        <v>16</v>
      </c>
      <c r="G430" s="7"/>
    </row>
    <row r="431" ht="22.5" customHeight="1">
      <c r="A431" s="7" t="s">
        <v>7227</v>
      </c>
      <c r="B431" s="7" t="s">
        <v>48</v>
      </c>
      <c r="C431" s="8" t="s">
        <v>1469</v>
      </c>
      <c r="D431" s="7" t="s">
        <v>43</v>
      </c>
      <c r="E431" s="7" t="s">
        <v>7738</v>
      </c>
      <c r="F431" s="7" t="s">
        <v>16</v>
      </c>
      <c r="G431" s="7"/>
    </row>
    <row r="432" ht="22.5" customHeight="1">
      <c r="A432" s="7" t="s">
        <v>7227</v>
      </c>
      <c r="B432" s="7" t="s">
        <v>48</v>
      </c>
      <c r="C432" s="8" t="s">
        <v>1474</v>
      </c>
      <c r="D432" s="7" t="s">
        <v>40</v>
      </c>
      <c r="E432" s="7" t="s">
        <v>7739</v>
      </c>
      <c r="F432" s="7" t="s">
        <v>16</v>
      </c>
      <c r="G432" s="7"/>
    </row>
    <row r="433" ht="22.5" customHeight="1">
      <c r="A433" s="7" t="s">
        <v>7227</v>
      </c>
      <c r="B433" s="7" t="s">
        <v>48</v>
      </c>
      <c r="C433" s="8" t="s">
        <v>1474</v>
      </c>
      <c r="D433" s="7" t="s">
        <v>43</v>
      </c>
      <c r="E433" s="7" t="s">
        <v>7740</v>
      </c>
      <c r="F433" s="7" t="s">
        <v>16</v>
      </c>
      <c r="G433" s="7"/>
    </row>
    <row r="434" ht="22.5" customHeight="1">
      <c r="A434" s="7" t="s">
        <v>7227</v>
      </c>
      <c r="B434" s="7" t="s">
        <v>48</v>
      </c>
      <c r="C434" s="8" t="s">
        <v>1503</v>
      </c>
      <c r="D434" s="7" t="s">
        <v>40</v>
      </c>
      <c r="E434" s="7" t="s">
        <v>7741</v>
      </c>
      <c r="F434" s="7" t="s">
        <v>16</v>
      </c>
      <c r="G434" s="7"/>
    </row>
    <row r="435" ht="22.5" customHeight="1">
      <c r="A435" s="7" t="s">
        <v>7227</v>
      </c>
      <c r="B435" s="7" t="s">
        <v>48</v>
      </c>
      <c r="C435" s="8" t="s">
        <v>1503</v>
      </c>
      <c r="D435" s="7" t="s">
        <v>43</v>
      </c>
      <c r="E435" s="7" t="s">
        <v>7742</v>
      </c>
      <c r="F435" s="7" t="s">
        <v>16</v>
      </c>
      <c r="G435" s="7"/>
    </row>
    <row r="436" ht="22.5" customHeight="1">
      <c r="A436" s="7" t="s">
        <v>7227</v>
      </c>
      <c r="B436" s="7" t="s">
        <v>48</v>
      </c>
      <c r="C436" s="8" t="s">
        <v>1548</v>
      </c>
      <c r="D436" s="7" t="s">
        <v>40</v>
      </c>
      <c r="E436" s="7" t="s">
        <v>7743</v>
      </c>
      <c r="F436" s="7" t="s">
        <v>16</v>
      </c>
      <c r="G436" s="7"/>
    </row>
    <row r="437" ht="22.5" customHeight="1">
      <c r="A437" s="7" t="s">
        <v>7227</v>
      </c>
      <c r="B437" s="7" t="s">
        <v>48</v>
      </c>
      <c r="C437" s="8" t="s">
        <v>1548</v>
      </c>
      <c r="D437" s="7" t="s">
        <v>43</v>
      </c>
      <c r="E437" s="7" t="s">
        <v>7744</v>
      </c>
      <c r="F437" s="7" t="s">
        <v>16</v>
      </c>
      <c r="G437" s="7"/>
    </row>
    <row r="438" ht="22.5" customHeight="1">
      <c r="A438" s="7" t="s">
        <v>7227</v>
      </c>
      <c r="B438" s="7" t="s">
        <v>48</v>
      </c>
      <c r="C438" s="8" t="s">
        <v>1585</v>
      </c>
      <c r="D438" s="7" t="s">
        <v>40</v>
      </c>
      <c r="E438" s="7" t="s">
        <v>7745</v>
      </c>
      <c r="F438" s="7" t="s">
        <v>16</v>
      </c>
      <c r="G438" s="7"/>
    </row>
    <row r="439" ht="22.5" customHeight="1">
      <c r="A439" s="7" t="s">
        <v>7227</v>
      </c>
      <c r="B439" s="7" t="s">
        <v>48</v>
      </c>
      <c r="C439" s="8" t="s">
        <v>1585</v>
      </c>
      <c r="D439" s="7" t="s">
        <v>43</v>
      </c>
      <c r="E439" s="7" t="s">
        <v>7746</v>
      </c>
      <c r="F439" s="7" t="s">
        <v>16</v>
      </c>
      <c r="G439" s="7"/>
    </row>
    <row r="440" ht="22.5" customHeight="1">
      <c r="A440" s="7" t="s">
        <v>7227</v>
      </c>
      <c r="B440" s="7" t="s">
        <v>48</v>
      </c>
      <c r="C440" s="8" t="s">
        <v>1611</v>
      </c>
      <c r="D440" s="7" t="s">
        <v>40</v>
      </c>
      <c r="E440" s="7" t="s">
        <v>7747</v>
      </c>
      <c r="F440" s="7" t="s">
        <v>16</v>
      </c>
      <c r="G440" s="7"/>
    </row>
    <row r="441" ht="22.5" customHeight="1">
      <c r="A441" s="7" t="s">
        <v>7227</v>
      </c>
      <c r="B441" s="7" t="s">
        <v>48</v>
      </c>
      <c r="C441" s="8" t="s">
        <v>1611</v>
      </c>
      <c r="D441" s="7" t="s">
        <v>43</v>
      </c>
      <c r="E441" s="7" t="s">
        <v>7748</v>
      </c>
      <c r="F441" s="7" t="s">
        <v>16</v>
      </c>
      <c r="G441" s="7"/>
    </row>
    <row r="442" ht="22.5" customHeight="1">
      <c r="A442" s="7" t="s">
        <v>7227</v>
      </c>
      <c r="B442" s="7" t="s">
        <v>48</v>
      </c>
      <c r="C442" s="8" t="s">
        <v>1621</v>
      </c>
      <c r="D442" s="7" t="s">
        <v>40</v>
      </c>
      <c r="E442" s="7" t="s">
        <v>7749</v>
      </c>
      <c r="F442" s="7" t="s">
        <v>16</v>
      </c>
      <c r="G442" s="7"/>
    </row>
    <row r="443" ht="22.5" customHeight="1">
      <c r="A443" s="7" t="s">
        <v>7227</v>
      </c>
      <c r="B443" s="7" t="s">
        <v>48</v>
      </c>
      <c r="C443" s="8" t="s">
        <v>1621</v>
      </c>
      <c r="D443" s="7" t="s">
        <v>43</v>
      </c>
      <c r="E443" s="7" t="s">
        <v>7750</v>
      </c>
      <c r="F443" s="7" t="s">
        <v>16</v>
      </c>
      <c r="G443" s="7"/>
    </row>
    <row r="444" ht="22.5" customHeight="1">
      <c r="A444" s="7" t="s">
        <v>7227</v>
      </c>
      <c r="B444" s="7" t="s">
        <v>48</v>
      </c>
      <c r="C444" s="8" t="s">
        <v>1652</v>
      </c>
      <c r="D444" s="7" t="s">
        <v>40</v>
      </c>
      <c r="E444" s="7" t="s">
        <v>7751</v>
      </c>
      <c r="F444" s="7" t="s">
        <v>16</v>
      </c>
      <c r="G444" s="7"/>
    </row>
    <row r="445" ht="22.5" customHeight="1">
      <c r="A445" s="7" t="s">
        <v>7227</v>
      </c>
      <c r="B445" s="7" t="s">
        <v>48</v>
      </c>
      <c r="C445" s="8" t="s">
        <v>1652</v>
      </c>
      <c r="D445" s="7" t="s">
        <v>43</v>
      </c>
      <c r="E445" s="7" t="s">
        <v>7752</v>
      </c>
      <c r="F445" s="7" t="s">
        <v>16</v>
      </c>
      <c r="G445" s="7"/>
    </row>
    <row r="446" ht="22.5" customHeight="1">
      <c r="A446" s="7" t="s">
        <v>7227</v>
      </c>
      <c r="B446" s="7" t="s">
        <v>48</v>
      </c>
      <c r="C446" s="8" t="s">
        <v>1710</v>
      </c>
      <c r="D446" s="7" t="s">
        <v>40</v>
      </c>
      <c r="E446" s="7" t="s">
        <v>7753</v>
      </c>
      <c r="F446" s="7" t="s">
        <v>16</v>
      </c>
      <c r="G446" s="7"/>
    </row>
    <row r="447" ht="22.5" customHeight="1">
      <c r="A447" s="7" t="s">
        <v>7227</v>
      </c>
      <c r="B447" s="7" t="s">
        <v>48</v>
      </c>
      <c r="C447" s="8" t="s">
        <v>1710</v>
      </c>
      <c r="D447" s="7" t="s">
        <v>43</v>
      </c>
      <c r="E447" s="7" t="s">
        <v>7754</v>
      </c>
      <c r="F447" s="7" t="s">
        <v>16</v>
      </c>
      <c r="G447" s="7"/>
    </row>
    <row r="448" ht="22.5" customHeight="1">
      <c r="A448" s="7" t="s">
        <v>7227</v>
      </c>
      <c r="B448" s="7" t="s">
        <v>48</v>
      </c>
      <c r="C448" s="8" t="s">
        <v>1734</v>
      </c>
      <c r="D448" s="7" t="s">
        <v>43</v>
      </c>
      <c r="E448" s="7" t="s">
        <v>7755</v>
      </c>
      <c r="F448" s="7" t="s">
        <v>16</v>
      </c>
      <c r="G448" s="7"/>
    </row>
    <row r="449" ht="22.5" customHeight="1">
      <c r="A449" s="7" t="s">
        <v>7579</v>
      </c>
      <c r="B449" s="7" t="s">
        <v>3807</v>
      </c>
      <c r="C449" s="8" t="s">
        <v>7756</v>
      </c>
      <c r="D449" s="7" t="s">
        <v>40</v>
      </c>
      <c r="E449" s="7" t="s">
        <v>7757</v>
      </c>
      <c r="F449" s="7" t="s">
        <v>16</v>
      </c>
      <c r="G449" s="7"/>
    </row>
    <row r="450" ht="22.5" customHeight="1">
      <c r="A450" s="7" t="s">
        <v>7579</v>
      </c>
      <c r="B450" s="7" t="s">
        <v>3807</v>
      </c>
      <c r="C450" s="8" t="s">
        <v>4427</v>
      </c>
      <c r="D450" s="7" t="s">
        <v>43</v>
      </c>
      <c r="E450" s="7" t="s">
        <v>7758</v>
      </c>
      <c r="F450" s="7" t="s">
        <v>16</v>
      </c>
      <c r="G450" s="7"/>
    </row>
    <row r="451" ht="22.5" customHeight="1">
      <c r="A451" s="7" t="s">
        <v>7579</v>
      </c>
      <c r="B451" s="7" t="s">
        <v>3807</v>
      </c>
      <c r="C451" s="8" t="s">
        <v>4540</v>
      </c>
      <c r="D451" s="7" t="s">
        <v>43</v>
      </c>
      <c r="E451" s="7" t="s">
        <v>7759</v>
      </c>
      <c r="F451" s="7" t="s">
        <v>16</v>
      </c>
      <c r="G451" s="7"/>
    </row>
    <row r="452" ht="22.5" customHeight="1">
      <c r="A452" s="7" t="s">
        <v>7579</v>
      </c>
      <c r="B452" s="7" t="s">
        <v>3807</v>
      </c>
      <c r="C452" s="8" t="s">
        <v>7760</v>
      </c>
      <c r="D452" s="7" t="s">
        <v>40</v>
      </c>
      <c r="E452" s="7" t="s">
        <v>7761</v>
      </c>
      <c r="F452" s="7" t="s">
        <v>16</v>
      </c>
      <c r="G452" s="7"/>
    </row>
    <row r="453" ht="22.5" customHeight="1">
      <c r="A453" s="7" t="s">
        <v>7579</v>
      </c>
      <c r="B453" s="7" t="s">
        <v>3807</v>
      </c>
      <c r="C453" s="8" t="s">
        <v>7760</v>
      </c>
      <c r="D453" s="7" t="s">
        <v>43</v>
      </c>
      <c r="E453" s="7" t="s">
        <v>7762</v>
      </c>
      <c r="F453" s="7" t="s">
        <v>16</v>
      </c>
      <c r="G453" s="7"/>
    </row>
    <row r="454" ht="22.5" customHeight="1">
      <c r="A454" s="7" t="s">
        <v>7579</v>
      </c>
      <c r="B454" s="7" t="s">
        <v>3807</v>
      </c>
      <c r="C454" s="8" t="s">
        <v>5046</v>
      </c>
      <c r="D454" s="7" t="s">
        <v>38</v>
      </c>
      <c r="E454" s="7" t="s">
        <v>7763</v>
      </c>
      <c r="F454" s="7" t="s">
        <v>26</v>
      </c>
      <c r="G454" s="7"/>
    </row>
    <row r="455" ht="22.5" customHeight="1">
      <c r="A455" s="7" t="s">
        <v>7579</v>
      </c>
      <c r="B455" s="7" t="s">
        <v>3807</v>
      </c>
      <c r="C455" s="8" t="s">
        <v>5227</v>
      </c>
      <c r="D455" s="7" t="s">
        <v>36</v>
      </c>
      <c r="E455" s="7" t="s">
        <v>7764</v>
      </c>
      <c r="F455" s="7" t="s">
        <v>16</v>
      </c>
      <c r="G455" s="7"/>
    </row>
    <row r="456" ht="22.5" customHeight="1">
      <c r="A456" s="7" t="s">
        <v>7579</v>
      </c>
      <c r="B456" s="7" t="s">
        <v>3807</v>
      </c>
      <c r="C456" s="8" t="s">
        <v>5349</v>
      </c>
      <c r="D456" s="7" t="s">
        <v>40</v>
      </c>
      <c r="E456" s="7" t="s">
        <v>7765</v>
      </c>
      <c r="F456" s="7" t="s">
        <v>16</v>
      </c>
      <c r="G456" s="7"/>
    </row>
    <row r="457" ht="22.5" customHeight="1">
      <c r="A457" s="7" t="s">
        <v>7579</v>
      </c>
      <c r="B457" s="7" t="s">
        <v>3807</v>
      </c>
      <c r="C457" s="8" t="s">
        <v>5349</v>
      </c>
      <c r="D457" s="7" t="s">
        <v>43</v>
      </c>
      <c r="E457" s="7" t="s">
        <v>7766</v>
      </c>
      <c r="F457" s="7" t="s">
        <v>16</v>
      </c>
      <c r="G457" s="7"/>
    </row>
    <row r="458" ht="22.5" customHeight="1">
      <c r="A458" s="7" t="s">
        <v>7579</v>
      </c>
      <c r="B458" s="7" t="s">
        <v>3807</v>
      </c>
      <c r="C458" s="8" t="s">
        <v>5467</v>
      </c>
      <c r="D458" s="7" t="s">
        <v>43</v>
      </c>
      <c r="E458" s="7" t="s">
        <v>7767</v>
      </c>
      <c r="F458" s="7" t="s">
        <v>16</v>
      </c>
      <c r="G458" s="7"/>
    </row>
    <row r="459" ht="22.5" customHeight="1">
      <c r="A459" s="7" t="s">
        <v>7579</v>
      </c>
      <c r="B459" s="7" t="s">
        <v>3807</v>
      </c>
      <c r="C459" s="8" t="s">
        <v>5919</v>
      </c>
      <c r="D459" s="7" t="s">
        <v>40</v>
      </c>
      <c r="E459" s="7" t="s">
        <v>7768</v>
      </c>
      <c r="F459" s="7" t="s">
        <v>16</v>
      </c>
      <c r="G459" s="7"/>
    </row>
    <row r="460" ht="22.5" customHeight="1">
      <c r="A460" s="7" t="s">
        <v>7579</v>
      </c>
      <c r="B460" s="7" t="s">
        <v>3807</v>
      </c>
      <c r="C460" s="8" t="s">
        <v>5936</v>
      </c>
      <c r="D460" s="7" t="s">
        <v>40</v>
      </c>
      <c r="E460" s="7" t="s">
        <v>7769</v>
      </c>
      <c r="F460" s="7" t="s">
        <v>16</v>
      </c>
      <c r="G460" s="7"/>
    </row>
    <row r="461" ht="22.5" customHeight="1">
      <c r="A461" s="7" t="s">
        <v>7579</v>
      </c>
      <c r="B461" s="7" t="s">
        <v>3807</v>
      </c>
      <c r="C461" s="8" t="s">
        <v>6083</v>
      </c>
      <c r="D461" s="7" t="s">
        <v>38</v>
      </c>
      <c r="E461" s="7" t="s">
        <v>7770</v>
      </c>
      <c r="F461" s="7" t="s">
        <v>16</v>
      </c>
      <c r="G461" s="7"/>
    </row>
    <row r="462" ht="22.5" customHeight="1">
      <c r="A462" s="7" t="s">
        <v>7579</v>
      </c>
      <c r="B462" s="7" t="s">
        <v>3807</v>
      </c>
      <c r="C462" s="8" t="s">
        <v>6098</v>
      </c>
      <c r="D462" s="7" t="s">
        <v>38</v>
      </c>
      <c r="E462" s="7" t="s">
        <v>7771</v>
      </c>
      <c r="F462" s="7" t="s">
        <v>16</v>
      </c>
      <c r="G462" s="7"/>
    </row>
    <row r="463" ht="22.5" customHeight="1">
      <c r="A463" s="7" t="s">
        <v>7579</v>
      </c>
      <c r="B463" s="7" t="s">
        <v>3807</v>
      </c>
      <c r="C463" s="8" t="s">
        <v>7772</v>
      </c>
      <c r="D463" s="7" t="s">
        <v>43</v>
      </c>
      <c r="E463" s="7" t="s">
        <v>7773</v>
      </c>
      <c r="F463" s="7" t="s">
        <v>16</v>
      </c>
      <c r="G463" s="7"/>
    </row>
    <row r="464" ht="22.5" customHeight="1">
      <c r="A464" s="7" t="s">
        <v>7579</v>
      </c>
      <c r="B464" s="7" t="s">
        <v>3807</v>
      </c>
      <c r="C464" s="8" t="s">
        <v>6157</v>
      </c>
      <c r="D464" s="7" t="s">
        <v>36</v>
      </c>
      <c r="E464" s="7" t="s">
        <v>7774</v>
      </c>
      <c r="F464" s="7" t="s">
        <v>16</v>
      </c>
      <c r="G464" s="7"/>
    </row>
    <row r="465" ht="22.5" customHeight="1">
      <c r="A465" s="7" t="s">
        <v>7579</v>
      </c>
      <c r="B465" s="7" t="s">
        <v>3807</v>
      </c>
      <c r="C465" s="8" t="s">
        <v>6421</v>
      </c>
      <c r="D465" s="7" t="s">
        <v>36</v>
      </c>
      <c r="E465" s="7" t="s">
        <v>7775</v>
      </c>
      <c r="F465" s="7" t="s">
        <v>16</v>
      </c>
      <c r="G465" s="7"/>
    </row>
    <row r="466" ht="22.5" customHeight="1">
      <c r="A466" s="7" t="s">
        <v>7579</v>
      </c>
      <c r="B466" s="7" t="s">
        <v>3807</v>
      </c>
      <c r="C466" s="8" t="s">
        <v>6493</v>
      </c>
      <c r="D466" s="7" t="s">
        <v>36</v>
      </c>
      <c r="E466" s="7" t="s">
        <v>7776</v>
      </c>
      <c r="F466" s="7" t="s">
        <v>16</v>
      </c>
      <c r="G466" s="7"/>
    </row>
    <row r="467" ht="22.5" customHeight="1">
      <c r="A467" s="7" t="s">
        <v>7579</v>
      </c>
      <c r="B467" s="7" t="s">
        <v>3807</v>
      </c>
      <c r="C467" s="8" t="s">
        <v>7777</v>
      </c>
      <c r="D467" s="7" t="s">
        <v>38</v>
      </c>
      <c r="E467" s="7" t="s">
        <v>7778</v>
      </c>
      <c r="F467" s="7" t="s">
        <v>16</v>
      </c>
      <c r="G467" s="7"/>
    </row>
    <row r="468" ht="22.5" customHeight="1">
      <c r="A468" s="7" t="s">
        <v>7579</v>
      </c>
      <c r="B468" s="7" t="s">
        <v>3807</v>
      </c>
      <c r="C468" s="8" t="s">
        <v>6896</v>
      </c>
      <c r="D468" s="7" t="s">
        <v>40</v>
      </c>
      <c r="E468" s="7" t="s">
        <v>7779</v>
      </c>
      <c r="F468" s="7" t="s">
        <v>16</v>
      </c>
      <c r="G468" s="7"/>
    </row>
    <row r="469" ht="22.5" customHeight="1">
      <c r="A469" s="7" t="s">
        <v>7579</v>
      </c>
      <c r="B469" s="7" t="s">
        <v>3807</v>
      </c>
      <c r="C469" s="8" t="s">
        <v>7780</v>
      </c>
      <c r="D469" s="7" t="s">
        <v>40</v>
      </c>
      <c r="E469" s="7" t="s">
        <v>7781</v>
      </c>
      <c r="F469" s="7" t="s">
        <v>16</v>
      </c>
      <c r="G469" s="7"/>
    </row>
    <row r="470" ht="22.5" customHeight="1">
      <c r="A470" s="7" t="s">
        <v>7579</v>
      </c>
      <c r="B470" s="7" t="s">
        <v>3807</v>
      </c>
      <c r="C470" s="8" t="s">
        <v>7780</v>
      </c>
      <c r="D470" s="7" t="s">
        <v>43</v>
      </c>
      <c r="E470" s="7" t="s">
        <v>7782</v>
      </c>
      <c r="F470" s="7" t="s">
        <v>16</v>
      </c>
      <c r="G470" s="7"/>
    </row>
    <row r="471" ht="22.5" customHeight="1">
      <c r="A471" s="7" t="s">
        <v>7579</v>
      </c>
      <c r="B471" s="7" t="s">
        <v>3807</v>
      </c>
      <c r="C471" s="8" t="s">
        <v>7076</v>
      </c>
      <c r="D471" s="7" t="s">
        <v>38</v>
      </c>
      <c r="E471" s="7" t="s">
        <v>7783</v>
      </c>
      <c r="F471" s="7" t="s">
        <v>26</v>
      </c>
      <c r="G471" s="7"/>
    </row>
    <row r="472" ht="22.5" customHeight="1">
      <c r="A472" s="7" t="s">
        <v>7579</v>
      </c>
      <c r="B472" s="7" t="s">
        <v>2725</v>
      </c>
      <c r="C472" s="8" t="s">
        <v>7784</v>
      </c>
      <c r="D472" s="7" t="s">
        <v>38</v>
      </c>
      <c r="E472" s="7" t="s">
        <v>7785</v>
      </c>
      <c r="F472" s="7" t="s">
        <v>16</v>
      </c>
      <c r="G472" s="7"/>
    </row>
    <row r="473" ht="22.5" customHeight="1">
      <c r="A473" s="7" t="s">
        <v>7579</v>
      </c>
      <c r="B473" s="7" t="s">
        <v>2725</v>
      </c>
      <c r="C473" s="8" t="s">
        <v>7786</v>
      </c>
      <c r="D473" s="7" t="s">
        <v>40</v>
      </c>
      <c r="E473" s="7" t="s">
        <v>7787</v>
      </c>
      <c r="F473" s="7" t="s">
        <v>16</v>
      </c>
      <c r="G473" s="7"/>
    </row>
    <row r="474" ht="22.5" customHeight="1">
      <c r="A474" s="7" t="s">
        <v>7579</v>
      </c>
      <c r="B474" s="7" t="s">
        <v>2725</v>
      </c>
      <c r="C474" s="8" t="s">
        <v>7788</v>
      </c>
      <c r="D474" s="7" t="s">
        <v>43</v>
      </c>
      <c r="E474" s="7" t="s">
        <v>7789</v>
      </c>
      <c r="F474" s="7" t="s">
        <v>16</v>
      </c>
      <c r="G474" s="7"/>
    </row>
    <row r="475" ht="22.5" customHeight="1">
      <c r="A475" s="7" t="s">
        <v>7579</v>
      </c>
      <c r="B475" s="7" t="s">
        <v>2725</v>
      </c>
      <c r="C475" s="8" t="s">
        <v>7790</v>
      </c>
      <c r="D475" s="7" t="s">
        <v>38</v>
      </c>
      <c r="E475" s="7" t="s">
        <v>7791</v>
      </c>
      <c r="F475" s="7" t="s">
        <v>16</v>
      </c>
      <c r="G475" s="7"/>
    </row>
    <row r="476" ht="22.5" customHeight="1">
      <c r="A476" s="7" t="s">
        <v>7579</v>
      </c>
      <c r="B476" s="7" t="s">
        <v>2725</v>
      </c>
      <c r="C476" s="8" t="s">
        <v>4430</v>
      </c>
      <c r="D476" s="7" t="s">
        <v>43</v>
      </c>
      <c r="E476" s="7" t="s">
        <v>7792</v>
      </c>
      <c r="F476" s="7" t="s">
        <v>16</v>
      </c>
      <c r="G476" s="7"/>
    </row>
    <row r="477" ht="22.5" customHeight="1">
      <c r="A477" s="7" t="s">
        <v>7579</v>
      </c>
      <c r="B477" s="7" t="s">
        <v>2725</v>
      </c>
      <c r="C477" s="8" t="s">
        <v>4708</v>
      </c>
      <c r="D477" s="7" t="s">
        <v>36</v>
      </c>
      <c r="E477" s="7" t="s">
        <v>7793</v>
      </c>
      <c r="F477" s="7" t="s">
        <v>16</v>
      </c>
      <c r="G477" s="7"/>
    </row>
    <row r="478" ht="22.5" customHeight="1">
      <c r="A478" s="7" t="s">
        <v>7579</v>
      </c>
      <c r="B478" s="7" t="s">
        <v>2725</v>
      </c>
      <c r="C478" s="8" t="s">
        <v>5054</v>
      </c>
      <c r="D478" s="7" t="s">
        <v>40</v>
      </c>
      <c r="E478" s="7" t="s">
        <v>7794</v>
      </c>
      <c r="F478" s="7" t="s">
        <v>16</v>
      </c>
      <c r="G478" s="7"/>
    </row>
    <row r="479" ht="22.5" customHeight="1">
      <c r="A479" s="7" t="s">
        <v>7579</v>
      </c>
      <c r="B479" s="7" t="s">
        <v>2725</v>
      </c>
      <c r="C479" s="8" t="s">
        <v>5077</v>
      </c>
      <c r="D479" s="7" t="s">
        <v>43</v>
      </c>
      <c r="E479" s="7" t="s">
        <v>7795</v>
      </c>
      <c r="F479" s="7" t="s">
        <v>16</v>
      </c>
      <c r="G479" s="7"/>
    </row>
    <row r="480" ht="22.5" customHeight="1">
      <c r="A480" s="7" t="s">
        <v>7579</v>
      </c>
      <c r="B480" s="7" t="s">
        <v>2725</v>
      </c>
      <c r="C480" s="8" t="s">
        <v>5101</v>
      </c>
      <c r="D480" s="7" t="s">
        <v>36</v>
      </c>
      <c r="E480" s="7" t="s">
        <v>7796</v>
      </c>
      <c r="F480" s="7" t="s">
        <v>16</v>
      </c>
      <c r="G480" s="7"/>
    </row>
    <row r="481" ht="22.5" customHeight="1">
      <c r="A481" s="7" t="s">
        <v>7579</v>
      </c>
      <c r="B481" s="7" t="s">
        <v>2725</v>
      </c>
      <c r="C481" s="8" t="s">
        <v>5230</v>
      </c>
      <c r="D481" s="7" t="s">
        <v>40</v>
      </c>
      <c r="E481" s="7" t="s">
        <v>7797</v>
      </c>
      <c r="F481" s="7" t="s">
        <v>16</v>
      </c>
      <c r="G481" s="7"/>
    </row>
    <row r="482" ht="22.5" customHeight="1">
      <c r="A482" s="7" t="s">
        <v>7579</v>
      </c>
      <c r="B482" s="7" t="s">
        <v>2725</v>
      </c>
      <c r="C482" s="8" t="s">
        <v>5338</v>
      </c>
      <c r="D482" s="7" t="s">
        <v>40</v>
      </c>
      <c r="E482" s="7" t="s">
        <v>7798</v>
      </c>
      <c r="F482" s="7" t="s">
        <v>16</v>
      </c>
      <c r="G482" s="7"/>
    </row>
    <row r="483" ht="22.5" customHeight="1">
      <c r="A483" s="7" t="s">
        <v>7579</v>
      </c>
      <c r="B483" s="7" t="s">
        <v>2725</v>
      </c>
      <c r="C483" s="8" t="s">
        <v>5338</v>
      </c>
      <c r="D483" s="7" t="s">
        <v>43</v>
      </c>
      <c r="E483" s="7" t="s">
        <v>7799</v>
      </c>
      <c r="F483" s="7" t="s">
        <v>16</v>
      </c>
      <c r="G483" s="7"/>
    </row>
    <row r="484" ht="22.5" customHeight="1">
      <c r="A484" s="7" t="s">
        <v>7579</v>
      </c>
      <c r="B484" s="7" t="s">
        <v>2725</v>
      </c>
      <c r="C484" s="8" t="s">
        <v>6565</v>
      </c>
      <c r="D484" s="7" t="s">
        <v>36</v>
      </c>
      <c r="E484" s="7" t="s">
        <v>7800</v>
      </c>
      <c r="F484" s="7" t="s">
        <v>16</v>
      </c>
      <c r="G484" s="7"/>
    </row>
    <row r="485" ht="22.5" customHeight="1">
      <c r="A485" s="7" t="s">
        <v>7579</v>
      </c>
      <c r="B485" s="7" t="s">
        <v>2725</v>
      </c>
      <c r="C485" s="8" t="s">
        <v>6905</v>
      </c>
      <c r="D485" s="7" t="s">
        <v>43</v>
      </c>
      <c r="E485" s="7" t="s">
        <v>7801</v>
      </c>
      <c r="F485" s="7" t="s">
        <v>16</v>
      </c>
      <c r="G485" s="7"/>
    </row>
    <row r="486" ht="22.5" customHeight="1">
      <c r="A486" s="7" t="s">
        <v>7579</v>
      </c>
      <c r="B486" s="7" t="s">
        <v>2725</v>
      </c>
      <c r="C486" s="8" t="s">
        <v>6993</v>
      </c>
      <c r="D486" s="7" t="s">
        <v>38</v>
      </c>
      <c r="E486" s="7" t="s">
        <v>7802</v>
      </c>
      <c r="F486" s="7" t="s">
        <v>16</v>
      </c>
      <c r="G486" s="7"/>
    </row>
    <row r="487" ht="22.5" customHeight="1">
      <c r="A487" s="7" t="s">
        <v>7227</v>
      </c>
      <c r="B487" s="7" t="s">
        <v>7803</v>
      </c>
      <c r="C487" s="8" t="s">
        <v>1060</v>
      </c>
      <c r="D487" s="7" t="s">
        <v>30</v>
      </c>
      <c r="E487" s="7" t="s">
        <v>7804</v>
      </c>
      <c r="F487" s="7" t="s">
        <v>16</v>
      </c>
      <c r="G487" s="7"/>
    </row>
    <row r="488" ht="22.5" customHeight="1">
      <c r="A488" s="7" t="s">
        <v>7227</v>
      </c>
      <c r="B488" s="7" t="s">
        <v>7803</v>
      </c>
      <c r="C488" s="8" t="s">
        <v>1060</v>
      </c>
      <c r="D488" s="7" t="s">
        <v>36</v>
      </c>
      <c r="E488" s="7" t="s">
        <v>7805</v>
      </c>
      <c r="F488" s="7" t="s">
        <v>16</v>
      </c>
      <c r="G488" s="7"/>
    </row>
    <row r="489" ht="22.5" customHeight="1">
      <c r="A489" s="7" t="s">
        <v>7227</v>
      </c>
      <c r="B489" s="7" t="s">
        <v>7803</v>
      </c>
      <c r="C489" s="8" t="s">
        <v>1060</v>
      </c>
      <c r="D489" s="7" t="s">
        <v>38</v>
      </c>
      <c r="E489" s="7" t="s">
        <v>7806</v>
      </c>
      <c r="F489" s="7" t="s">
        <v>16</v>
      </c>
      <c r="G489" s="7"/>
    </row>
    <row r="490" ht="22.5" customHeight="1">
      <c r="A490" s="7" t="s">
        <v>7227</v>
      </c>
      <c r="B490" s="7" t="s">
        <v>7803</v>
      </c>
      <c r="C490" s="8" t="s">
        <v>1060</v>
      </c>
      <c r="D490" s="7" t="s">
        <v>40</v>
      </c>
      <c r="E490" s="7" t="s">
        <v>7807</v>
      </c>
      <c r="F490" s="7" t="s">
        <v>16</v>
      </c>
      <c r="G490" s="7"/>
    </row>
    <row r="491" ht="22.5" customHeight="1">
      <c r="A491" s="7" t="s">
        <v>7227</v>
      </c>
      <c r="B491" s="7" t="s">
        <v>7803</v>
      </c>
      <c r="C491" s="8" t="s">
        <v>1060</v>
      </c>
      <c r="D491" s="7" t="s">
        <v>43</v>
      </c>
      <c r="E491" s="7" t="s">
        <v>7808</v>
      </c>
      <c r="F491" s="7" t="s">
        <v>16</v>
      </c>
      <c r="G491" s="7"/>
    </row>
    <row r="492" ht="22.5" customHeight="1">
      <c r="A492" s="7" t="s">
        <v>7227</v>
      </c>
      <c r="B492" s="7" t="s">
        <v>7803</v>
      </c>
      <c r="C492" s="8" t="s">
        <v>1112</v>
      </c>
      <c r="D492" s="7" t="s">
        <v>30</v>
      </c>
      <c r="E492" s="7" t="s">
        <v>7809</v>
      </c>
      <c r="F492" s="7" t="s">
        <v>155</v>
      </c>
      <c r="G492" s="7"/>
    </row>
    <row r="493" ht="22.5" customHeight="1">
      <c r="A493" s="7" t="s">
        <v>7227</v>
      </c>
      <c r="B493" s="7" t="s">
        <v>7803</v>
      </c>
      <c r="C493" s="8" t="s">
        <v>1112</v>
      </c>
      <c r="D493" s="7" t="s">
        <v>36</v>
      </c>
      <c r="E493" s="7" t="s">
        <v>7810</v>
      </c>
      <c r="F493" s="7" t="s">
        <v>155</v>
      </c>
      <c r="G493" s="7"/>
    </row>
    <row r="494" ht="22.5" customHeight="1">
      <c r="A494" s="7" t="s">
        <v>7227</v>
      </c>
      <c r="B494" s="7" t="s">
        <v>7803</v>
      </c>
      <c r="C494" s="8" t="s">
        <v>1112</v>
      </c>
      <c r="D494" s="7" t="s">
        <v>38</v>
      </c>
      <c r="E494" s="7" t="s">
        <v>7811</v>
      </c>
      <c r="F494" s="7" t="s">
        <v>155</v>
      </c>
      <c r="G494" s="7"/>
    </row>
    <row r="495" ht="22.5" customHeight="1">
      <c r="A495" s="7" t="s">
        <v>7227</v>
      </c>
      <c r="B495" s="7" t="s">
        <v>7803</v>
      </c>
      <c r="C495" s="8" t="s">
        <v>1112</v>
      </c>
      <c r="D495" s="7" t="s">
        <v>40</v>
      </c>
      <c r="E495" s="7" t="s">
        <v>7812</v>
      </c>
      <c r="F495" s="7" t="s">
        <v>155</v>
      </c>
      <c r="G495" s="7"/>
    </row>
    <row r="496" ht="22.5" customHeight="1">
      <c r="A496" s="7" t="s">
        <v>7227</v>
      </c>
      <c r="B496" s="7" t="s">
        <v>7803</v>
      </c>
      <c r="C496" s="8" t="s">
        <v>1112</v>
      </c>
      <c r="D496" s="7" t="s">
        <v>43</v>
      </c>
      <c r="E496" s="7" t="s">
        <v>7813</v>
      </c>
      <c r="F496" s="7" t="s">
        <v>155</v>
      </c>
      <c r="G496" s="7"/>
    </row>
    <row r="497" ht="22.5" customHeight="1">
      <c r="A497" s="7" t="s">
        <v>7814</v>
      </c>
      <c r="B497" s="7" t="s">
        <v>7815</v>
      </c>
      <c r="C497" s="8" t="s">
        <v>7816</v>
      </c>
      <c r="D497" s="7" t="s">
        <v>36</v>
      </c>
      <c r="E497" s="7" t="s">
        <v>7817</v>
      </c>
      <c r="F497" s="7" t="s">
        <v>26</v>
      </c>
      <c r="G497" s="7"/>
    </row>
    <row r="498" ht="22.5" customHeight="1">
      <c r="A498" s="7" t="s">
        <v>7814</v>
      </c>
      <c r="B498" s="7" t="s">
        <v>7815</v>
      </c>
      <c r="C498" s="8" t="s">
        <v>7818</v>
      </c>
      <c r="D498" s="7" t="s">
        <v>40</v>
      </c>
      <c r="E498" s="7" t="s">
        <v>7819</v>
      </c>
      <c r="F498" s="7" t="s">
        <v>26</v>
      </c>
      <c r="G498" s="7"/>
    </row>
    <row r="499" ht="22.5" customHeight="1">
      <c r="A499" s="7" t="s">
        <v>7814</v>
      </c>
      <c r="B499" s="7" t="s">
        <v>7815</v>
      </c>
      <c r="C499" s="8" t="s">
        <v>7820</v>
      </c>
      <c r="D499" s="7" t="s">
        <v>30</v>
      </c>
      <c r="E499" s="7" t="s">
        <v>7821</v>
      </c>
      <c r="F499" s="7" t="s">
        <v>16</v>
      </c>
      <c r="G499" s="7"/>
    </row>
    <row r="500" ht="22.5" customHeight="1">
      <c r="A500" s="7" t="s">
        <v>7814</v>
      </c>
      <c r="B500" s="7" t="s">
        <v>7815</v>
      </c>
      <c r="C500" s="8" t="s">
        <v>7822</v>
      </c>
      <c r="D500" s="7" t="s">
        <v>36</v>
      </c>
      <c r="E500" s="7" t="s">
        <v>7823</v>
      </c>
      <c r="F500" s="7" t="s">
        <v>16</v>
      </c>
      <c r="G500" s="7"/>
    </row>
    <row r="501" ht="22.5" customHeight="1">
      <c r="A501" s="7" t="s">
        <v>7814</v>
      </c>
      <c r="B501" s="7" t="s">
        <v>7815</v>
      </c>
      <c r="C501" s="8" t="s">
        <v>7822</v>
      </c>
      <c r="D501" s="7" t="s">
        <v>38</v>
      </c>
      <c r="E501" s="7" t="s">
        <v>7824</v>
      </c>
      <c r="F501" s="7" t="s">
        <v>16</v>
      </c>
      <c r="G501" s="7"/>
    </row>
    <row r="502" ht="22.5" customHeight="1">
      <c r="A502" s="7" t="s">
        <v>7814</v>
      </c>
      <c r="B502" s="7" t="s">
        <v>7815</v>
      </c>
      <c r="C502" s="8" t="s">
        <v>7825</v>
      </c>
      <c r="D502" s="7" t="s">
        <v>36</v>
      </c>
      <c r="E502" s="7" t="s">
        <v>7826</v>
      </c>
      <c r="F502" s="7" t="s">
        <v>16</v>
      </c>
      <c r="G502" s="7"/>
    </row>
    <row r="503" ht="22.5" customHeight="1">
      <c r="A503" s="7" t="s">
        <v>7814</v>
      </c>
      <c r="B503" s="7" t="s">
        <v>7815</v>
      </c>
      <c r="C503" s="8" t="s">
        <v>7827</v>
      </c>
      <c r="D503" s="7" t="s">
        <v>38</v>
      </c>
      <c r="E503" s="7" t="s">
        <v>7828</v>
      </c>
      <c r="F503" s="7" t="s">
        <v>16</v>
      </c>
      <c r="G503" s="7"/>
    </row>
    <row r="504" ht="22.5" customHeight="1">
      <c r="A504" s="7" t="s">
        <v>7814</v>
      </c>
      <c r="B504" s="7" t="s">
        <v>7815</v>
      </c>
      <c r="C504" s="8" t="s">
        <v>7829</v>
      </c>
      <c r="D504" s="7" t="s">
        <v>36</v>
      </c>
      <c r="E504" s="7" t="s">
        <v>7830</v>
      </c>
      <c r="F504" s="7" t="s">
        <v>26</v>
      </c>
      <c r="G504" s="7"/>
    </row>
    <row r="505" ht="22.5" customHeight="1">
      <c r="A505" s="7" t="s">
        <v>7814</v>
      </c>
      <c r="B505" s="7" t="s">
        <v>7815</v>
      </c>
      <c r="C505" s="8" t="s">
        <v>7831</v>
      </c>
      <c r="D505" s="7" t="s">
        <v>40</v>
      </c>
      <c r="E505" s="7" t="s">
        <v>7832</v>
      </c>
      <c r="F505" s="7" t="s">
        <v>26</v>
      </c>
      <c r="G505" s="7"/>
    </row>
    <row r="506" ht="22.5" customHeight="1">
      <c r="A506" s="7" t="s">
        <v>7814</v>
      </c>
      <c r="B506" s="7" t="s">
        <v>7815</v>
      </c>
      <c r="C506" s="8" t="s">
        <v>7833</v>
      </c>
      <c r="D506" s="7" t="s">
        <v>36</v>
      </c>
      <c r="E506" s="7" t="s">
        <v>7834</v>
      </c>
      <c r="F506" s="7" t="s">
        <v>16</v>
      </c>
      <c r="G506" s="7"/>
    </row>
    <row r="507" ht="22.5" customHeight="1">
      <c r="A507" s="7" t="s">
        <v>7814</v>
      </c>
      <c r="B507" s="7" t="s">
        <v>7815</v>
      </c>
      <c r="C507" s="8" t="s">
        <v>7835</v>
      </c>
      <c r="D507" s="7" t="s">
        <v>38</v>
      </c>
      <c r="E507" s="7" t="s">
        <v>7836</v>
      </c>
      <c r="F507" s="7" t="s">
        <v>16</v>
      </c>
      <c r="G507" s="7"/>
    </row>
    <row r="508" ht="22.5" customHeight="1">
      <c r="A508" s="7" t="s">
        <v>7814</v>
      </c>
      <c r="B508" s="7" t="s">
        <v>7815</v>
      </c>
      <c r="C508" s="8" t="s">
        <v>7837</v>
      </c>
      <c r="D508" s="7" t="s">
        <v>40</v>
      </c>
      <c r="E508" s="7" t="s">
        <v>7838</v>
      </c>
      <c r="F508" s="7" t="s">
        <v>16</v>
      </c>
      <c r="G508" s="7"/>
    </row>
    <row r="509" ht="22.5" customHeight="1">
      <c r="A509" s="7" t="s">
        <v>7814</v>
      </c>
      <c r="B509" s="7" t="s">
        <v>7815</v>
      </c>
      <c r="C509" s="8" t="s">
        <v>7839</v>
      </c>
      <c r="D509" s="7" t="s">
        <v>30</v>
      </c>
      <c r="E509" s="7" t="s">
        <v>7840</v>
      </c>
      <c r="F509" s="7" t="s">
        <v>16</v>
      </c>
      <c r="G509" s="7"/>
    </row>
    <row r="510" ht="22.5" customHeight="1">
      <c r="A510" s="7" t="s">
        <v>7814</v>
      </c>
      <c r="B510" s="7" t="s">
        <v>7815</v>
      </c>
      <c r="C510" s="8" t="s">
        <v>7841</v>
      </c>
      <c r="D510" s="7" t="s">
        <v>36</v>
      </c>
      <c r="E510" s="7" t="s">
        <v>7842</v>
      </c>
      <c r="F510" s="7" t="s">
        <v>16</v>
      </c>
      <c r="G510" s="7"/>
    </row>
    <row r="511" ht="22.5" customHeight="1">
      <c r="A511" s="7" t="s">
        <v>7814</v>
      </c>
      <c r="B511" s="7" t="s">
        <v>7815</v>
      </c>
      <c r="C511" s="8" t="s">
        <v>7843</v>
      </c>
      <c r="D511" s="7" t="s">
        <v>36</v>
      </c>
      <c r="E511" s="7" t="s">
        <v>7844</v>
      </c>
      <c r="F511" s="7" t="s">
        <v>16</v>
      </c>
      <c r="G511" s="7"/>
    </row>
    <row r="512" ht="22.5" customHeight="1">
      <c r="A512" s="7" t="s">
        <v>7213</v>
      </c>
      <c r="B512" s="7" t="s">
        <v>7845</v>
      </c>
      <c r="C512" s="8" t="s">
        <v>1790</v>
      </c>
      <c r="D512" s="7" t="s">
        <v>36</v>
      </c>
      <c r="E512" s="7" t="s">
        <v>7846</v>
      </c>
      <c r="F512" s="7" t="s">
        <v>26</v>
      </c>
      <c r="G512" s="7"/>
    </row>
    <row r="513" ht="22.5" customHeight="1">
      <c r="A513" s="7" t="s">
        <v>7213</v>
      </c>
      <c r="B513" s="7" t="s">
        <v>7845</v>
      </c>
      <c r="C513" s="8" t="s">
        <v>1790</v>
      </c>
      <c r="D513" s="7" t="s">
        <v>38</v>
      </c>
      <c r="E513" s="7" t="s">
        <v>7847</v>
      </c>
      <c r="F513" s="7" t="s">
        <v>26</v>
      </c>
      <c r="G513" s="7"/>
    </row>
    <row r="514" ht="22.5" customHeight="1">
      <c r="A514" s="7" t="s">
        <v>7213</v>
      </c>
      <c r="B514" s="7" t="s">
        <v>7845</v>
      </c>
      <c r="C514" s="8" t="s">
        <v>1790</v>
      </c>
      <c r="D514" s="7" t="s">
        <v>40</v>
      </c>
      <c r="E514" s="7" t="s">
        <v>7848</v>
      </c>
      <c r="F514" s="7" t="s">
        <v>26</v>
      </c>
      <c r="G514" s="7"/>
    </row>
    <row r="515" ht="22.5" customHeight="1">
      <c r="A515" s="7" t="s">
        <v>7213</v>
      </c>
      <c r="B515" s="7" t="s">
        <v>7845</v>
      </c>
      <c r="C515" s="8" t="s">
        <v>1790</v>
      </c>
      <c r="D515" s="7" t="s">
        <v>43</v>
      </c>
      <c r="E515" s="7" t="s">
        <v>7849</v>
      </c>
      <c r="F515" s="7" t="s">
        <v>26</v>
      </c>
      <c r="G515" s="7"/>
    </row>
    <row r="516" ht="22.5" customHeight="1">
      <c r="A516" s="7" t="s">
        <v>7213</v>
      </c>
      <c r="B516" s="7" t="s">
        <v>7845</v>
      </c>
      <c r="C516" s="8" t="s">
        <v>1884</v>
      </c>
      <c r="D516" s="7" t="s">
        <v>36</v>
      </c>
      <c r="E516" s="7" t="s">
        <v>7850</v>
      </c>
      <c r="F516" s="7" t="s">
        <v>26</v>
      </c>
      <c r="G516" s="7"/>
    </row>
    <row r="517" ht="22.5" customHeight="1">
      <c r="A517" s="7" t="s">
        <v>7213</v>
      </c>
      <c r="B517" s="7" t="s">
        <v>7845</v>
      </c>
      <c r="C517" s="8" t="s">
        <v>1884</v>
      </c>
      <c r="D517" s="7" t="s">
        <v>38</v>
      </c>
      <c r="E517" s="7" t="s">
        <v>7851</v>
      </c>
      <c r="F517" s="7" t="s">
        <v>26</v>
      </c>
      <c r="G517" s="7"/>
    </row>
    <row r="518" ht="22.5" customHeight="1">
      <c r="A518" s="7" t="s">
        <v>7213</v>
      </c>
      <c r="B518" s="7" t="s">
        <v>7845</v>
      </c>
      <c r="C518" s="8" t="s">
        <v>1884</v>
      </c>
      <c r="D518" s="7" t="s">
        <v>40</v>
      </c>
      <c r="E518" s="7" t="s">
        <v>7852</v>
      </c>
      <c r="F518" s="7" t="s">
        <v>26</v>
      </c>
      <c r="G518" s="7"/>
    </row>
    <row r="519" ht="22.5" customHeight="1">
      <c r="A519" s="7" t="s">
        <v>7213</v>
      </c>
      <c r="B519" s="7" t="s">
        <v>7845</v>
      </c>
      <c r="C519" s="8" t="s">
        <v>1884</v>
      </c>
      <c r="D519" s="7" t="s">
        <v>43</v>
      </c>
      <c r="E519" s="7" t="s">
        <v>7853</v>
      </c>
      <c r="F519" s="7" t="s">
        <v>26</v>
      </c>
      <c r="G519" s="7"/>
    </row>
    <row r="520" ht="22.5" customHeight="1">
      <c r="A520" s="7" t="s">
        <v>7213</v>
      </c>
      <c r="B520" s="7" t="s">
        <v>7845</v>
      </c>
      <c r="C520" s="8" t="s">
        <v>7854</v>
      </c>
      <c r="D520" s="7" t="s">
        <v>43</v>
      </c>
      <c r="E520" s="7" t="s">
        <v>7855</v>
      </c>
      <c r="F520" s="7" t="s">
        <v>26</v>
      </c>
      <c r="G520" s="7" t="s">
        <v>1917</v>
      </c>
    </row>
    <row r="521" ht="22.5" customHeight="1">
      <c r="A521" s="7" t="s">
        <v>7213</v>
      </c>
      <c r="B521" s="7" t="s">
        <v>7845</v>
      </c>
      <c r="C521" s="8" t="s">
        <v>2126</v>
      </c>
      <c r="D521" s="7" t="s">
        <v>36</v>
      </c>
      <c r="E521" s="7" t="s">
        <v>7856</v>
      </c>
      <c r="F521" s="7" t="s">
        <v>26</v>
      </c>
      <c r="G521" s="7"/>
    </row>
    <row r="522" ht="22.5" customHeight="1">
      <c r="A522" s="7" t="s">
        <v>7213</v>
      </c>
      <c r="B522" s="7" t="s">
        <v>7845</v>
      </c>
      <c r="C522" s="8" t="s">
        <v>2126</v>
      </c>
      <c r="D522" s="7" t="s">
        <v>38</v>
      </c>
      <c r="E522" s="7" t="s">
        <v>7857</v>
      </c>
      <c r="F522" s="7" t="s">
        <v>26</v>
      </c>
      <c r="G522" s="7"/>
    </row>
    <row r="523" ht="22.5" customHeight="1">
      <c r="A523" s="7" t="s">
        <v>7213</v>
      </c>
      <c r="B523" s="7" t="s">
        <v>7845</v>
      </c>
      <c r="C523" s="8" t="s">
        <v>2126</v>
      </c>
      <c r="D523" s="7" t="s">
        <v>40</v>
      </c>
      <c r="E523" s="7" t="s">
        <v>7858</v>
      </c>
      <c r="F523" s="7" t="s">
        <v>26</v>
      </c>
      <c r="G523" s="7"/>
    </row>
    <row r="524" ht="22.5" customHeight="1">
      <c r="A524" s="7" t="s">
        <v>7213</v>
      </c>
      <c r="B524" s="7" t="s">
        <v>7845</v>
      </c>
      <c r="C524" s="8" t="s">
        <v>2126</v>
      </c>
      <c r="D524" s="7" t="s">
        <v>43</v>
      </c>
      <c r="E524" s="7" t="s">
        <v>7859</v>
      </c>
      <c r="F524" s="7" t="s">
        <v>26</v>
      </c>
      <c r="G524" s="7"/>
    </row>
    <row r="525" ht="22.5" customHeight="1">
      <c r="A525" s="7" t="s">
        <v>7451</v>
      </c>
      <c r="B525" s="7" t="s">
        <v>7860</v>
      </c>
      <c r="C525" s="8" t="s">
        <v>3043</v>
      </c>
      <c r="D525" s="7" t="s">
        <v>38</v>
      </c>
      <c r="E525" s="7" t="s">
        <v>7861</v>
      </c>
      <c r="F525" s="7" t="s">
        <v>26</v>
      </c>
      <c r="G525" s="7" t="s">
        <v>1917</v>
      </c>
    </row>
    <row r="526" ht="22.5" customHeight="1">
      <c r="A526" s="7" t="s">
        <v>7451</v>
      </c>
      <c r="B526" s="7" t="s">
        <v>7860</v>
      </c>
      <c r="C526" s="8" t="s">
        <v>3043</v>
      </c>
      <c r="D526" s="7" t="s">
        <v>38</v>
      </c>
      <c r="E526" s="7" t="s">
        <v>7862</v>
      </c>
      <c r="F526" s="7" t="s">
        <v>26</v>
      </c>
      <c r="G526" s="7" t="s">
        <v>1917</v>
      </c>
    </row>
    <row r="527" ht="22.5" customHeight="1">
      <c r="A527" s="7" t="s">
        <v>7451</v>
      </c>
      <c r="B527" s="7" t="s">
        <v>7860</v>
      </c>
      <c r="C527" s="8" t="s">
        <v>3043</v>
      </c>
      <c r="D527" s="7" t="s">
        <v>40</v>
      </c>
      <c r="E527" s="7" t="s">
        <v>7863</v>
      </c>
      <c r="F527" s="7" t="s">
        <v>26</v>
      </c>
      <c r="G527" s="7" t="s">
        <v>1917</v>
      </c>
    </row>
    <row r="528" ht="22.5" customHeight="1">
      <c r="A528" s="7" t="s">
        <v>7451</v>
      </c>
      <c r="B528" s="7" t="s">
        <v>7860</v>
      </c>
      <c r="C528" s="8" t="s">
        <v>3043</v>
      </c>
      <c r="D528" s="7" t="s">
        <v>43</v>
      </c>
      <c r="E528" s="7" t="s">
        <v>7432</v>
      </c>
      <c r="F528" s="7" t="s">
        <v>26</v>
      </c>
      <c r="G528" s="7" t="s">
        <v>1917</v>
      </c>
    </row>
    <row r="529" ht="22.5" customHeight="1">
      <c r="A529" s="7" t="s">
        <v>7579</v>
      </c>
      <c r="B529" s="7" t="s">
        <v>3800</v>
      </c>
      <c r="C529" s="8" t="s">
        <v>7864</v>
      </c>
      <c r="D529" s="7" t="s">
        <v>36</v>
      </c>
      <c r="E529" s="7" t="s">
        <v>7865</v>
      </c>
      <c r="F529" s="7" t="s">
        <v>16</v>
      </c>
      <c r="G529" s="7"/>
    </row>
    <row r="530" ht="22.5" customHeight="1">
      <c r="A530" s="7" t="s">
        <v>7579</v>
      </c>
      <c r="B530" s="7" t="s">
        <v>3800</v>
      </c>
      <c r="C530" s="8" t="s">
        <v>4529</v>
      </c>
      <c r="D530" s="7" t="s">
        <v>40</v>
      </c>
      <c r="E530" s="7" t="s">
        <v>7866</v>
      </c>
      <c r="F530" s="7" t="s">
        <v>16</v>
      </c>
      <c r="G530" s="7"/>
    </row>
    <row r="531" ht="22.5" customHeight="1">
      <c r="A531" s="7" t="s">
        <v>7579</v>
      </c>
      <c r="B531" s="7" t="s">
        <v>3800</v>
      </c>
      <c r="C531" s="8" t="s">
        <v>4581</v>
      </c>
      <c r="D531" s="7" t="s">
        <v>43</v>
      </c>
      <c r="E531" s="7" t="s">
        <v>7867</v>
      </c>
      <c r="F531" s="7" t="s">
        <v>16</v>
      </c>
      <c r="G531" s="7"/>
    </row>
    <row r="532" ht="22.5" customHeight="1">
      <c r="A532" s="7" t="s">
        <v>7579</v>
      </c>
      <c r="B532" s="7" t="s">
        <v>3800</v>
      </c>
      <c r="C532" s="8" t="s">
        <v>4613</v>
      </c>
      <c r="D532" s="7" t="s">
        <v>38</v>
      </c>
      <c r="E532" s="7" t="s">
        <v>7868</v>
      </c>
      <c r="F532" s="7" t="s">
        <v>16</v>
      </c>
      <c r="G532" s="7"/>
    </row>
    <row r="533" ht="22.5" customHeight="1">
      <c r="A533" s="7" t="s">
        <v>7579</v>
      </c>
      <c r="B533" s="7" t="s">
        <v>3800</v>
      </c>
      <c r="C533" s="8" t="s">
        <v>4713</v>
      </c>
      <c r="D533" s="7" t="s">
        <v>38</v>
      </c>
      <c r="E533" s="7" t="s">
        <v>7869</v>
      </c>
      <c r="F533" s="7" t="s">
        <v>16</v>
      </c>
      <c r="G533" s="7"/>
    </row>
    <row r="534" ht="22.5" customHeight="1">
      <c r="A534" s="7" t="s">
        <v>7579</v>
      </c>
      <c r="B534" s="7" t="s">
        <v>3800</v>
      </c>
      <c r="C534" s="8" t="s">
        <v>7870</v>
      </c>
      <c r="D534" s="7" t="s">
        <v>36</v>
      </c>
      <c r="E534" s="7" t="s">
        <v>7871</v>
      </c>
      <c r="F534" s="7" t="s">
        <v>16</v>
      </c>
      <c r="G534" s="7"/>
    </row>
    <row r="535" ht="22.5" customHeight="1">
      <c r="A535" s="7" t="s">
        <v>7579</v>
      </c>
      <c r="B535" s="7" t="s">
        <v>3800</v>
      </c>
      <c r="C535" s="8" t="s">
        <v>5320</v>
      </c>
      <c r="D535" s="7" t="s">
        <v>36</v>
      </c>
      <c r="E535" s="7" t="s">
        <v>7872</v>
      </c>
      <c r="F535" s="7" t="s">
        <v>16</v>
      </c>
      <c r="G535" s="7"/>
    </row>
    <row r="536" ht="22.5" customHeight="1">
      <c r="A536" s="7" t="s">
        <v>7579</v>
      </c>
      <c r="B536" s="7" t="s">
        <v>3800</v>
      </c>
      <c r="C536" s="8" t="s">
        <v>5509</v>
      </c>
      <c r="D536" s="7" t="s">
        <v>38</v>
      </c>
      <c r="E536" s="7" t="s">
        <v>7873</v>
      </c>
      <c r="F536" s="7" t="s">
        <v>26</v>
      </c>
      <c r="G536" s="7"/>
    </row>
    <row r="537" ht="22.5" customHeight="1">
      <c r="A537" s="7" t="s">
        <v>7579</v>
      </c>
      <c r="B537" s="7" t="s">
        <v>3800</v>
      </c>
      <c r="C537" s="8" t="s">
        <v>5509</v>
      </c>
      <c r="D537" s="7" t="s">
        <v>38</v>
      </c>
      <c r="E537" s="7" t="s">
        <v>7874</v>
      </c>
      <c r="F537" s="7" t="s">
        <v>26</v>
      </c>
      <c r="G537" s="7"/>
    </row>
    <row r="538" ht="22.5" customHeight="1">
      <c r="A538" s="7" t="s">
        <v>7579</v>
      </c>
      <c r="B538" s="7" t="s">
        <v>3800</v>
      </c>
      <c r="C538" s="8" t="s">
        <v>5509</v>
      </c>
      <c r="D538" s="7" t="s">
        <v>38</v>
      </c>
      <c r="E538" s="7" t="s">
        <v>7875</v>
      </c>
      <c r="F538" s="7" t="s">
        <v>26</v>
      </c>
      <c r="G538" s="7"/>
    </row>
    <row r="539" ht="22.5" customHeight="1">
      <c r="A539" s="7" t="s">
        <v>7579</v>
      </c>
      <c r="B539" s="7" t="s">
        <v>3800</v>
      </c>
      <c r="C539" s="8" t="s">
        <v>5636</v>
      </c>
      <c r="D539" s="7" t="s">
        <v>38</v>
      </c>
      <c r="E539" s="7" t="s">
        <v>7876</v>
      </c>
      <c r="F539" s="7" t="s">
        <v>16</v>
      </c>
      <c r="G539" s="7"/>
    </row>
    <row r="540" ht="22.5" customHeight="1">
      <c r="A540" s="7" t="s">
        <v>7579</v>
      </c>
      <c r="B540" s="7" t="s">
        <v>3800</v>
      </c>
      <c r="C540" s="8" t="s">
        <v>5715</v>
      </c>
      <c r="D540" s="7" t="s">
        <v>38</v>
      </c>
      <c r="E540" s="7" t="s">
        <v>7877</v>
      </c>
      <c r="F540" s="7" t="s">
        <v>26</v>
      </c>
      <c r="G540" s="7"/>
    </row>
    <row r="541" ht="22.5" customHeight="1">
      <c r="A541" s="7" t="s">
        <v>7579</v>
      </c>
      <c r="B541" s="7" t="s">
        <v>3800</v>
      </c>
      <c r="C541" s="8" t="s">
        <v>5715</v>
      </c>
      <c r="D541" s="7" t="s">
        <v>38</v>
      </c>
      <c r="E541" s="7" t="s">
        <v>7878</v>
      </c>
      <c r="F541" s="7" t="s">
        <v>26</v>
      </c>
      <c r="G541" s="7"/>
    </row>
    <row r="542" ht="22.5" customHeight="1">
      <c r="A542" s="7" t="s">
        <v>7579</v>
      </c>
      <c r="B542" s="7" t="s">
        <v>3800</v>
      </c>
      <c r="C542" s="8" t="s">
        <v>5715</v>
      </c>
      <c r="D542" s="7" t="s">
        <v>38</v>
      </c>
      <c r="E542" s="7" t="s">
        <v>7879</v>
      </c>
      <c r="F542" s="7" t="s">
        <v>26</v>
      </c>
      <c r="G542" s="7"/>
    </row>
    <row r="543" ht="22.5" customHeight="1">
      <c r="A543" s="7" t="s">
        <v>7579</v>
      </c>
      <c r="B543" s="7" t="s">
        <v>3800</v>
      </c>
      <c r="C543" s="8" t="s">
        <v>7880</v>
      </c>
      <c r="D543" s="7" t="s">
        <v>38</v>
      </c>
      <c r="E543" s="7" t="s">
        <v>7881</v>
      </c>
      <c r="F543" s="7" t="s">
        <v>16</v>
      </c>
      <c r="G543" s="7"/>
    </row>
    <row r="544" ht="22.5" customHeight="1">
      <c r="A544" s="7" t="s">
        <v>7579</v>
      </c>
      <c r="B544" s="7" t="s">
        <v>3800</v>
      </c>
      <c r="C544" s="8" t="s">
        <v>6224</v>
      </c>
      <c r="D544" s="7" t="s">
        <v>40</v>
      </c>
      <c r="E544" s="7" t="s">
        <v>7882</v>
      </c>
      <c r="F544" s="7" t="s">
        <v>16</v>
      </c>
      <c r="G544" s="7"/>
    </row>
    <row r="545" ht="22.5" customHeight="1">
      <c r="A545" s="7" t="s">
        <v>7579</v>
      </c>
      <c r="B545" s="7" t="s">
        <v>3800</v>
      </c>
      <c r="C545" s="8" t="s">
        <v>6224</v>
      </c>
      <c r="D545" s="7" t="s">
        <v>43</v>
      </c>
      <c r="E545" s="7" t="s">
        <v>7883</v>
      </c>
      <c r="F545" s="7" t="s">
        <v>16</v>
      </c>
      <c r="G545" s="7"/>
    </row>
    <row r="546" ht="22.5" customHeight="1">
      <c r="A546" s="7" t="s">
        <v>7579</v>
      </c>
      <c r="B546" s="7" t="s">
        <v>3800</v>
      </c>
      <c r="C546" s="8" t="s">
        <v>6414</v>
      </c>
      <c r="D546" s="7" t="s">
        <v>43</v>
      </c>
      <c r="E546" s="7" t="s">
        <v>7884</v>
      </c>
      <c r="F546" s="7" t="s">
        <v>16</v>
      </c>
      <c r="G546" s="7"/>
    </row>
    <row r="547" ht="22.5" customHeight="1">
      <c r="A547" s="7" t="s">
        <v>7579</v>
      </c>
      <c r="B547" s="7" t="s">
        <v>3800</v>
      </c>
      <c r="C547" s="8" t="s">
        <v>6600</v>
      </c>
      <c r="D547" s="7" t="s">
        <v>40</v>
      </c>
      <c r="E547" s="7" t="s">
        <v>7885</v>
      </c>
      <c r="F547" s="7" t="s">
        <v>16</v>
      </c>
      <c r="G547" s="7"/>
    </row>
    <row r="548" ht="22.5" customHeight="1">
      <c r="A548" s="7" t="s">
        <v>7579</v>
      </c>
      <c r="B548" s="7" t="s">
        <v>3800</v>
      </c>
      <c r="C548" s="8" t="s">
        <v>7071</v>
      </c>
      <c r="D548" s="7" t="s">
        <v>38</v>
      </c>
      <c r="E548" s="7" t="s">
        <v>7886</v>
      </c>
      <c r="F548" s="7" t="s">
        <v>26</v>
      </c>
      <c r="G548" s="7"/>
    </row>
    <row r="549" ht="22.5" customHeight="1">
      <c r="A549" s="7" t="s">
        <v>7579</v>
      </c>
      <c r="B549" s="7" t="s">
        <v>3800</v>
      </c>
      <c r="C549" s="8" t="s">
        <v>7071</v>
      </c>
      <c r="D549" s="7" t="s">
        <v>40</v>
      </c>
      <c r="E549" s="7" t="s">
        <v>7887</v>
      </c>
      <c r="F549" s="7" t="s">
        <v>16</v>
      </c>
      <c r="G549" s="7"/>
    </row>
    <row r="550" ht="22.5" customHeight="1">
      <c r="A550" s="7" t="s">
        <v>7579</v>
      </c>
      <c r="B550" s="7" t="s">
        <v>3800</v>
      </c>
      <c r="C550" s="8" t="s">
        <v>7071</v>
      </c>
      <c r="D550" s="7" t="s">
        <v>43</v>
      </c>
      <c r="E550" s="7" t="s">
        <v>7888</v>
      </c>
      <c r="F550" s="7" t="s">
        <v>16</v>
      </c>
      <c r="G550" s="7"/>
    </row>
    <row r="551" ht="22.5" customHeight="1">
      <c r="A551" s="7" t="s">
        <v>7227</v>
      </c>
      <c r="B551" s="7" t="s">
        <v>7889</v>
      </c>
      <c r="C551" s="8" t="s">
        <v>13</v>
      </c>
      <c r="D551" s="7" t="s">
        <v>30</v>
      </c>
      <c r="E551" s="7" t="s">
        <v>7890</v>
      </c>
      <c r="F551" s="7" t="s">
        <v>16</v>
      </c>
      <c r="G551" s="7"/>
    </row>
    <row r="552" ht="22.5" customHeight="1">
      <c r="A552" s="7" t="s">
        <v>7227</v>
      </c>
      <c r="B552" s="7" t="s">
        <v>7889</v>
      </c>
      <c r="C552" s="8" t="s">
        <v>13</v>
      </c>
      <c r="D552" s="7" t="s">
        <v>36</v>
      </c>
      <c r="E552" s="7" t="s">
        <v>7891</v>
      </c>
      <c r="F552" s="7" t="s">
        <v>16</v>
      </c>
      <c r="G552" s="7"/>
    </row>
    <row r="553" ht="22.5" customHeight="1">
      <c r="A553" s="7" t="s">
        <v>7227</v>
      </c>
      <c r="B553" s="7" t="s">
        <v>7889</v>
      </c>
      <c r="C553" s="8" t="s">
        <v>13</v>
      </c>
      <c r="D553" s="7" t="s">
        <v>38</v>
      </c>
      <c r="E553" s="7" t="s">
        <v>7892</v>
      </c>
      <c r="F553" s="7" t="s">
        <v>16</v>
      </c>
      <c r="G553" s="7"/>
    </row>
    <row r="554" ht="22.5" customHeight="1">
      <c r="A554" s="7" t="s">
        <v>7227</v>
      </c>
      <c r="B554" s="7" t="s">
        <v>7889</v>
      </c>
      <c r="C554" s="8" t="s">
        <v>13</v>
      </c>
      <c r="D554" s="7" t="s">
        <v>40</v>
      </c>
      <c r="E554" s="7" t="s">
        <v>7893</v>
      </c>
      <c r="F554" s="7" t="s">
        <v>16</v>
      </c>
      <c r="G554" s="7"/>
    </row>
    <row r="555" ht="22.5" customHeight="1">
      <c r="A555" s="7" t="s">
        <v>7227</v>
      </c>
      <c r="B555" s="7" t="s">
        <v>7889</v>
      </c>
      <c r="C555" s="8" t="s">
        <v>13</v>
      </c>
      <c r="D555" s="7" t="s">
        <v>43</v>
      </c>
      <c r="E555" s="7" t="s">
        <v>7894</v>
      </c>
      <c r="F555" s="7" t="s">
        <v>16</v>
      </c>
      <c r="G555" s="7"/>
    </row>
    <row r="556" ht="22.5" customHeight="1">
      <c r="A556" s="7" t="s">
        <v>7227</v>
      </c>
      <c r="B556" s="7" t="s">
        <v>7889</v>
      </c>
      <c r="C556" s="8" t="s">
        <v>701</v>
      </c>
      <c r="D556" s="7" t="s">
        <v>30</v>
      </c>
      <c r="E556" s="7" t="s">
        <v>7895</v>
      </c>
      <c r="F556" s="7" t="s">
        <v>26</v>
      </c>
      <c r="G556" s="7"/>
    </row>
    <row r="557" ht="22.5" customHeight="1">
      <c r="A557" s="7" t="s">
        <v>7227</v>
      </c>
      <c r="B557" s="7" t="s">
        <v>7889</v>
      </c>
      <c r="C557" s="8" t="s">
        <v>701</v>
      </c>
      <c r="D557" s="7" t="s">
        <v>36</v>
      </c>
      <c r="E557" s="7" t="s">
        <v>7896</v>
      </c>
      <c r="F557" s="7" t="s">
        <v>26</v>
      </c>
      <c r="G557" s="7"/>
    </row>
    <row r="558" ht="22.5" customHeight="1">
      <c r="A558" s="7" t="s">
        <v>7227</v>
      </c>
      <c r="B558" s="7" t="s">
        <v>7889</v>
      </c>
      <c r="C558" s="8" t="s">
        <v>701</v>
      </c>
      <c r="D558" s="7" t="s">
        <v>38</v>
      </c>
      <c r="E558" s="7" t="s">
        <v>7897</v>
      </c>
      <c r="F558" s="7" t="s">
        <v>26</v>
      </c>
      <c r="G558" s="7"/>
    </row>
    <row r="559" ht="22.5" customHeight="1">
      <c r="A559" s="7" t="s">
        <v>7227</v>
      </c>
      <c r="B559" s="7" t="s">
        <v>7889</v>
      </c>
      <c r="C559" s="8" t="s">
        <v>701</v>
      </c>
      <c r="D559" s="7" t="s">
        <v>40</v>
      </c>
      <c r="E559" s="7" t="s">
        <v>7898</v>
      </c>
      <c r="F559" s="7" t="s">
        <v>26</v>
      </c>
      <c r="G559" s="7"/>
    </row>
    <row r="560" ht="22.5" customHeight="1">
      <c r="A560" s="7" t="s">
        <v>7227</v>
      </c>
      <c r="B560" s="7" t="s">
        <v>7889</v>
      </c>
      <c r="C560" s="8" t="s">
        <v>701</v>
      </c>
      <c r="D560" s="7" t="s">
        <v>43</v>
      </c>
      <c r="E560" s="7" t="s">
        <v>7899</v>
      </c>
      <c r="F560" s="7" t="s">
        <v>26</v>
      </c>
      <c r="G560" s="7"/>
    </row>
    <row r="561" ht="22.5" customHeight="1">
      <c r="A561" s="7" t="s">
        <v>7227</v>
      </c>
      <c r="B561" s="7" t="s">
        <v>7889</v>
      </c>
      <c r="C561" s="8" t="s">
        <v>739</v>
      </c>
      <c r="D561" s="7" t="s">
        <v>30</v>
      </c>
      <c r="E561" s="7" t="s">
        <v>7900</v>
      </c>
      <c r="F561" s="7" t="s">
        <v>16</v>
      </c>
      <c r="G561" s="7"/>
    </row>
    <row r="562" ht="22.5" customHeight="1">
      <c r="A562" s="7" t="s">
        <v>7227</v>
      </c>
      <c r="B562" s="7" t="s">
        <v>7889</v>
      </c>
      <c r="C562" s="8" t="s">
        <v>739</v>
      </c>
      <c r="D562" s="7" t="s">
        <v>36</v>
      </c>
      <c r="E562" s="7" t="s">
        <v>7901</v>
      </c>
      <c r="F562" s="7" t="s">
        <v>16</v>
      </c>
      <c r="G562" s="7"/>
    </row>
    <row r="563" ht="22.5" customHeight="1">
      <c r="A563" s="7" t="s">
        <v>7227</v>
      </c>
      <c r="B563" s="7" t="s">
        <v>7889</v>
      </c>
      <c r="C563" s="8" t="s">
        <v>739</v>
      </c>
      <c r="D563" s="7" t="s">
        <v>38</v>
      </c>
      <c r="E563" s="7" t="s">
        <v>7902</v>
      </c>
      <c r="F563" s="7" t="s">
        <v>16</v>
      </c>
      <c r="G563" s="7"/>
    </row>
    <row r="564" ht="22.5" customHeight="1">
      <c r="A564" s="7" t="s">
        <v>7227</v>
      </c>
      <c r="B564" s="7" t="s">
        <v>7889</v>
      </c>
      <c r="C564" s="8" t="s">
        <v>739</v>
      </c>
      <c r="D564" s="7" t="s">
        <v>40</v>
      </c>
      <c r="E564" s="7" t="s">
        <v>7903</v>
      </c>
      <c r="F564" s="7" t="s">
        <v>105</v>
      </c>
      <c r="G564" s="7"/>
    </row>
    <row r="565" ht="22.5" customHeight="1">
      <c r="A565" s="7" t="s">
        <v>7227</v>
      </c>
      <c r="B565" s="7" t="s">
        <v>7889</v>
      </c>
      <c r="C565" s="8" t="s">
        <v>739</v>
      </c>
      <c r="D565" s="7" t="s">
        <v>40</v>
      </c>
      <c r="E565" s="7" t="s">
        <v>7904</v>
      </c>
      <c r="F565" s="7" t="s">
        <v>16</v>
      </c>
      <c r="G565" s="7"/>
    </row>
    <row r="566" ht="22.5" customHeight="1">
      <c r="A566" s="7" t="s">
        <v>7227</v>
      </c>
      <c r="B566" s="7" t="s">
        <v>7889</v>
      </c>
      <c r="C566" s="8" t="s">
        <v>739</v>
      </c>
      <c r="D566" s="7" t="s">
        <v>43</v>
      </c>
      <c r="E566" s="7" t="s">
        <v>7905</v>
      </c>
      <c r="F566" s="7" t="s">
        <v>16</v>
      </c>
      <c r="G566" s="7"/>
    </row>
    <row r="567" ht="22.5" customHeight="1">
      <c r="A567" s="7" t="s">
        <v>7227</v>
      </c>
      <c r="B567" s="7" t="s">
        <v>7889</v>
      </c>
      <c r="C567" s="8" t="s">
        <v>788</v>
      </c>
      <c r="D567" s="7" t="s">
        <v>30</v>
      </c>
      <c r="E567" s="7" t="s">
        <v>7906</v>
      </c>
      <c r="F567" s="7" t="s">
        <v>16</v>
      </c>
      <c r="G567" s="7"/>
    </row>
    <row r="568" ht="22.5" customHeight="1">
      <c r="A568" s="7" t="s">
        <v>7227</v>
      </c>
      <c r="B568" s="7" t="s">
        <v>7889</v>
      </c>
      <c r="C568" s="8" t="s">
        <v>788</v>
      </c>
      <c r="D568" s="7" t="s">
        <v>36</v>
      </c>
      <c r="E568" s="7" t="s">
        <v>7907</v>
      </c>
      <c r="F568" s="7" t="s">
        <v>16</v>
      </c>
      <c r="G568" s="7"/>
    </row>
    <row r="569" ht="22.5" customHeight="1">
      <c r="A569" s="7" t="s">
        <v>7227</v>
      </c>
      <c r="B569" s="7" t="s">
        <v>7889</v>
      </c>
      <c r="C569" s="8" t="s">
        <v>788</v>
      </c>
      <c r="D569" s="7" t="s">
        <v>38</v>
      </c>
      <c r="E569" s="7" t="s">
        <v>7908</v>
      </c>
      <c r="F569" s="7" t="s">
        <v>16</v>
      </c>
      <c r="G569" s="7"/>
    </row>
    <row r="570" ht="22.5" customHeight="1">
      <c r="A570" s="7" t="s">
        <v>7227</v>
      </c>
      <c r="B570" s="7" t="s">
        <v>7889</v>
      </c>
      <c r="C570" s="8" t="s">
        <v>788</v>
      </c>
      <c r="D570" s="7" t="s">
        <v>40</v>
      </c>
      <c r="E570" s="7" t="s">
        <v>7909</v>
      </c>
      <c r="F570" s="7" t="s">
        <v>16</v>
      </c>
      <c r="G570" s="7"/>
    </row>
    <row r="571" ht="22.5" customHeight="1">
      <c r="A571" s="7" t="s">
        <v>7227</v>
      </c>
      <c r="B571" s="7" t="s">
        <v>7889</v>
      </c>
      <c r="C571" s="8" t="s">
        <v>788</v>
      </c>
      <c r="D571" s="7" t="s">
        <v>43</v>
      </c>
      <c r="E571" s="7" t="s">
        <v>7910</v>
      </c>
      <c r="F571" s="7" t="s">
        <v>16</v>
      </c>
      <c r="G571" s="7"/>
    </row>
    <row r="572" ht="22.5" customHeight="1">
      <c r="A572" s="7" t="s">
        <v>7227</v>
      </c>
      <c r="B572" s="7" t="s">
        <v>7889</v>
      </c>
      <c r="C572" s="8" t="s">
        <v>817</v>
      </c>
      <c r="D572" s="7" t="s">
        <v>30</v>
      </c>
      <c r="E572" s="7" t="s">
        <v>7911</v>
      </c>
      <c r="F572" s="7" t="s">
        <v>155</v>
      </c>
      <c r="G572" s="7"/>
    </row>
    <row r="573" ht="22.5" customHeight="1">
      <c r="A573" s="7" t="s">
        <v>7227</v>
      </c>
      <c r="B573" s="7" t="s">
        <v>7889</v>
      </c>
      <c r="C573" s="8" t="s">
        <v>817</v>
      </c>
      <c r="D573" s="7" t="s">
        <v>36</v>
      </c>
      <c r="E573" s="7" t="s">
        <v>7912</v>
      </c>
      <c r="F573" s="7" t="s">
        <v>155</v>
      </c>
      <c r="G573" s="7"/>
    </row>
    <row r="574" ht="22.5" customHeight="1">
      <c r="A574" s="7" t="s">
        <v>7227</v>
      </c>
      <c r="B574" s="7" t="s">
        <v>7889</v>
      </c>
      <c r="C574" s="8" t="s">
        <v>817</v>
      </c>
      <c r="D574" s="7" t="s">
        <v>38</v>
      </c>
      <c r="E574" s="7" t="s">
        <v>7913</v>
      </c>
      <c r="F574" s="7" t="s">
        <v>155</v>
      </c>
      <c r="G574" s="7"/>
    </row>
    <row r="575" ht="22.5" customHeight="1">
      <c r="A575" s="7" t="s">
        <v>7227</v>
      </c>
      <c r="B575" s="7" t="s">
        <v>7889</v>
      </c>
      <c r="C575" s="8" t="s">
        <v>817</v>
      </c>
      <c r="D575" s="7" t="s">
        <v>40</v>
      </c>
      <c r="E575" s="7" t="s">
        <v>7914</v>
      </c>
      <c r="F575" s="7" t="s">
        <v>155</v>
      </c>
      <c r="G575" s="7"/>
    </row>
    <row r="576" ht="22.5" customHeight="1">
      <c r="A576" s="7" t="s">
        <v>7227</v>
      </c>
      <c r="B576" s="7" t="s">
        <v>7889</v>
      </c>
      <c r="C576" s="8" t="s">
        <v>817</v>
      </c>
      <c r="D576" s="7" t="s">
        <v>43</v>
      </c>
      <c r="E576" s="7" t="s">
        <v>7915</v>
      </c>
      <c r="F576" s="7" t="s">
        <v>155</v>
      </c>
      <c r="G576" s="7"/>
    </row>
    <row r="577" ht="22.5" customHeight="1">
      <c r="A577" s="7" t="s">
        <v>7227</v>
      </c>
      <c r="B577" s="7" t="s">
        <v>7889</v>
      </c>
      <c r="C577" s="8" t="s">
        <v>938</v>
      </c>
      <c r="D577" s="7" t="s">
        <v>30</v>
      </c>
      <c r="E577" s="7" t="s">
        <v>7916</v>
      </c>
      <c r="F577" s="7" t="s">
        <v>16</v>
      </c>
      <c r="G577" s="7"/>
    </row>
    <row r="578" ht="22.5" customHeight="1">
      <c r="A578" s="7" t="s">
        <v>7227</v>
      </c>
      <c r="B578" s="7" t="s">
        <v>7889</v>
      </c>
      <c r="C578" s="8" t="s">
        <v>938</v>
      </c>
      <c r="D578" s="7" t="s">
        <v>36</v>
      </c>
      <c r="E578" s="7" t="s">
        <v>7917</v>
      </c>
      <c r="F578" s="7" t="s">
        <v>16</v>
      </c>
      <c r="G578" s="7"/>
    </row>
    <row r="579" ht="22.5" customHeight="1">
      <c r="A579" s="7" t="s">
        <v>7227</v>
      </c>
      <c r="B579" s="7" t="s">
        <v>7889</v>
      </c>
      <c r="C579" s="8" t="s">
        <v>938</v>
      </c>
      <c r="D579" s="7" t="s">
        <v>38</v>
      </c>
      <c r="E579" s="7" t="s">
        <v>7918</v>
      </c>
      <c r="F579" s="7" t="s">
        <v>16</v>
      </c>
      <c r="G579" s="7"/>
    </row>
    <row r="580" ht="22.5" customHeight="1">
      <c r="A580" s="7" t="s">
        <v>7227</v>
      </c>
      <c r="B580" s="7" t="s">
        <v>7889</v>
      </c>
      <c r="C580" s="8" t="s">
        <v>938</v>
      </c>
      <c r="D580" s="7" t="s">
        <v>40</v>
      </c>
      <c r="E580" s="7" t="s">
        <v>7919</v>
      </c>
      <c r="F580" s="7" t="s">
        <v>16</v>
      </c>
      <c r="G580" s="7"/>
    </row>
    <row r="581" ht="22.5" customHeight="1">
      <c r="A581" s="7" t="s">
        <v>7227</v>
      </c>
      <c r="B581" s="7" t="s">
        <v>7889</v>
      </c>
      <c r="C581" s="8" t="s">
        <v>938</v>
      </c>
      <c r="D581" s="7" t="s">
        <v>43</v>
      </c>
      <c r="E581" s="7" t="s">
        <v>7920</v>
      </c>
      <c r="F581" s="7" t="s">
        <v>16</v>
      </c>
      <c r="G581" s="7"/>
    </row>
    <row r="582" ht="22.5" customHeight="1">
      <c r="A582" s="7" t="s">
        <v>7227</v>
      </c>
      <c r="B582" s="7" t="s">
        <v>7889</v>
      </c>
      <c r="C582" s="8" t="s">
        <v>961</v>
      </c>
      <c r="D582" s="7" t="s">
        <v>30</v>
      </c>
      <c r="E582" s="7" t="s">
        <v>7921</v>
      </c>
      <c r="F582" s="7" t="s">
        <v>16</v>
      </c>
      <c r="G582" s="7"/>
    </row>
    <row r="583" ht="22.5" customHeight="1">
      <c r="A583" s="7" t="s">
        <v>7227</v>
      </c>
      <c r="B583" s="7" t="s">
        <v>7889</v>
      </c>
      <c r="C583" s="8" t="s">
        <v>961</v>
      </c>
      <c r="D583" s="7" t="s">
        <v>36</v>
      </c>
      <c r="E583" s="7" t="s">
        <v>7922</v>
      </c>
      <c r="F583" s="7" t="s">
        <v>16</v>
      </c>
      <c r="G583" s="7"/>
    </row>
    <row r="584" ht="22.5" customHeight="1">
      <c r="A584" s="7" t="s">
        <v>7227</v>
      </c>
      <c r="B584" s="7" t="s">
        <v>7889</v>
      </c>
      <c r="C584" s="8" t="s">
        <v>961</v>
      </c>
      <c r="D584" s="7" t="s">
        <v>38</v>
      </c>
      <c r="E584" s="7" t="s">
        <v>7923</v>
      </c>
      <c r="F584" s="7" t="s">
        <v>16</v>
      </c>
      <c r="G584" s="7"/>
    </row>
    <row r="585" ht="22.5" customHeight="1">
      <c r="A585" s="7" t="s">
        <v>7227</v>
      </c>
      <c r="B585" s="7" t="s">
        <v>7889</v>
      </c>
      <c r="C585" s="8" t="s">
        <v>961</v>
      </c>
      <c r="D585" s="7" t="s">
        <v>40</v>
      </c>
      <c r="E585" s="7" t="s">
        <v>7924</v>
      </c>
      <c r="F585" s="7" t="s">
        <v>16</v>
      </c>
      <c r="G585" s="7"/>
    </row>
    <row r="586" ht="22.5" customHeight="1">
      <c r="A586" s="7" t="s">
        <v>7227</v>
      </c>
      <c r="B586" s="7" t="s">
        <v>7889</v>
      </c>
      <c r="C586" s="8" t="s">
        <v>961</v>
      </c>
      <c r="D586" s="7" t="s">
        <v>43</v>
      </c>
      <c r="E586" s="7" t="s">
        <v>7925</v>
      </c>
      <c r="F586" s="7" t="s">
        <v>16</v>
      </c>
      <c r="G586" s="7"/>
    </row>
    <row r="587" ht="22.5" customHeight="1">
      <c r="A587" s="7" t="s">
        <v>7227</v>
      </c>
      <c r="B587" s="7" t="s">
        <v>7889</v>
      </c>
      <c r="C587" s="8" t="s">
        <v>1012</v>
      </c>
      <c r="D587" s="7" t="s">
        <v>30</v>
      </c>
      <c r="E587" s="7" t="s">
        <v>7926</v>
      </c>
      <c r="F587" s="7" t="s">
        <v>16</v>
      </c>
      <c r="G587" s="7"/>
    </row>
    <row r="588" ht="22.5" customHeight="1">
      <c r="A588" s="7" t="s">
        <v>7227</v>
      </c>
      <c r="B588" s="7" t="s">
        <v>7889</v>
      </c>
      <c r="C588" s="8" t="s">
        <v>1012</v>
      </c>
      <c r="D588" s="7" t="s">
        <v>36</v>
      </c>
      <c r="E588" s="7" t="s">
        <v>7927</v>
      </c>
      <c r="F588" s="7" t="s">
        <v>16</v>
      </c>
      <c r="G588" s="7"/>
    </row>
    <row r="589" ht="22.5" customHeight="1">
      <c r="A589" s="7" t="s">
        <v>7227</v>
      </c>
      <c r="B589" s="7" t="s">
        <v>7889</v>
      </c>
      <c r="C589" s="8" t="s">
        <v>1012</v>
      </c>
      <c r="D589" s="7" t="s">
        <v>38</v>
      </c>
      <c r="E589" s="7" t="s">
        <v>7928</v>
      </c>
      <c r="F589" s="7" t="s">
        <v>16</v>
      </c>
      <c r="G589" s="7"/>
    </row>
    <row r="590" ht="22.5" customHeight="1">
      <c r="A590" s="7" t="s">
        <v>7227</v>
      </c>
      <c r="B590" s="7" t="s">
        <v>7889</v>
      </c>
      <c r="C590" s="8" t="s">
        <v>1012</v>
      </c>
      <c r="D590" s="7" t="s">
        <v>40</v>
      </c>
      <c r="E590" s="7" t="s">
        <v>7929</v>
      </c>
      <c r="F590" s="7" t="s">
        <v>16</v>
      </c>
      <c r="G590" s="7"/>
    </row>
    <row r="591" ht="22.5" customHeight="1">
      <c r="A591" s="7" t="s">
        <v>7227</v>
      </c>
      <c r="B591" s="7" t="s">
        <v>7889</v>
      </c>
      <c r="C591" s="8" t="s">
        <v>1012</v>
      </c>
      <c r="D591" s="7" t="s">
        <v>43</v>
      </c>
      <c r="E591" s="7" t="s">
        <v>7930</v>
      </c>
      <c r="F591" s="7" t="s">
        <v>16</v>
      </c>
      <c r="G591" s="7"/>
    </row>
    <row r="592" ht="22.5" customHeight="1">
      <c r="A592" s="7" t="s">
        <v>7227</v>
      </c>
      <c r="B592" s="7" t="s">
        <v>7889</v>
      </c>
      <c r="C592" s="8" t="s">
        <v>1169</v>
      </c>
      <c r="D592" s="7" t="s">
        <v>30</v>
      </c>
      <c r="E592" s="7" t="s">
        <v>7931</v>
      </c>
      <c r="F592" s="7" t="s">
        <v>26</v>
      </c>
      <c r="G592" s="7"/>
    </row>
    <row r="593" ht="22.5" customHeight="1">
      <c r="A593" s="7" t="s">
        <v>7227</v>
      </c>
      <c r="B593" s="7" t="s">
        <v>7889</v>
      </c>
      <c r="C593" s="8" t="s">
        <v>1169</v>
      </c>
      <c r="D593" s="7" t="s">
        <v>36</v>
      </c>
      <c r="E593" s="7" t="s">
        <v>7932</v>
      </c>
      <c r="F593" s="7" t="s">
        <v>26</v>
      </c>
      <c r="G593" s="7"/>
    </row>
    <row r="594" ht="22.5" customHeight="1">
      <c r="A594" s="7" t="s">
        <v>7227</v>
      </c>
      <c r="B594" s="7" t="s">
        <v>7889</v>
      </c>
      <c r="C594" s="8" t="s">
        <v>1169</v>
      </c>
      <c r="D594" s="7" t="s">
        <v>38</v>
      </c>
      <c r="E594" s="7" t="s">
        <v>7933</v>
      </c>
      <c r="F594" s="7" t="s">
        <v>26</v>
      </c>
      <c r="G594" s="7"/>
    </row>
    <row r="595" ht="22.5" customHeight="1">
      <c r="A595" s="7" t="s">
        <v>7227</v>
      </c>
      <c r="B595" s="7" t="s">
        <v>7889</v>
      </c>
      <c r="C595" s="8" t="s">
        <v>1169</v>
      </c>
      <c r="D595" s="7" t="s">
        <v>40</v>
      </c>
      <c r="E595" s="7" t="s">
        <v>7934</v>
      </c>
      <c r="F595" s="7" t="s">
        <v>26</v>
      </c>
      <c r="G595" s="7"/>
    </row>
    <row r="596" ht="22.5" customHeight="1">
      <c r="A596" s="7" t="s">
        <v>7227</v>
      </c>
      <c r="B596" s="7" t="s">
        <v>7889</v>
      </c>
      <c r="C596" s="8" t="s">
        <v>1169</v>
      </c>
      <c r="D596" s="7" t="s">
        <v>43</v>
      </c>
      <c r="E596" s="7" t="s">
        <v>7935</v>
      </c>
      <c r="F596" s="7" t="s">
        <v>26</v>
      </c>
      <c r="G596" s="7"/>
    </row>
    <row r="597" ht="22.5" customHeight="1">
      <c r="A597" s="7" t="s">
        <v>7227</v>
      </c>
      <c r="B597" s="7" t="s">
        <v>7889</v>
      </c>
      <c r="C597" s="8" t="s">
        <v>1262</v>
      </c>
      <c r="D597" s="7" t="s">
        <v>30</v>
      </c>
      <c r="E597" s="7" t="s">
        <v>7936</v>
      </c>
      <c r="F597" s="7" t="s">
        <v>16</v>
      </c>
      <c r="G597" s="7"/>
    </row>
    <row r="598" ht="22.5" customHeight="1">
      <c r="A598" s="7" t="s">
        <v>7227</v>
      </c>
      <c r="B598" s="7" t="s">
        <v>7889</v>
      </c>
      <c r="C598" s="8" t="s">
        <v>1262</v>
      </c>
      <c r="D598" s="7" t="s">
        <v>36</v>
      </c>
      <c r="E598" s="7" t="s">
        <v>7937</v>
      </c>
      <c r="F598" s="7" t="s">
        <v>105</v>
      </c>
      <c r="G598" s="7"/>
    </row>
    <row r="599" ht="22.5" customHeight="1">
      <c r="A599" s="7" t="s">
        <v>7227</v>
      </c>
      <c r="B599" s="7" t="s">
        <v>7889</v>
      </c>
      <c r="C599" s="8" t="s">
        <v>1262</v>
      </c>
      <c r="D599" s="7" t="s">
        <v>36</v>
      </c>
      <c r="E599" s="7" t="s">
        <v>7938</v>
      </c>
      <c r="F599" s="7" t="s">
        <v>16</v>
      </c>
      <c r="G599" s="7"/>
    </row>
    <row r="600" ht="22.5" customHeight="1">
      <c r="A600" s="7" t="s">
        <v>7227</v>
      </c>
      <c r="B600" s="7" t="s">
        <v>7889</v>
      </c>
      <c r="C600" s="8" t="s">
        <v>1262</v>
      </c>
      <c r="D600" s="7" t="s">
        <v>38</v>
      </c>
      <c r="E600" s="7" t="s">
        <v>7939</v>
      </c>
      <c r="F600" s="7" t="s">
        <v>16</v>
      </c>
      <c r="G600" s="7"/>
    </row>
    <row r="601" ht="22.5" customHeight="1">
      <c r="A601" s="7" t="s">
        <v>7227</v>
      </c>
      <c r="B601" s="7" t="s">
        <v>7889</v>
      </c>
      <c r="C601" s="8" t="s">
        <v>1262</v>
      </c>
      <c r="D601" s="7" t="s">
        <v>40</v>
      </c>
      <c r="E601" s="7" t="s">
        <v>7940</v>
      </c>
      <c r="F601" s="7" t="s">
        <v>16</v>
      </c>
      <c r="G601" s="7"/>
    </row>
    <row r="602" ht="22.5" customHeight="1">
      <c r="A602" s="7" t="s">
        <v>7227</v>
      </c>
      <c r="B602" s="7" t="s">
        <v>7889</v>
      </c>
      <c r="C602" s="8" t="s">
        <v>1262</v>
      </c>
      <c r="D602" s="7" t="s">
        <v>43</v>
      </c>
      <c r="E602" s="7" t="s">
        <v>7941</v>
      </c>
      <c r="F602" s="7" t="s">
        <v>16</v>
      </c>
      <c r="G602" s="7"/>
    </row>
    <row r="603" ht="22.5" customHeight="1">
      <c r="A603" s="7" t="s">
        <v>7227</v>
      </c>
      <c r="B603" s="7" t="s">
        <v>7889</v>
      </c>
      <c r="C603" s="8" t="s">
        <v>1496</v>
      </c>
      <c r="D603" s="7" t="s">
        <v>30</v>
      </c>
      <c r="E603" s="7" t="s">
        <v>7942</v>
      </c>
      <c r="F603" s="7" t="s">
        <v>26</v>
      </c>
      <c r="G603" s="7"/>
    </row>
    <row r="604" ht="22.5" customHeight="1">
      <c r="A604" s="7" t="s">
        <v>7227</v>
      </c>
      <c r="B604" s="7" t="s">
        <v>7889</v>
      </c>
      <c r="C604" s="8" t="s">
        <v>1659</v>
      </c>
      <c r="D604" s="7" t="s">
        <v>30</v>
      </c>
      <c r="E604" s="7" t="s">
        <v>7943</v>
      </c>
      <c r="F604" s="7" t="s">
        <v>16</v>
      </c>
      <c r="G604" s="7"/>
    </row>
    <row r="605" ht="22.5" customHeight="1">
      <c r="A605" s="7" t="s">
        <v>7227</v>
      </c>
      <c r="B605" s="7" t="s">
        <v>7889</v>
      </c>
      <c r="C605" s="8" t="s">
        <v>1659</v>
      </c>
      <c r="D605" s="7" t="s">
        <v>36</v>
      </c>
      <c r="E605" s="7" t="s">
        <v>7944</v>
      </c>
      <c r="F605" s="7" t="s">
        <v>16</v>
      </c>
      <c r="G605" s="7"/>
    </row>
    <row r="606" ht="22.5" customHeight="1">
      <c r="A606" s="7" t="s">
        <v>7227</v>
      </c>
      <c r="B606" s="7" t="s">
        <v>7889</v>
      </c>
      <c r="C606" s="8" t="s">
        <v>1659</v>
      </c>
      <c r="D606" s="7" t="s">
        <v>38</v>
      </c>
      <c r="E606" s="7" t="s">
        <v>7945</v>
      </c>
      <c r="F606" s="7" t="s">
        <v>16</v>
      </c>
      <c r="G606" s="7"/>
    </row>
    <row r="607" ht="22.5" customHeight="1">
      <c r="A607" s="7" t="s">
        <v>7227</v>
      </c>
      <c r="B607" s="7" t="s">
        <v>7889</v>
      </c>
      <c r="C607" s="8" t="s">
        <v>1659</v>
      </c>
      <c r="D607" s="7" t="s">
        <v>40</v>
      </c>
      <c r="E607" s="7" t="s">
        <v>7946</v>
      </c>
      <c r="F607" s="7" t="s">
        <v>16</v>
      </c>
      <c r="G607" s="7"/>
    </row>
    <row r="608" ht="22.5" customHeight="1">
      <c r="A608" s="7" t="s">
        <v>7227</v>
      </c>
      <c r="B608" s="7" t="s">
        <v>7889</v>
      </c>
      <c r="C608" s="8" t="s">
        <v>1659</v>
      </c>
      <c r="D608" s="7" t="s">
        <v>43</v>
      </c>
      <c r="E608" s="7" t="s">
        <v>7947</v>
      </c>
      <c r="F608" s="7" t="s">
        <v>16</v>
      </c>
      <c r="G608" s="7"/>
    </row>
    <row r="609" ht="22.5" customHeight="1">
      <c r="A609" s="7" t="s">
        <v>7213</v>
      </c>
      <c r="B609" s="7" t="s">
        <v>7948</v>
      </c>
      <c r="C609" s="8" t="s">
        <v>2035</v>
      </c>
      <c r="D609" s="7" t="s">
        <v>36</v>
      </c>
      <c r="E609" s="7" t="s">
        <v>7949</v>
      </c>
      <c r="F609" s="7" t="s">
        <v>26</v>
      </c>
      <c r="G609" s="7"/>
    </row>
    <row r="610" ht="22.5" customHeight="1">
      <c r="A610" s="7" t="s">
        <v>7213</v>
      </c>
      <c r="B610" s="7" t="s">
        <v>7948</v>
      </c>
      <c r="C610" s="8" t="s">
        <v>2035</v>
      </c>
      <c r="D610" s="7" t="s">
        <v>38</v>
      </c>
      <c r="E610" s="7" t="s">
        <v>7950</v>
      </c>
      <c r="F610" s="7" t="s">
        <v>26</v>
      </c>
      <c r="G610" s="7"/>
    </row>
    <row r="611" ht="22.5" customHeight="1">
      <c r="A611" s="7" t="s">
        <v>7213</v>
      </c>
      <c r="B611" s="7" t="s">
        <v>7948</v>
      </c>
      <c r="C611" s="8" t="s">
        <v>2035</v>
      </c>
      <c r="D611" s="7" t="s">
        <v>40</v>
      </c>
      <c r="E611" s="7" t="s">
        <v>7951</v>
      </c>
      <c r="F611" s="7" t="s">
        <v>26</v>
      </c>
      <c r="G611" s="7"/>
    </row>
    <row r="612" ht="22.5" customHeight="1">
      <c r="A612" s="7" t="s">
        <v>7213</v>
      </c>
      <c r="B612" s="7" t="s">
        <v>7948</v>
      </c>
      <c r="C612" s="8" t="s">
        <v>2035</v>
      </c>
      <c r="D612" s="7" t="s">
        <v>43</v>
      </c>
      <c r="E612" s="7" t="s">
        <v>7952</v>
      </c>
      <c r="F612" s="7" t="s">
        <v>26</v>
      </c>
      <c r="G612" s="7"/>
    </row>
    <row r="613" ht="22.5" customHeight="1">
      <c r="A613" s="7" t="s">
        <v>7213</v>
      </c>
      <c r="B613" s="7" t="s">
        <v>7948</v>
      </c>
      <c r="C613" s="8" t="s">
        <v>2055</v>
      </c>
      <c r="D613" s="7" t="s">
        <v>36</v>
      </c>
      <c r="E613" s="7" t="s">
        <v>7953</v>
      </c>
      <c r="F613" s="7" t="s">
        <v>26</v>
      </c>
      <c r="G613" s="7"/>
    </row>
    <row r="614" ht="22.5" customHeight="1">
      <c r="A614" s="7" t="s">
        <v>7213</v>
      </c>
      <c r="B614" s="7" t="s">
        <v>7948</v>
      </c>
      <c r="C614" s="8" t="s">
        <v>2055</v>
      </c>
      <c r="D614" s="7" t="s">
        <v>38</v>
      </c>
      <c r="E614" s="7" t="s">
        <v>7954</v>
      </c>
      <c r="F614" s="7" t="s">
        <v>26</v>
      </c>
      <c r="G614" s="7"/>
    </row>
    <row r="615" ht="22.5" customHeight="1">
      <c r="A615" s="7" t="s">
        <v>7213</v>
      </c>
      <c r="B615" s="7" t="s">
        <v>7948</v>
      </c>
      <c r="C615" s="8" t="s">
        <v>2055</v>
      </c>
      <c r="D615" s="7" t="s">
        <v>40</v>
      </c>
      <c r="E615" s="7" t="s">
        <v>7955</v>
      </c>
      <c r="F615" s="7" t="s">
        <v>26</v>
      </c>
      <c r="G615" s="7"/>
    </row>
    <row r="616" ht="22.5" customHeight="1">
      <c r="A616" s="7" t="s">
        <v>7213</v>
      </c>
      <c r="B616" s="7" t="s">
        <v>7948</v>
      </c>
      <c r="C616" s="8" t="s">
        <v>2055</v>
      </c>
      <c r="D616" s="7" t="s">
        <v>43</v>
      </c>
      <c r="E616" s="7" t="s">
        <v>7956</v>
      </c>
      <c r="F616" s="7" t="s">
        <v>26</v>
      </c>
      <c r="G616" s="7"/>
    </row>
    <row r="617" ht="22.5" customHeight="1">
      <c r="A617" s="7" t="s">
        <v>7213</v>
      </c>
      <c r="B617" s="7" t="s">
        <v>7948</v>
      </c>
      <c r="C617" s="8" t="s">
        <v>2198</v>
      </c>
      <c r="D617" s="7" t="s">
        <v>36</v>
      </c>
      <c r="E617" s="7" t="s">
        <v>7957</v>
      </c>
      <c r="F617" s="7" t="s">
        <v>26</v>
      </c>
      <c r="G617" s="7"/>
    </row>
    <row r="618" ht="22.5" customHeight="1">
      <c r="A618" s="7" t="s">
        <v>7213</v>
      </c>
      <c r="B618" s="7" t="s">
        <v>7948</v>
      </c>
      <c r="C618" s="8" t="s">
        <v>2198</v>
      </c>
      <c r="D618" s="7" t="s">
        <v>38</v>
      </c>
      <c r="E618" s="7" t="s">
        <v>7958</v>
      </c>
      <c r="F618" s="7" t="s">
        <v>26</v>
      </c>
      <c r="G618" s="7"/>
    </row>
    <row r="619" ht="22.5" customHeight="1">
      <c r="A619" s="7" t="s">
        <v>7213</v>
      </c>
      <c r="B619" s="7" t="s">
        <v>7948</v>
      </c>
      <c r="C619" s="8" t="s">
        <v>2198</v>
      </c>
      <c r="D619" s="7" t="s">
        <v>40</v>
      </c>
      <c r="E619" s="7" t="s">
        <v>7959</v>
      </c>
      <c r="F619" s="7" t="s">
        <v>26</v>
      </c>
      <c r="G619" s="7"/>
    </row>
    <row r="620" ht="22.5" customHeight="1">
      <c r="A620" s="7" t="s">
        <v>7213</v>
      </c>
      <c r="B620" s="7" t="s">
        <v>7948</v>
      </c>
      <c r="C620" s="8" t="s">
        <v>2198</v>
      </c>
      <c r="D620" s="7" t="s">
        <v>43</v>
      </c>
      <c r="E620" s="7" t="s">
        <v>7960</v>
      </c>
      <c r="F620" s="7" t="s">
        <v>26</v>
      </c>
      <c r="G620" s="7"/>
    </row>
    <row r="621" ht="22.5" customHeight="1">
      <c r="A621" s="7" t="s">
        <v>7213</v>
      </c>
      <c r="B621" s="7" t="s">
        <v>7961</v>
      </c>
      <c r="C621" s="8" t="s">
        <v>1870</v>
      </c>
      <c r="D621" s="7" t="s">
        <v>36</v>
      </c>
      <c r="E621" s="7" t="s">
        <v>7962</v>
      </c>
      <c r="F621" s="7" t="s">
        <v>26</v>
      </c>
      <c r="G621" s="7"/>
    </row>
    <row r="622" ht="22.5" customHeight="1">
      <c r="A622" s="7" t="s">
        <v>7213</v>
      </c>
      <c r="B622" s="7" t="s">
        <v>7961</v>
      </c>
      <c r="C622" s="8" t="s">
        <v>1870</v>
      </c>
      <c r="D622" s="7" t="s">
        <v>38</v>
      </c>
      <c r="E622" s="7" t="s">
        <v>7963</v>
      </c>
      <c r="F622" s="7" t="s">
        <v>26</v>
      </c>
      <c r="G622" s="7"/>
    </row>
    <row r="623" ht="22.5" customHeight="1">
      <c r="A623" s="7" t="s">
        <v>7213</v>
      </c>
      <c r="B623" s="7" t="s">
        <v>7961</v>
      </c>
      <c r="C623" s="8" t="s">
        <v>1870</v>
      </c>
      <c r="D623" s="7" t="s">
        <v>40</v>
      </c>
      <c r="E623" s="7" t="s">
        <v>7964</v>
      </c>
      <c r="F623" s="7" t="s">
        <v>26</v>
      </c>
      <c r="G623" s="7"/>
    </row>
    <row r="624" ht="22.5" customHeight="1">
      <c r="A624" s="7" t="s">
        <v>7213</v>
      </c>
      <c r="B624" s="7" t="s">
        <v>7961</v>
      </c>
      <c r="C624" s="8" t="s">
        <v>1870</v>
      </c>
      <c r="D624" s="7" t="s">
        <v>43</v>
      </c>
      <c r="E624" s="7" t="s">
        <v>7965</v>
      </c>
      <c r="F624" s="7" t="s">
        <v>26</v>
      </c>
      <c r="G624" s="7"/>
    </row>
    <row r="625" ht="22.5" customHeight="1">
      <c r="A625" s="7" t="s">
        <v>7213</v>
      </c>
      <c r="B625" s="7" t="s">
        <v>7961</v>
      </c>
      <c r="C625" s="8" t="s">
        <v>7966</v>
      </c>
      <c r="D625" s="7" t="s">
        <v>43</v>
      </c>
      <c r="E625" s="7" t="s">
        <v>7967</v>
      </c>
      <c r="F625" s="7" t="s">
        <v>26</v>
      </c>
      <c r="G625" s="7" t="s">
        <v>1917</v>
      </c>
    </row>
    <row r="626" ht="22.5" customHeight="1">
      <c r="A626" s="7" t="s">
        <v>7213</v>
      </c>
      <c r="B626" s="7" t="s">
        <v>7961</v>
      </c>
      <c r="C626" s="8" t="s">
        <v>2063</v>
      </c>
      <c r="D626" s="7" t="s">
        <v>36</v>
      </c>
      <c r="E626" s="7" t="s">
        <v>7968</v>
      </c>
      <c r="F626" s="7" t="s">
        <v>26</v>
      </c>
      <c r="G626" s="7"/>
    </row>
    <row r="627" ht="22.5" customHeight="1">
      <c r="A627" s="7" t="s">
        <v>7213</v>
      </c>
      <c r="B627" s="7" t="s">
        <v>7961</v>
      </c>
      <c r="C627" s="8" t="s">
        <v>2063</v>
      </c>
      <c r="D627" s="7" t="s">
        <v>38</v>
      </c>
      <c r="E627" s="7" t="s">
        <v>7969</v>
      </c>
      <c r="F627" s="7" t="s">
        <v>26</v>
      </c>
      <c r="G627" s="7"/>
    </row>
    <row r="628" ht="22.5" customHeight="1">
      <c r="A628" s="7" t="s">
        <v>7213</v>
      </c>
      <c r="B628" s="7" t="s">
        <v>7961</v>
      </c>
      <c r="C628" s="8" t="s">
        <v>2063</v>
      </c>
      <c r="D628" s="7" t="s">
        <v>40</v>
      </c>
      <c r="E628" s="7" t="s">
        <v>7970</v>
      </c>
      <c r="F628" s="7" t="s">
        <v>26</v>
      </c>
      <c r="G628" s="7"/>
    </row>
    <row r="629" ht="22.5" customHeight="1">
      <c r="A629" s="7" t="s">
        <v>7213</v>
      </c>
      <c r="B629" s="7" t="s">
        <v>7961</v>
      </c>
      <c r="C629" s="8" t="s">
        <v>2063</v>
      </c>
      <c r="D629" s="7" t="s">
        <v>43</v>
      </c>
      <c r="E629" s="7" t="s">
        <v>7971</v>
      </c>
      <c r="F629" s="7" t="s">
        <v>26</v>
      </c>
      <c r="G629" s="7"/>
    </row>
    <row r="630" ht="22.5" customHeight="1">
      <c r="A630" s="7" t="s">
        <v>7213</v>
      </c>
      <c r="B630" s="7" t="s">
        <v>7961</v>
      </c>
      <c r="C630" s="8" t="s">
        <v>2168</v>
      </c>
      <c r="D630" s="7" t="s">
        <v>38</v>
      </c>
      <c r="E630" s="7" t="s">
        <v>7972</v>
      </c>
      <c r="F630" s="7" t="s">
        <v>26</v>
      </c>
      <c r="G630" s="7"/>
    </row>
    <row r="631" ht="22.5" customHeight="1">
      <c r="A631" s="7" t="s">
        <v>7213</v>
      </c>
      <c r="B631" s="7" t="s">
        <v>7961</v>
      </c>
      <c r="C631" s="8" t="s">
        <v>2168</v>
      </c>
      <c r="D631" s="7" t="s">
        <v>40</v>
      </c>
      <c r="E631" s="7" t="s">
        <v>7973</v>
      </c>
      <c r="F631" s="7" t="s">
        <v>26</v>
      </c>
      <c r="G631" s="7"/>
    </row>
    <row r="632" ht="22.5" customHeight="1">
      <c r="A632" s="7" t="s">
        <v>7213</v>
      </c>
      <c r="B632" s="7" t="s">
        <v>7961</v>
      </c>
      <c r="C632" s="8" t="s">
        <v>2168</v>
      </c>
      <c r="D632" s="7" t="s">
        <v>43</v>
      </c>
      <c r="E632" s="7" t="s">
        <v>7974</v>
      </c>
      <c r="F632" s="7" t="s">
        <v>26</v>
      </c>
      <c r="G632" s="7"/>
    </row>
    <row r="633" ht="22.5" customHeight="1">
      <c r="A633" s="7" t="s">
        <v>7227</v>
      </c>
      <c r="B633" s="7" t="s">
        <v>7975</v>
      </c>
      <c r="C633" s="8" t="s">
        <v>779</v>
      </c>
      <c r="D633" s="7" t="s">
        <v>43</v>
      </c>
      <c r="E633" s="7" t="s">
        <v>7976</v>
      </c>
      <c r="F633" s="7" t="s">
        <v>155</v>
      </c>
      <c r="G633" s="7"/>
    </row>
    <row r="634" ht="22.5" customHeight="1">
      <c r="A634" s="7" t="s">
        <v>7227</v>
      </c>
      <c r="B634" s="7" t="s">
        <v>7975</v>
      </c>
      <c r="C634" s="8" t="s">
        <v>995</v>
      </c>
      <c r="D634" s="7" t="s">
        <v>30</v>
      </c>
      <c r="E634" s="7" t="s">
        <v>7977</v>
      </c>
      <c r="F634" s="7" t="s">
        <v>16</v>
      </c>
      <c r="G634" s="7"/>
    </row>
    <row r="635" ht="22.5" customHeight="1">
      <c r="A635" s="7" t="s">
        <v>7227</v>
      </c>
      <c r="B635" s="7" t="s">
        <v>7975</v>
      </c>
      <c r="C635" s="8" t="s">
        <v>995</v>
      </c>
      <c r="D635" s="7" t="s">
        <v>36</v>
      </c>
      <c r="E635" s="7" t="s">
        <v>7978</v>
      </c>
      <c r="F635" s="7" t="s">
        <v>16</v>
      </c>
      <c r="G635" s="7"/>
    </row>
    <row r="636" ht="22.5" customHeight="1">
      <c r="A636" s="7" t="s">
        <v>7227</v>
      </c>
      <c r="B636" s="7" t="s">
        <v>7975</v>
      </c>
      <c r="C636" s="8" t="s">
        <v>995</v>
      </c>
      <c r="D636" s="7" t="s">
        <v>38</v>
      </c>
      <c r="E636" s="7" t="s">
        <v>7979</v>
      </c>
      <c r="F636" s="7" t="s">
        <v>16</v>
      </c>
      <c r="G636" s="7"/>
    </row>
    <row r="637" ht="22.5" customHeight="1">
      <c r="A637" s="7" t="s">
        <v>7227</v>
      </c>
      <c r="B637" s="7" t="s">
        <v>7975</v>
      </c>
      <c r="C637" s="8" t="s">
        <v>995</v>
      </c>
      <c r="D637" s="7" t="s">
        <v>40</v>
      </c>
      <c r="E637" s="7" t="s">
        <v>7980</v>
      </c>
      <c r="F637" s="7" t="s">
        <v>16</v>
      </c>
      <c r="G637" s="7"/>
    </row>
    <row r="638" ht="22.5" customHeight="1">
      <c r="A638" s="7" t="s">
        <v>7227</v>
      </c>
      <c r="B638" s="7" t="s">
        <v>7975</v>
      </c>
      <c r="C638" s="8" t="s">
        <v>995</v>
      </c>
      <c r="D638" s="7" t="s">
        <v>43</v>
      </c>
      <c r="E638" s="7" t="s">
        <v>7981</v>
      </c>
      <c r="F638" s="7" t="s">
        <v>16</v>
      </c>
      <c r="G638" s="7"/>
    </row>
    <row r="639" ht="22.5" customHeight="1">
      <c r="A639" s="7" t="s">
        <v>7227</v>
      </c>
      <c r="B639" s="7" t="s">
        <v>7975</v>
      </c>
      <c r="C639" s="8" t="s">
        <v>1530</v>
      </c>
      <c r="D639" s="7" t="s">
        <v>30</v>
      </c>
      <c r="E639" s="7" t="s">
        <v>7982</v>
      </c>
      <c r="F639" s="7" t="s">
        <v>16</v>
      </c>
      <c r="G639" s="7"/>
    </row>
    <row r="640" ht="22.5" customHeight="1">
      <c r="A640" s="7" t="s">
        <v>7227</v>
      </c>
      <c r="B640" s="7" t="s">
        <v>7975</v>
      </c>
      <c r="C640" s="8" t="s">
        <v>1530</v>
      </c>
      <c r="D640" s="7" t="s">
        <v>36</v>
      </c>
      <c r="E640" s="7" t="s">
        <v>7983</v>
      </c>
      <c r="F640" s="7" t="s">
        <v>16</v>
      </c>
      <c r="G640" s="7"/>
    </row>
    <row r="641" ht="22.5" customHeight="1">
      <c r="A641" s="7" t="s">
        <v>7227</v>
      </c>
      <c r="B641" s="7" t="s">
        <v>7975</v>
      </c>
      <c r="C641" s="8" t="s">
        <v>1530</v>
      </c>
      <c r="D641" s="7" t="s">
        <v>38</v>
      </c>
      <c r="E641" s="7" t="s">
        <v>7984</v>
      </c>
      <c r="F641" s="7" t="s">
        <v>16</v>
      </c>
      <c r="G641" s="7"/>
    </row>
    <row r="642" ht="22.5" customHeight="1">
      <c r="A642" s="7" t="s">
        <v>7227</v>
      </c>
      <c r="B642" s="7" t="s">
        <v>7975</v>
      </c>
      <c r="C642" s="8" t="s">
        <v>1530</v>
      </c>
      <c r="D642" s="7" t="s">
        <v>40</v>
      </c>
      <c r="E642" s="7" t="s">
        <v>7985</v>
      </c>
      <c r="F642" s="7" t="s">
        <v>105</v>
      </c>
      <c r="G642" s="7"/>
    </row>
    <row r="643" ht="22.5" customHeight="1">
      <c r="A643" s="7" t="s">
        <v>7227</v>
      </c>
      <c r="B643" s="7" t="s">
        <v>7975</v>
      </c>
      <c r="C643" s="8" t="s">
        <v>1530</v>
      </c>
      <c r="D643" s="7" t="s">
        <v>40</v>
      </c>
      <c r="E643" s="7" t="s">
        <v>7986</v>
      </c>
      <c r="F643" s="7" t="s">
        <v>16</v>
      </c>
      <c r="G643" s="7"/>
    </row>
    <row r="644" ht="22.5" customHeight="1">
      <c r="A644" s="7" t="s">
        <v>7227</v>
      </c>
      <c r="B644" s="7" t="s">
        <v>7975</v>
      </c>
      <c r="C644" s="8" t="s">
        <v>1530</v>
      </c>
      <c r="D644" s="7" t="s">
        <v>43</v>
      </c>
      <c r="E644" s="7" t="s">
        <v>7987</v>
      </c>
      <c r="F644" s="7" t="s">
        <v>16</v>
      </c>
      <c r="G644" s="7"/>
    </row>
    <row r="645" ht="22.5" customHeight="1">
      <c r="A645" s="7" t="s">
        <v>7451</v>
      </c>
      <c r="B645" s="7" t="s">
        <v>2295</v>
      </c>
      <c r="C645" s="8" t="s">
        <v>2296</v>
      </c>
      <c r="D645" s="7" t="s">
        <v>30</v>
      </c>
      <c r="E645" s="7" t="s">
        <v>7988</v>
      </c>
      <c r="F645" s="7" t="s">
        <v>26</v>
      </c>
      <c r="G645" s="7"/>
    </row>
    <row r="646" ht="22.5" customHeight="1">
      <c r="A646" s="7" t="s">
        <v>7451</v>
      </c>
      <c r="B646" s="7" t="s">
        <v>2295</v>
      </c>
      <c r="C646" s="8" t="s">
        <v>2296</v>
      </c>
      <c r="D646" s="7" t="s">
        <v>36</v>
      </c>
      <c r="E646" s="7" t="s">
        <v>7989</v>
      </c>
      <c r="F646" s="7" t="s">
        <v>26</v>
      </c>
      <c r="G646" s="7"/>
    </row>
    <row r="647" ht="22.5" customHeight="1">
      <c r="A647" s="7" t="s">
        <v>7451</v>
      </c>
      <c r="B647" s="7" t="s">
        <v>2295</v>
      </c>
      <c r="C647" s="8" t="s">
        <v>2296</v>
      </c>
      <c r="D647" s="7" t="s">
        <v>43</v>
      </c>
      <c r="E647" s="7" t="s">
        <v>7990</v>
      </c>
      <c r="F647" s="7" t="s">
        <v>26</v>
      </c>
      <c r="G647" s="7"/>
    </row>
    <row r="648" ht="22.5" customHeight="1">
      <c r="A648" s="7" t="s">
        <v>7451</v>
      </c>
      <c r="B648" s="7" t="s">
        <v>2295</v>
      </c>
      <c r="C648" s="8" t="s">
        <v>7991</v>
      </c>
      <c r="D648" s="7" t="s">
        <v>43</v>
      </c>
      <c r="E648" s="7" t="s">
        <v>7992</v>
      </c>
      <c r="F648" s="7" t="s">
        <v>26</v>
      </c>
      <c r="G648" s="7"/>
    </row>
    <row r="649" ht="22.5" customHeight="1">
      <c r="A649" s="7" t="s">
        <v>7451</v>
      </c>
      <c r="B649" s="7" t="s">
        <v>2295</v>
      </c>
      <c r="C649" s="8" t="s">
        <v>2522</v>
      </c>
      <c r="D649" s="7" t="s">
        <v>36</v>
      </c>
      <c r="E649" s="7" t="s">
        <v>7993</v>
      </c>
      <c r="F649" s="7" t="s">
        <v>16</v>
      </c>
      <c r="G649" s="7"/>
    </row>
    <row r="650" ht="22.5" customHeight="1">
      <c r="A650" s="7" t="s">
        <v>7451</v>
      </c>
      <c r="B650" s="7" t="s">
        <v>2295</v>
      </c>
      <c r="C650" s="8" t="s">
        <v>2522</v>
      </c>
      <c r="D650" s="7" t="s">
        <v>38</v>
      </c>
      <c r="E650" s="7" t="s">
        <v>7994</v>
      </c>
      <c r="F650" s="7" t="s">
        <v>16</v>
      </c>
      <c r="G650" s="7"/>
    </row>
    <row r="651" ht="22.5" customHeight="1">
      <c r="A651" s="7" t="s">
        <v>7451</v>
      </c>
      <c r="B651" s="7" t="s">
        <v>2295</v>
      </c>
      <c r="C651" s="8" t="s">
        <v>2522</v>
      </c>
      <c r="D651" s="7" t="s">
        <v>40</v>
      </c>
      <c r="E651" s="7" t="s">
        <v>7995</v>
      </c>
      <c r="F651" s="7" t="s">
        <v>16</v>
      </c>
      <c r="G651" s="7"/>
    </row>
    <row r="652" ht="22.5" customHeight="1">
      <c r="A652" s="7" t="s">
        <v>7451</v>
      </c>
      <c r="B652" s="7" t="s">
        <v>2295</v>
      </c>
      <c r="C652" s="8" t="s">
        <v>2522</v>
      </c>
      <c r="D652" s="7" t="s">
        <v>43</v>
      </c>
      <c r="E652" s="7" t="s">
        <v>7996</v>
      </c>
      <c r="F652" s="7" t="s">
        <v>16</v>
      </c>
      <c r="G652" s="7"/>
    </row>
    <row r="653" ht="22.5" customHeight="1">
      <c r="A653" s="7" t="s">
        <v>7451</v>
      </c>
      <c r="B653" s="7" t="s">
        <v>2295</v>
      </c>
      <c r="C653" s="8" t="s">
        <v>7997</v>
      </c>
      <c r="D653" s="7" t="s">
        <v>43</v>
      </c>
      <c r="E653" s="7" t="s">
        <v>7998</v>
      </c>
      <c r="F653" s="7" t="s">
        <v>26</v>
      </c>
      <c r="G653" s="7"/>
    </row>
    <row r="654" ht="22.5" customHeight="1">
      <c r="A654" s="7" t="s">
        <v>7451</v>
      </c>
      <c r="B654" s="7" t="s">
        <v>2295</v>
      </c>
      <c r="C654" s="8" t="s">
        <v>2548</v>
      </c>
      <c r="D654" s="7" t="s">
        <v>36</v>
      </c>
      <c r="E654" s="7" t="s">
        <v>7999</v>
      </c>
      <c r="F654" s="7" t="s">
        <v>16</v>
      </c>
      <c r="G654" s="7"/>
    </row>
    <row r="655" ht="22.5" customHeight="1">
      <c r="A655" s="7" t="s">
        <v>7451</v>
      </c>
      <c r="B655" s="7" t="s">
        <v>2295</v>
      </c>
      <c r="C655" s="8" t="s">
        <v>2548</v>
      </c>
      <c r="D655" s="7" t="s">
        <v>38</v>
      </c>
      <c r="E655" s="7" t="s">
        <v>8000</v>
      </c>
      <c r="F655" s="7" t="s">
        <v>16</v>
      </c>
      <c r="G655" s="7"/>
    </row>
    <row r="656" ht="22.5" customHeight="1">
      <c r="A656" s="7" t="s">
        <v>7451</v>
      </c>
      <c r="B656" s="7" t="s">
        <v>2295</v>
      </c>
      <c r="C656" s="8" t="s">
        <v>2548</v>
      </c>
      <c r="D656" s="7" t="s">
        <v>40</v>
      </c>
      <c r="E656" s="7" t="s">
        <v>8001</v>
      </c>
      <c r="F656" s="7" t="s">
        <v>16</v>
      </c>
      <c r="G656" s="7"/>
    </row>
    <row r="657" ht="22.5" customHeight="1">
      <c r="A657" s="7" t="s">
        <v>7451</v>
      </c>
      <c r="B657" s="7" t="s">
        <v>2295</v>
      </c>
      <c r="C657" s="8" t="s">
        <v>2548</v>
      </c>
      <c r="D657" s="7" t="s">
        <v>43</v>
      </c>
      <c r="E657" s="7" t="s">
        <v>8002</v>
      </c>
      <c r="F657" s="7" t="s">
        <v>16</v>
      </c>
      <c r="G657" s="7"/>
    </row>
    <row r="658" ht="22.5" customHeight="1">
      <c r="A658" s="7" t="s">
        <v>7451</v>
      </c>
      <c r="B658" s="7" t="s">
        <v>2295</v>
      </c>
      <c r="C658" s="8" t="s">
        <v>8003</v>
      </c>
      <c r="D658" s="7" t="s">
        <v>43</v>
      </c>
      <c r="E658" s="7" t="s">
        <v>8004</v>
      </c>
      <c r="F658" s="7" t="s">
        <v>26</v>
      </c>
      <c r="G658" s="7"/>
    </row>
    <row r="659" ht="22.5" customHeight="1">
      <c r="A659" s="7" t="s">
        <v>7451</v>
      </c>
      <c r="B659" s="7" t="s">
        <v>2295</v>
      </c>
      <c r="C659" s="8" t="s">
        <v>2554</v>
      </c>
      <c r="D659" s="7" t="s">
        <v>40</v>
      </c>
      <c r="E659" s="7" t="s">
        <v>8005</v>
      </c>
      <c r="F659" s="7" t="s">
        <v>16</v>
      </c>
      <c r="G659" s="7"/>
    </row>
    <row r="660" ht="22.5" customHeight="1">
      <c r="A660" s="7" t="s">
        <v>7451</v>
      </c>
      <c r="B660" s="7" t="s">
        <v>2295</v>
      </c>
      <c r="C660" s="8" t="s">
        <v>2554</v>
      </c>
      <c r="D660" s="7" t="s">
        <v>43</v>
      </c>
      <c r="E660" s="7" t="s">
        <v>8006</v>
      </c>
      <c r="F660" s="7" t="s">
        <v>16</v>
      </c>
      <c r="G660" s="7"/>
    </row>
    <row r="661" ht="22.5" customHeight="1">
      <c r="A661" s="7" t="s">
        <v>7451</v>
      </c>
      <c r="B661" s="7" t="s">
        <v>2295</v>
      </c>
      <c r="C661" s="8" t="s">
        <v>8007</v>
      </c>
      <c r="D661" s="7" t="s">
        <v>43</v>
      </c>
      <c r="E661" s="7" t="s">
        <v>8008</v>
      </c>
      <c r="F661" s="7" t="s">
        <v>26</v>
      </c>
      <c r="G661" s="7"/>
    </row>
    <row r="662" ht="22.5" customHeight="1">
      <c r="A662" s="7" t="s">
        <v>7451</v>
      </c>
      <c r="B662" s="7" t="s">
        <v>2295</v>
      </c>
      <c r="C662" s="8" t="s">
        <v>2558</v>
      </c>
      <c r="D662" s="7" t="s">
        <v>36</v>
      </c>
      <c r="E662" s="7" t="s">
        <v>8009</v>
      </c>
      <c r="F662" s="7" t="s">
        <v>16</v>
      </c>
      <c r="G662" s="7"/>
    </row>
    <row r="663" ht="22.5" customHeight="1">
      <c r="A663" s="7" t="s">
        <v>7451</v>
      </c>
      <c r="B663" s="7" t="s">
        <v>2295</v>
      </c>
      <c r="C663" s="8" t="s">
        <v>2558</v>
      </c>
      <c r="D663" s="7" t="s">
        <v>38</v>
      </c>
      <c r="E663" s="7" t="s">
        <v>8010</v>
      </c>
      <c r="F663" s="7" t="s">
        <v>16</v>
      </c>
      <c r="G663" s="7"/>
    </row>
    <row r="664" ht="22.5" customHeight="1">
      <c r="A664" s="7" t="s">
        <v>7451</v>
      </c>
      <c r="B664" s="7" t="s">
        <v>2295</v>
      </c>
      <c r="C664" s="8" t="s">
        <v>2558</v>
      </c>
      <c r="D664" s="7" t="s">
        <v>40</v>
      </c>
      <c r="E664" s="7" t="s">
        <v>8011</v>
      </c>
      <c r="F664" s="7" t="s">
        <v>16</v>
      </c>
      <c r="G664" s="7"/>
    </row>
    <row r="665" ht="22.5" customHeight="1">
      <c r="A665" s="7" t="s">
        <v>7451</v>
      </c>
      <c r="B665" s="7" t="s">
        <v>2295</v>
      </c>
      <c r="C665" s="8" t="s">
        <v>2558</v>
      </c>
      <c r="D665" s="7" t="s">
        <v>43</v>
      </c>
      <c r="E665" s="7" t="s">
        <v>8012</v>
      </c>
      <c r="F665" s="7" t="s">
        <v>26</v>
      </c>
      <c r="G665" s="7"/>
    </row>
    <row r="666" ht="22.5" customHeight="1">
      <c r="A666" s="7" t="s">
        <v>7451</v>
      </c>
      <c r="B666" s="7" t="s">
        <v>2295</v>
      </c>
      <c r="C666" s="8" t="s">
        <v>8013</v>
      </c>
      <c r="D666" s="7" t="s">
        <v>43</v>
      </c>
      <c r="E666" s="7" t="s">
        <v>8014</v>
      </c>
      <c r="F666" s="7" t="s">
        <v>26</v>
      </c>
      <c r="G666" s="7"/>
    </row>
    <row r="667" ht="22.5" customHeight="1">
      <c r="A667" s="7" t="s">
        <v>7451</v>
      </c>
      <c r="B667" s="7" t="s">
        <v>2295</v>
      </c>
      <c r="C667" s="8" t="s">
        <v>2610</v>
      </c>
      <c r="D667" s="7" t="s">
        <v>40</v>
      </c>
      <c r="E667" s="7" t="s">
        <v>8015</v>
      </c>
      <c r="F667" s="7" t="s">
        <v>16</v>
      </c>
      <c r="G667" s="7"/>
    </row>
    <row r="668" ht="22.5" customHeight="1">
      <c r="A668" s="7" t="s">
        <v>7451</v>
      </c>
      <c r="B668" s="7" t="s">
        <v>2295</v>
      </c>
      <c r="C668" s="8" t="s">
        <v>2610</v>
      </c>
      <c r="D668" s="7" t="s">
        <v>43</v>
      </c>
      <c r="E668" s="7" t="s">
        <v>8016</v>
      </c>
      <c r="F668" s="7" t="s">
        <v>16</v>
      </c>
      <c r="G668" s="7"/>
    </row>
    <row r="669" ht="22.5" customHeight="1">
      <c r="A669" s="7" t="s">
        <v>7451</v>
      </c>
      <c r="B669" s="7" t="s">
        <v>2295</v>
      </c>
      <c r="C669" s="8" t="s">
        <v>8017</v>
      </c>
      <c r="D669" s="7" t="s">
        <v>43</v>
      </c>
      <c r="E669" s="7" t="s">
        <v>8018</v>
      </c>
      <c r="F669" s="7" t="s">
        <v>26</v>
      </c>
      <c r="G669" s="7"/>
    </row>
    <row r="670" ht="22.5" customHeight="1">
      <c r="A670" s="7" t="s">
        <v>7451</v>
      </c>
      <c r="B670" s="7" t="s">
        <v>2295</v>
      </c>
      <c r="C670" s="8" t="s">
        <v>2999</v>
      </c>
      <c r="D670" s="7" t="s">
        <v>38</v>
      </c>
      <c r="E670" s="7" t="s">
        <v>8019</v>
      </c>
      <c r="F670" s="7" t="s">
        <v>16</v>
      </c>
      <c r="G670" s="7"/>
    </row>
    <row r="671" ht="22.5" customHeight="1">
      <c r="A671" s="7" t="s">
        <v>7451</v>
      </c>
      <c r="B671" s="7" t="s">
        <v>2295</v>
      </c>
      <c r="C671" s="8" t="s">
        <v>2999</v>
      </c>
      <c r="D671" s="7" t="s">
        <v>40</v>
      </c>
      <c r="E671" s="7" t="s">
        <v>8020</v>
      </c>
      <c r="F671" s="7" t="s">
        <v>16</v>
      </c>
      <c r="G671" s="7"/>
    </row>
    <row r="672" ht="22.5" customHeight="1">
      <c r="A672" s="7" t="s">
        <v>7451</v>
      </c>
      <c r="B672" s="7" t="s">
        <v>2295</v>
      </c>
      <c r="C672" s="8" t="s">
        <v>2999</v>
      </c>
      <c r="D672" s="7" t="s">
        <v>43</v>
      </c>
      <c r="E672" s="7" t="s">
        <v>8021</v>
      </c>
      <c r="F672" s="7" t="s">
        <v>26</v>
      </c>
      <c r="G672" s="7"/>
    </row>
    <row r="673" ht="22.5" customHeight="1">
      <c r="A673" s="7" t="s">
        <v>7451</v>
      </c>
      <c r="B673" s="7" t="s">
        <v>2295</v>
      </c>
      <c r="C673" s="8" t="s">
        <v>8022</v>
      </c>
      <c r="D673" s="7" t="s">
        <v>43</v>
      </c>
      <c r="E673" s="7" t="s">
        <v>8023</v>
      </c>
      <c r="F673" s="7" t="s">
        <v>26</v>
      </c>
      <c r="G673" s="7"/>
    </row>
    <row r="674" ht="22.5" customHeight="1">
      <c r="A674" s="7" t="s">
        <v>7451</v>
      </c>
      <c r="B674" s="7" t="s">
        <v>2295</v>
      </c>
      <c r="C674" s="8" t="s">
        <v>3140</v>
      </c>
      <c r="D674" s="7" t="s">
        <v>36</v>
      </c>
      <c r="E674" s="7" t="s">
        <v>8024</v>
      </c>
      <c r="F674" s="7" t="s">
        <v>16</v>
      </c>
      <c r="G674" s="7"/>
    </row>
    <row r="675" ht="22.5" customHeight="1">
      <c r="A675" s="7" t="s">
        <v>7451</v>
      </c>
      <c r="B675" s="7" t="s">
        <v>2295</v>
      </c>
      <c r="C675" s="8" t="s">
        <v>3140</v>
      </c>
      <c r="D675" s="7" t="s">
        <v>36</v>
      </c>
      <c r="E675" s="7" t="s">
        <v>8025</v>
      </c>
      <c r="F675" s="7" t="s">
        <v>26</v>
      </c>
      <c r="G675" s="7"/>
    </row>
    <row r="676" ht="22.5" customHeight="1">
      <c r="A676" s="7" t="s">
        <v>7451</v>
      </c>
      <c r="B676" s="7" t="s">
        <v>2295</v>
      </c>
      <c r="C676" s="8" t="s">
        <v>3140</v>
      </c>
      <c r="D676" s="7" t="s">
        <v>38</v>
      </c>
      <c r="E676" s="7" t="s">
        <v>8026</v>
      </c>
      <c r="F676" s="7" t="s">
        <v>16</v>
      </c>
      <c r="G676" s="7"/>
    </row>
    <row r="677" ht="22.5" customHeight="1">
      <c r="A677" s="7" t="s">
        <v>7451</v>
      </c>
      <c r="B677" s="7" t="s">
        <v>2295</v>
      </c>
      <c r="C677" s="8" t="s">
        <v>3140</v>
      </c>
      <c r="D677" s="7" t="s">
        <v>40</v>
      </c>
      <c r="E677" s="7" t="s">
        <v>8027</v>
      </c>
      <c r="F677" s="7" t="s">
        <v>16</v>
      </c>
      <c r="G677" s="7"/>
    </row>
    <row r="678" ht="22.5" customHeight="1">
      <c r="A678" s="7" t="s">
        <v>7451</v>
      </c>
      <c r="B678" s="7" t="s">
        <v>2295</v>
      </c>
      <c r="C678" s="8" t="s">
        <v>3140</v>
      </c>
      <c r="D678" s="7" t="s">
        <v>43</v>
      </c>
      <c r="E678" s="7" t="s">
        <v>8028</v>
      </c>
      <c r="F678" s="7" t="s">
        <v>16</v>
      </c>
      <c r="G678" s="7"/>
    </row>
    <row r="679" ht="22.5" customHeight="1">
      <c r="A679" s="7" t="s">
        <v>7451</v>
      </c>
      <c r="B679" s="7" t="s">
        <v>2295</v>
      </c>
      <c r="C679" s="8" t="s">
        <v>8029</v>
      </c>
      <c r="D679" s="7" t="s">
        <v>43</v>
      </c>
      <c r="E679" s="7" t="s">
        <v>8030</v>
      </c>
      <c r="F679" s="7" t="s">
        <v>26</v>
      </c>
      <c r="G679" s="7"/>
    </row>
    <row r="680" ht="22.5" customHeight="1">
      <c r="A680" s="7" t="s">
        <v>7451</v>
      </c>
      <c r="B680" s="7" t="s">
        <v>2295</v>
      </c>
      <c r="C680" s="8" t="s">
        <v>3187</v>
      </c>
      <c r="D680" s="7" t="s">
        <v>36</v>
      </c>
      <c r="E680" s="7" t="s">
        <v>8031</v>
      </c>
      <c r="F680" s="7" t="s">
        <v>16</v>
      </c>
      <c r="G680" s="7"/>
    </row>
    <row r="681" ht="22.5" customHeight="1">
      <c r="A681" s="7" t="s">
        <v>7451</v>
      </c>
      <c r="B681" s="7" t="s">
        <v>2295</v>
      </c>
      <c r="C681" s="8" t="s">
        <v>3187</v>
      </c>
      <c r="D681" s="7" t="s">
        <v>38</v>
      </c>
      <c r="E681" s="7" t="s">
        <v>8032</v>
      </c>
      <c r="F681" s="7" t="s">
        <v>16</v>
      </c>
      <c r="G681" s="7"/>
    </row>
    <row r="682" ht="22.5" customHeight="1">
      <c r="A682" s="7" t="s">
        <v>7451</v>
      </c>
      <c r="B682" s="7" t="s">
        <v>2295</v>
      </c>
      <c r="C682" s="8" t="s">
        <v>3187</v>
      </c>
      <c r="D682" s="7" t="s">
        <v>40</v>
      </c>
      <c r="E682" s="7" t="s">
        <v>8033</v>
      </c>
      <c r="F682" s="7" t="s">
        <v>16</v>
      </c>
      <c r="G682" s="7"/>
    </row>
    <row r="683" ht="22.5" customHeight="1">
      <c r="A683" s="7" t="s">
        <v>7451</v>
      </c>
      <c r="B683" s="7" t="s">
        <v>2295</v>
      </c>
      <c r="C683" s="8" t="s">
        <v>3187</v>
      </c>
      <c r="D683" s="7" t="s">
        <v>43</v>
      </c>
      <c r="E683" s="7" t="s">
        <v>8034</v>
      </c>
      <c r="F683" s="7" t="s">
        <v>16</v>
      </c>
      <c r="G683" s="7"/>
    </row>
    <row r="684" ht="22.5" customHeight="1">
      <c r="A684" s="7" t="s">
        <v>7451</v>
      </c>
      <c r="B684" s="7" t="s">
        <v>2295</v>
      </c>
      <c r="C684" s="8" t="s">
        <v>8035</v>
      </c>
      <c r="D684" s="7" t="s">
        <v>43</v>
      </c>
      <c r="E684" s="7" t="s">
        <v>8036</v>
      </c>
      <c r="F684" s="7" t="s">
        <v>26</v>
      </c>
      <c r="G684" s="7"/>
    </row>
    <row r="685" ht="22.5" customHeight="1">
      <c r="A685" s="7" t="s">
        <v>7451</v>
      </c>
      <c r="B685" s="7" t="s">
        <v>2295</v>
      </c>
      <c r="C685" s="8" t="s">
        <v>3312</v>
      </c>
      <c r="D685" s="7" t="s">
        <v>36</v>
      </c>
      <c r="E685" s="7" t="s">
        <v>8037</v>
      </c>
      <c r="F685" s="7" t="s">
        <v>16</v>
      </c>
      <c r="G685" s="7"/>
    </row>
    <row r="686" ht="22.5" customHeight="1">
      <c r="A686" s="7" t="s">
        <v>7451</v>
      </c>
      <c r="B686" s="7" t="s">
        <v>2295</v>
      </c>
      <c r="C686" s="8" t="s">
        <v>3312</v>
      </c>
      <c r="D686" s="7" t="s">
        <v>36</v>
      </c>
      <c r="E686" s="7" t="s">
        <v>8038</v>
      </c>
      <c r="F686" s="7" t="s">
        <v>26</v>
      </c>
      <c r="G686" s="7"/>
    </row>
    <row r="687" ht="22.5" customHeight="1">
      <c r="A687" s="7" t="s">
        <v>7451</v>
      </c>
      <c r="B687" s="7" t="s">
        <v>2295</v>
      </c>
      <c r="C687" s="8" t="s">
        <v>3312</v>
      </c>
      <c r="D687" s="7" t="s">
        <v>38</v>
      </c>
      <c r="E687" s="7" t="s">
        <v>8039</v>
      </c>
      <c r="F687" s="7" t="s">
        <v>16</v>
      </c>
      <c r="G687" s="7"/>
    </row>
    <row r="688" ht="22.5" customHeight="1">
      <c r="A688" s="7" t="s">
        <v>7451</v>
      </c>
      <c r="B688" s="7" t="s">
        <v>2295</v>
      </c>
      <c r="C688" s="8" t="s">
        <v>3312</v>
      </c>
      <c r="D688" s="7" t="s">
        <v>40</v>
      </c>
      <c r="E688" s="7" t="s">
        <v>8040</v>
      </c>
      <c r="F688" s="7" t="s">
        <v>16</v>
      </c>
      <c r="G688" s="7"/>
    </row>
    <row r="689" ht="22.5" customHeight="1">
      <c r="A689" s="7" t="s">
        <v>7451</v>
      </c>
      <c r="B689" s="7" t="s">
        <v>2295</v>
      </c>
      <c r="C689" s="8" t="s">
        <v>3312</v>
      </c>
      <c r="D689" s="7" t="s">
        <v>43</v>
      </c>
      <c r="E689" s="7" t="s">
        <v>8041</v>
      </c>
      <c r="F689" s="7" t="s">
        <v>16</v>
      </c>
      <c r="G689" s="7"/>
    </row>
    <row r="690" ht="22.5" customHeight="1">
      <c r="A690" s="7" t="s">
        <v>7451</v>
      </c>
      <c r="B690" s="7" t="s">
        <v>2295</v>
      </c>
      <c r="C690" s="8" t="s">
        <v>8042</v>
      </c>
      <c r="D690" s="7" t="s">
        <v>43</v>
      </c>
      <c r="E690" s="7" t="s">
        <v>8043</v>
      </c>
      <c r="F690" s="7" t="s">
        <v>26</v>
      </c>
      <c r="G690" s="7"/>
    </row>
    <row r="691" ht="22.5" customHeight="1">
      <c r="A691" s="7" t="s">
        <v>7451</v>
      </c>
      <c r="B691" s="7" t="s">
        <v>2295</v>
      </c>
      <c r="C691" s="8" t="s">
        <v>3341</v>
      </c>
      <c r="D691" s="7" t="s">
        <v>36</v>
      </c>
      <c r="E691" s="7" t="s">
        <v>8044</v>
      </c>
      <c r="F691" s="7" t="s">
        <v>16</v>
      </c>
      <c r="G691" s="7"/>
    </row>
    <row r="692" ht="22.5" customHeight="1">
      <c r="A692" s="7" t="s">
        <v>7451</v>
      </c>
      <c r="B692" s="7" t="s">
        <v>2295</v>
      </c>
      <c r="C692" s="8" t="s">
        <v>3341</v>
      </c>
      <c r="D692" s="7" t="s">
        <v>36</v>
      </c>
      <c r="E692" s="7" t="s">
        <v>8045</v>
      </c>
      <c r="F692" s="7" t="s">
        <v>26</v>
      </c>
      <c r="G692" s="7"/>
    </row>
    <row r="693" ht="22.5" customHeight="1">
      <c r="A693" s="7" t="s">
        <v>7451</v>
      </c>
      <c r="B693" s="7" t="s">
        <v>2295</v>
      </c>
      <c r="C693" s="8" t="s">
        <v>3341</v>
      </c>
      <c r="D693" s="7" t="s">
        <v>38</v>
      </c>
      <c r="E693" s="7" t="s">
        <v>8046</v>
      </c>
      <c r="F693" s="7" t="s">
        <v>26</v>
      </c>
      <c r="G693" s="7"/>
    </row>
    <row r="694" ht="22.5" customHeight="1">
      <c r="A694" s="7" t="s">
        <v>7451</v>
      </c>
      <c r="B694" s="7" t="s">
        <v>2295</v>
      </c>
      <c r="C694" s="8" t="s">
        <v>3341</v>
      </c>
      <c r="D694" s="7" t="s">
        <v>40</v>
      </c>
      <c r="E694" s="7" t="s">
        <v>8047</v>
      </c>
      <c r="F694" s="7" t="s">
        <v>16</v>
      </c>
      <c r="G694" s="7"/>
    </row>
    <row r="695" ht="22.5" customHeight="1">
      <c r="A695" s="7" t="s">
        <v>7451</v>
      </c>
      <c r="B695" s="7" t="s">
        <v>2295</v>
      </c>
      <c r="C695" s="8" t="s">
        <v>3341</v>
      </c>
      <c r="D695" s="7" t="s">
        <v>43</v>
      </c>
      <c r="E695" s="7" t="s">
        <v>8048</v>
      </c>
      <c r="F695" s="7" t="s">
        <v>26</v>
      </c>
      <c r="G695" s="7"/>
    </row>
    <row r="696" ht="22.5" customHeight="1">
      <c r="A696" s="7" t="s">
        <v>7451</v>
      </c>
      <c r="B696" s="7" t="s">
        <v>2295</v>
      </c>
      <c r="C696" s="8" t="s">
        <v>8049</v>
      </c>
      <c r="D696" s="7" t="s">
        <v>43</v>
      </c>
      <c r="E696" s="7" t="s">
        <v>8050</v>
      </c>
      <c r="F696" s="7" t="s">
        <v>26</v>
      </c>
      <c r="G696" s="7"/>
    </row>
    <row r="697" ht="22.5" customHeight="1">
      <c r="A697" s="7" t="s">
        <v>7451</v>
      </c>
      <c r="B697" s="7" t="s">
        <v>2295</v>
      </c>
      <c r="C697" s="8" t="s">
        <v>3438</v>
      </c>
      <c r="D697" s="7" t="s">
        <v>36</v>
      </c>
      <c r="E697" s="7" t="s">
        <v>8051</v>
      </c>
      <c r="F697" s="7" t="s">
        <v>16</v>
      </c>
      <c r="G697" s="7"/>
    </row>
    <row r="698" ht="22.5" customHeight="1">
      <c r="A698" s="7" t="s">
        <v>7451</v>
      </c>
      <c r="B698" s="7" t="s">
        <v>2295</v>
      </c>
      <c r="C698" s="8" t="s">
        <v>3438</v>
      </c>
      <c r="D698" s="7" t="s">
        <v>36</v>
      </c>
      <c r="E698" s="7" t="s">
        <v>8052</v>
      </c>
      <c r="F698" s="7" t="s">
        <v>26</v>
      </c>
      <c r="G698" s="7"/>
    </row>
    <row r="699" ht="22.5" customHeight="1">
      <c r="A699" s="7" t="s">
        <v>7451</v>
      </c>
      <c r="B699" s="7" t="s">
        <v>2295</v>
      </c>
      <c r="C699" s="8" t="s">
        <v>3438</v>
      </c>
      <c r="D699" s="7" t="s">
        <v>38</v>
      </c>
      <c r="E699" s="7" t="s">
        <v>8053</v>
      </c>
      <c r="F699" s="7" t="s">
        <v>16</v>
      </c>
      <c r="G699" s="7"/>
    </row>
    <row r="700" ht="22.5" customHeight="1">
      <c r="A700" s="7" t="s">
        <v>7451</v>
      </c>
      <c r="B700" s="7" t="s">
        <v>2295</v>
      </c>
      <c r="C700" s="8" t="s">
        <v>3438</v>
      </c>
      <c r="D700" s="7" t="s">
        <v>40</v>
      </c>
      <c r="E700" s="7" t="s">
        <v>8054</v>
      </c>
      <c r="F700" s="7" t="s">
        <v>16</v>
      </c>
      <c r="G700" s="7"/>
    </row>
    <row r="701" ht="22.5" customHeight="1">
      <c r="A701" s="7" t="s">
        <v>7451</v>
      </c>
      <c r="B701" s="7" t="s">
        <v>2295</v>
      </c>
      <c r="C701" s="8" t="s">
        <v>3438</v>
      </c>
      <c r="D701" s="7" t="s">
        <v>43</v>
      </c>
      <c r="E701" s="7" t="s">
        <v>8055</v>
      </c>
      <c r="F701" s="7" t="s">
        <v>16</v>
      </c>
      <c r="G701" s="7"/>
    </row>
    <row r="702" ht="22.5" customHeight="1">
      <c r="A702" s="7" t="s">
        <v>7451</v>
      </c>
      <c r="B702" s="7" t="s">
        <v>2295</v>
      </c>
      <c r="C702" s="8" t="s">
        <v>8056</v>
      </c>
      <c r="D702" s="7" t="s">
        <v>43</v>
      </c>
      <c r="E702" s="7" t="s">
        <v>8057</v>
      </c>
      <c r="F702" s="7" t="s">
        <v>26</v>
      </c>
      <c r="G702" s="7"/>
    </row>
    <row r="703" ht="22.5" customHeight="1">
      <c r="A703" s="7" t="s">
        <v>7451</v>
      </c>
      <c r="B703" s="7" t="s">
        <v>2295</v>
      </c>
      <c r="C703" s="8" t="s">
        <v>3468</v>
      </c>
      <c r="D703" s="7" t="s">
        <v>36</v>
      </c>
      <c r="E703" s="7" t="s">
        <v>8058</v>
      </c>
      <c r="F703" s="7" t="s">
        <v>16</v>
      </c>
      <c r="G703" s="7"/>
    </row>
    <row r="704" ht="22.5" customHeight="1">
      <c r="A704" s="7" t="s">
        <v>7451</v>
      </c>
      <c r="B704" s="7" t="s">
        <v>2295</v>
      </c>
      <c r="C704" s="8" t="s">
        <v>3468</v>
      </c>
      <c r="D704" s="7" t="s">
        <v>38</v>
      </c>
      <c r="E704" s="7" t="s">
        <v>8059</v>
      </c>
      <c r="F704" s="7" t="s">
        <v>16</v>
      </c>
      <c r="G704" s="7"/>
    </row>
    <row r="705" ht="22.5" customHeight="1">
      <c r="A705" s="7" t="s">
        <v>7451</v>
      </c>
      <c r="B705" s="7" t="s">
        <v>2295</v>
      </c>
      <c r="C705" s="8" t="s">
        <v>3468</v>
      </c>
      <c r="D705" s="7" t="s">
        <v>40</v>
      </c>
      <c r="E705" s="7" t="s">
        <v>8060</v>
      </c>
      <c r="F705" s="7" t="s">
        <v>16</v>
      </c>
      <c r="G705" s="7"/>
    </row>
    <row r="706" ht="22.5" customHeight="1">
      <c r="A706" s="7" t="s">
        <v>7451</v>
      </c>
      <c r="B706" s="7" t="s">
        <v>2295</v>
      </c>
      <c r="C706" s="8" t="s">
        <v>3468</v>
      </c>
      <c r="D706" s="7" t="s">
        <v>43</v>
      </c>
      <c r="E706" s="7" t="s">
        <v>8061</v>
      </c>
      <c r="F706" s="7" t="s">
        <v>16</v>
      </c>
      <c r="G706" s="7"/>
    </row>
    <row r="707" ht="22.5" customHeight="1">
      <c r="A707" s="7" t="s">
        <v>7451</v>
      </c>
      <c r="B707" s="7" t="s">
        <v>2295</v>
      </c>
      <c r="C707" s="8" t="s">
        <v>8062</v>
      </c>
      <c r="D707" s="7" t="s">
        <v>43</v>
      </c>
      <c r="E707" s="7" t="s">
        <v>8063</v>
      </c>
      <c r="F707" s="7" t="s">
        <v>26</v>
      </c>
      <c r="G707" s="7"/>
    </row>
    <row r="708" ht="22.5" customHeight="1">
      <c r="A708" s="7" t="s">
        <v>7451</v>
      </c>
      <c r="B708" s="7" t="s">
        <v>2295</v>
      </c>
      <c r="C708" s="8" t="s">
        <v>3532</v>
      </c>
      <c r="D708" s="7" t="s">
        <v>40</v>
      </c>
      <c r="E708" s="7" t="s">
        <v>8064</v>
      </c>
      <c r="F708" s="7" t="s">
        <v>16</v>
      </c>
      <c r="G708" s="7"/>
    </row>
    <row r="709" ht="22.5" customHeight="1">
      <c r="A709" s="7" t="s">
        <v>7451</v>
      </c>
      <c r="B709" s="7" t="s">
        <v>2295</v>
      </c>
      <c r="C709" s="8" t="s">
        <v>3532</v>
      </c>
      <c r="D709" s="7" t="s">
        <v>43</v>
      </c>
      <c r="E709" s="7" t="s">
        <v>8065</v>
      </c>
      <c r="F709" s="7" t="s">
        <v>16</v>
      </c>
      <c r="G709" s="7"/>
    </row>
    <row r="710" ht="22.5" customHeight="1">
      <c r="A710" s="7" t="s">
        <v>7451</v>
      </c>
      <c r="B710" s="7" t="s">
        <v>2295</v>
      </c>
      <c r="C710" s="8" t="s">
        <v>8066</v>
      </c>
      <c r="D710" s="7" t="s">
        <v>43</v>
      </c>
      <c r="E710" s="7" t="s">
        <v>8067</v>
      </c>
      <c r="F710" s="7" t="s">
        <v>26</v>
      </c>
      <c r="G710" s="7"/>
    </row>
    <row r="711" ht="22.5" customHeight="1">
      <c r="A711" s="7" t="s">
        <v>7451</v>
      </c>
      <c r="B711" s="7" t="s">
        <v>2295</v>
      </c>
      <c r="C711" s="8" t="s">
        <v>3536</v>
      </c>
      <c r="D711" s="7" t="s">
        <v>38</v>
      </c>
      <c r="E711" s="7" t="s">
        <v>8068</v>
      </c>
      <c r="F711" s="7" t="s">
        <v>16</v>
      </c>
      <c r="G711" s="7"/>
    </row>
    <row r="712" ht="22.5" customHeight="1">
      <c r="A712" s="7" t="s">
        <v>7451</v>
      </c>
      <c r="B712" s="7" t="s">
        <v>2295</v>
      </c>
      <c r="C712" s="8" t="s">
        <v>3536</v>
      </c>
      <c r="D712" s="7" t="s">
        <v>40</v>
      </c>
      <c r="E712" s="7" t="s">
        <v>8069</v>
      </c>
      <c r="F712" s="7" t="s">
        <v>16</v>
      </c>
      <c r="G712" s="7"/>
    </row>
    <row r="713" ht="22.5" customHeight="1">
      <c r="A713" s="7" t="s">
        <v>7451</v>
      </c>
      <c r="B713" s="7" t="s">
        <v>2295</v>
      </c>
      <c r="C713" s="8" t="s">
        <v>3536</v>
      </c>
      <c r="D713" s="7" t="s">
        <v>43</v>
      </c>
      <c r="E713" s="7" t="s">
        <v>8070</v>
      </c>
      <c r="F713" s="7" t="s">
        <v>16</v>
      </c>
      <c r="G713" s="7"/>
    </row>
    <row r="714" ht="22.5" customHeight="1">
      <c r="A714" s="7" t="s">
        <v>7451</v>
      </c>
      <c r="B714" s="7" t="s">
        <v>2295</v>
      </c>
      <c r="C714" s="8" t="s">
        <v>8071</v>
      </c>
      <c r="D714" s="7" t="s">
        <v>43</v>
      </c>
      <c r="E714" s="7" t="s">
        <v>8072</v>
      </c>
      <c r="F714" s="7" t="s">
        <v>26</v>
      </c>
      <c r="G714" s="7"/>
    </row>
    <row r="715" ht="22.5" customHeight="1">
      <c r="A715" s="7" t="s">
        <v>7451</v>
      </c>
      <c r="B715" s="7" t="s">
        <v>2295</v>
      </c>
      <c r="C715" s="8" t="s">
        <v>8073</v>
      </c>
      <c r="D715" s="7" t="s">
        <v>43</v>
      </c>
      <c r="E715" s="7" t="s">
        <v>8074</v>
      </c>
      <c r="F715" s="7" t="s">
        <v>26</v>
      </c>
      <c r="G715" s="7"/>
    </row>
    <row r="716" ht="22.5" customHeight="1">
      <c r="A716" s="7" t="s">
        <v>7451</v>
      </c>
      <c r="B716" s="7" t="s">
        <v>2295</v>
      </c>
      <c r="C716" s="8" t="s">
        <v>8075</v>
      </c>
      <c r="D716" s="7" t="s">
        <v>40</v>
      </c>
      <c r="E716" s="7" t="s">
        <v>8076</v>
      </c>
      <c r="F716" s="7" t="s">
        <v>16</v>
      </c>
      <c r="G716" s="7"/>
    </row>
    <row r="717" ht="22.5" customHeight="1">
      <c r="A717" s="7" t="s">
        <v>7451</v>
      </c>
      <c r="B717" s="7" t="s">
        <v>2295</v>
      </c>
      <c r="C717" s="8" t="s">
        <v>8075</v>
      </c>
      <c r="D717" s="7" t="s">
        <v>43</v>
      </c>
      <c r="E717" s="7" t="s">
        <v>8077</v>
      </c>
      <c r="F717" s="7" t="s">
        <v>16</v>
      </c>
      <c r="G717" s="7"/>
    </row>
    <row r="718" ht="22.5" customHeight="1">
      <c r="A718" s="7" t="s">
        <v>7451</v>
      </c>
      <c r="B718" s="7" t="s">
        <v>2295</v>
      </c>
      <c r="C718" s="8" t="s">
        <v>3759</v>
      </c>
      <c r="D718" s="7" t="s">
        <v>36</v>
      </c>
      <c r="E718" s="7" t="s">
        <v>8078</v>
      </c>
      <c r="F718" s="7" t="s">
        <v>16</v>
      </c>
      <c r="G718" s="7"/>
    </row>
    <row r="719" ht="22.5" customHeight="1">
      <c r="A719" s="7" t="s">
        <v>7451</v>
      </c>
      <c r="B719" s="7" t="s">
        <v>2295</v>
      </c>
      <c r="C719" s="8" t="s">
        <v>3759</v>
      </c>
      <c r="D719" s="7" t="s">
        <v>38</v>
      </c>
      <c r="E719" s="7" t="s">
        <v>8079</v>
      </c>
      <c r="F719" s="7" t="s">
        <v>16</v>
      </c>
      <c r="G719" s="7"/>
    </row>
    <row r="720" ht="22.5" customHeight="1">
      <c r="A720" s="7" t="s">
        <v>7451</v>
      </c>
      <c r="B720" s="7" t="s">
        <v>2295</v>
      </c>
      <c r="C720" s="8" t="s">
        <v>3759</v>
      </c>
      <c r="D720" s="7" t="s">
        <v>40</v>
      </c>
      <c r="E720" s="7" t="s">
        <v>8080</v>
      </c>
      <c r="F720" s="7" t="s">
        <v>16</v>
      </c>
      <c r="G720" s="7"/>
    </row>
    <row r="721" ht="22.5" customHeight="1">
      <c r="A721" s="7" t="s">
        <v>7451</v>
      </c>
      <c r="B721" s="7" t="s">
        <v>2295</v>
      </c>
      <c r="C721" s="8" t="s">
        <v>3759</v>
      </c>
      <c r="D721" s="7" t="s">
        <v>43</v>
      </c>
      <c r="E721" s="7" t="s">
        <v>8081</v>
      </c>
      <c r="F721" s="7" t="s">
        <v>16</v>
      </c>
      <c r="G721" s="7"/>
    </row>
    <row r="722" ht="22.5" customHeight="1">
      <c r="A722" s="7" t="s">
        <v>7451</v>
      </c>
      <c r="B722" s="7" t="s">
        <v>2295</v>
      </c>
      <c r="C722" s="8" t="s">
        <v>8082</v>
      </c>
      <c r="D722" s="7" t="s">
        <v>43</v>
      </c>
      <c r="E722" s="7" t="s">
        <v>8083</v>
      </c>
      <c r="F722" s="7" t="s">
        <v>26</v>
      </c>
      <c r="G722" s="7"/>
    </row>
    <row r="723" ht="22.5" customHeight="1">
      <c r="A723" s="7" t="s">
        <v>7451</v>
      </c>
      <c r="B723" s="7" t="s">
        <v>2295</v>
      </c>
      <c r="C723" s="8" t="s">
        <v>3765</v>
      </c>
      <c r="D723" s="7" t="s">
        <v>36</v>
      </c>
      <c r="E723" s="7" t="s">
        <v>8084</v>
      </c>
      <c r="F723" s="7" t="s">
        <v>16</v>
      </c>
      <c r="G723" s="7"/>
    </row>
    <row r="724" ht="22.5" customHeight="1">
      <c r="A724" s="7" t="s">
        <v>7451</v>
      </c>
      <c r="B724" s="7" t="s">
        <v>2295</v>
      </c>
      <c r="C724" s="8" t="s">
        <v>3765</v>
      </c>
      <c r="D724" s="7" t="s">
        <v>38</v>
      </c>
      <c r="E724" s="7" t="s">
        <v>8085</v>
      </c>
      <c r="F724" s="7" t="s">
        <v>16</v>
      </c>
      <c r="G724" s="7"/>
    </row>
    <row r="725" ht="22.5" customHeight="1">
      <c r="A725" s="7" t="s">
        <v>7451</v>
      </c>
      <c r="B725" s="7" t="s">
        <v>2295</v>
      </c>
      <c r="C725" s="8" t="s">
        <v>3765</v>
      </c>
      <c r="D725" s="7" t="s">
        <v>40</v>
      </c>
      <c r="E725" s="7" t="s">
        <v>8086</v>
      </c>
      <c r="F725" s="7" t="s">
        <v>16</v>
      </c>
      <c r="G725" s="7"/>
    </row>
    <row r="726" ht="22.5" customHeight="1">
      <c r="A726" s="7" t="s">
        <v>7213</v>
      </c>
      <c r="B726" s="7" t="s">
        <v>8087</v>
      </c>
      <c r="C726" s="8" t="s">
        <v>1805</v>
      </c>
      <c r="D726" s="7" t="s">
        <v>43</v>
      </c>
      <c r="E726" s="7" t="s">
        <v>8088</v>
      </c>
      <c r="F726" s="7" t="s">
        <v>26</v>
      </c>
      <c r="G726" s="7"/>
    </row>
    <row r="727" ht="22.5" customHeight="1">
      <c r="A727" s="7" t="s">
        <v>7213</v>
      </c>
      <c r="B727" s="7" t="s">
        <v>8087</v>
      </c>
      <c r="C727" s="8" t="s">
        <v>1905</v>
      </c>
      <c r="D727" s="7" t="s">
        <v>36</v>
      </c>
      <c r="E727" s="7" t="s">
        <v>8089</v>
      </c>
      <c r="F727" s="7" t="s">
        <v>26</v>
      </c>
      <c r="G727" s="7"/>
    </row>
    <row r="728" ht="22.5" customHeight="1">
      <c r="A728" s="7" t="s">
        <v>7213</v>
      </c>
      <c r="B728" s="7" t="s">
        <v>8087</v>
      </c>
      <c r="C728" s="8" t="s">
        <v>1905</v>
      </c>
      <c r="D728" s="7" t="s">
        <v>38</v>
      </c>
      <c r="E728" s="7" t="s">
        <v>8090</v>
      </c>
      <c r="F728" s="7" t="s">
        <v>26</v>
      </c>
      <c r="G728" s="7"/>
    </row>
    <row r="729" ht="22.5" customHeight="1">
      <c r="A729" s="7" t="s">
        <v>7213</v>
      </c>
      <c r="B729" s="7" t="s">
        <v>8087</v>
      </c>
      <c r="C729" s="8" t="s">
        <v>1905</v>
      </c>
      <c r="D729" s="7" t="s">
        <v>40</v>
      </c>
      <c r="E729" s="7" t="s">
        <v>8091</v>
      </c>
      <c r="F729" s="7" t="s">
        <v>26</v>
      </c>
      <c r="G729" s="7"/>
    </row>
    <row r="730" ht="22.5" customHeight="1">
      <c r="A730" s="7" t="s">
        <v>7213</v>
      </c>
      <c r="B730" s="7" t="s">
        <v>8087</v>
      </c>
      <c r="C730" s="8" t="s">
        <v>1905</v>
      </c>
      <c r="D730" s="7" t="s">
        <v>43</v>
      </c>
      <c r="E730" s="7" t="s">
        <v>8092</v>
      </c>
      <c r="F730" s="7" t="s">
        <v>26</v>
      </c>
      <c r="G730" s="7"/>
    </row>
    <row r="731" ht="22.5" customHeight="1">
      <c r="A731" s="7" t="s">
        <v>7213</v>
      </c>
      <c r="B731" s="7" t="s">
        <v>8087</v>
      </c>
      <c r="C731" s="8" t="s">
        <v>2118</v>
      </c>
      <c r="D731" s="7" t="s">
        <v>36</v>
      </c>
      <c r="E731" s="7" t="s">
        <v>8093</v>
      </c>
      <c r="F731" s="7" t="s">
        <v>26</v>
      </c>
      <c r="G731" s="7"/>
    </row>
    <row r="732" ht="22.5" customHeight="1">
      <c r="A732" s="7" t="s">
        <v>7213</v>
      </c>
      <c r="B732" s="7" t="s">
        <v>8087</v>
      </c>
      <c r="C732" s="8" t="s">
        <v>2118</v>
      </c>
      <c r="D732" s="7" t="s">
        <v>38</v>
      </c>
      <c r="E732" s="7" t="s">
        <v>8094</v>
      </c>
      <c r="F732" s="7" t="s">
        <v>26</v>
      </c>
      <c r="G732" s="7"/>
    </row>
    <row r="733" ht="22.5" customHeight="1">
      <c r="A733" s="7" t="s">
        <v>7213</v>
      </c>
      <c r="B733" s="7" t="s">
        <v>8087</v>
      </c>
      <c r="C733" s="8" t="s">
        <v>2118</v>
      </c>
      <c r="D733" s="7" t="s">
        <v>40</v>
      </c>
      <c r="E733" s="7" t="s">
        <v>8095</v>
      </c>
      <c r="F733" s="7" t="s">
        <v>26</v>
      </c>
      <c r="G733" s="7"/>
    </row>
    <row r="734" ht="22.5" customHeight="1">
      <c r="A734" s="7" t="s">
        <v>7213</v>
      </c>
      <c r="B734" s="7" t="s">
        <v>8087</v>
      </c>
      <c r="C734" s="8" t="s">
        <v>2118</v>
      </c>
      <c r="D734" s="7" t="s">
        <v>43</v>
      </c>
      <c r="E734" s="7" t="s">
        <v>8096</v>
      </c>
      <c r="F734" s="7" t="s">
        <v>26</v>
      </c>
      <c r="G734" s="7"/>
    </row>
    <row r="735" ht="22.5" customHeight="1">
      <c r="A735" s="7" t="s">
        <v>7227</v>
      </c>
      <c r="B735" s="7" t="s">
        <v>8097</v>
      </c>
      <c r="C735" s="8" t="s">
        <v>8098</v>
      </c>
      <c r="D735" s="7" t="s">
        <v>30</v>
      </c>
      <c r="E735" s="7" t="s">
        <v>8099</v>
      </c>
      <c r="F735" s="7" t="s">
        <v>26</v>
      </c>
      <c r="G735" s="7"/>
    </row>
    <row r="736" ht="22.5" customHeight="1">
      <c r="A736" s="7" t="s">
        <v>7227</v>
      </c>
      <c r="B736" s="7" t="s">
        <v>8097</v>
      </c>
      <c r="C736" s="8" t="s">
        <v>8098</v>
      </c>
      <c r="D736" s="7" t="s">
        <v>36</v>
      </c>
      <c r="E736" s="7" t="s">
        <v>8100</v>
      </c>
      <c r="F736" s="7" t="s">
        <v>26</v>
      </c>
      <c r="G736" s="7"/>
    </row>
    <row r="737" ht="22.5" customHeight="1">
      <c r="A737" s="7" t="s">
        <v>7227</v>
      </c>
      <c r="B737" s="7" t="s">
        <v>8097</v>
      </c>
      <c r="C737" s="8" t="s">
        <v>8098</v>
      </c>
      <c r="D737" s="7" t="s">
        <v>38</v>
      </c>
      <c r="E737" s="7" t="s">
        <v>8101</v>
      </c>
      <c r="F737" s="7" t="s">
        <v>26</v>
      </c>
      <c r="G737" s="7"/>
    </row>
    <row r="738" ht="22.5" customHeight="1">
      <c r="A738" s="7" t="s">
        <v>7227</v>
      </c>
      <c r="B738" s="7" t="s">
        <v>8097</v>
      </c>
      <c r="C738" s="8" t="s">
        <v>8098</v>
      </c>
      <c r="D738" s="7" t="s">
        <v>40</v>
      </c>
      <c r="E738" s="7" t="s">
        <v>8102</v>
      </c>
      <c r="F738" s="7" t="s">
        <v>26</v>
      </c>
      <c r="G738" s="7"/>
    </row>
    <row r="739" ht="22.5" customHeight="1">
      <c r="A739" s="7" t="s">
        <v>7227</v>
      </c>
      <c r="B739" s="7" t="s">
        <v>8097</v>
      </c>
      <c r="C739" s="8" t="s">
        <v>8098</v>
      </c>
      <c r="D739" s="7" t="s">
        <v>43</v>
      </c>
      <c r="E739" s="7" t="s">
        <v>8103</v>
      </c>
      <c r="F739" s="7" t="s">
        <v>26</v>
      </c>
      <c r="G739" s="7"/>
    </row>
    <row r="740" ht="22.5" customHeight="1">
      <c r="A740" s="7" t="s">
        <v>7227</v>
      </c>
      <c r="B740" s="7" t="s">
        <v>8097</v>
      </c>
      <c r="C740" s="8" t="s">
        <v>8104</v>
      </c>
      <c r="D740" s="7" t="s">
        <v>30</v>
      </c>
      <c r="E740" s="7" t="s">
        <v>8105</v>
      </c>
      <c r="F740" s="7" t="s">
        <v>16</v>
      </c>
      <c r="G740" s="7"/>
    </row>
    <row r="741" ht="22.5" customHeight="1">
      <c r="A741" s="7" t="s">
        <v>7227</v>
      </c>
      <c r="B741" s="7" t="s">
        <v>8097</v>
      </c>
      <c r="C741" s="8" t="s">
        <v>8104</v>
      </c>
      <c r="D741" s="7" t="s">
        <v>36</v>
      </c>
      <c r="E741" s="7" t="s">
        <v>8106</v>
      </c>
      <c r="F741" s="7" t="s">
        <v>16</v>
      </c>
      <c r="G741" s="7"/>
    </row>
    <row r="742" ht="22.5" customHeight="1">
      <c r="A742" s="7" t="s">
        <v>7227</v>
      </c>
      <c r="B742" s="7" t="s">
        <v>8097</v>
      </c>
      <c r="C742" s="8" t="s">
        <v>8104</v>
      </c>
      <c r="D742" s="7" t="s">
        <v>38</v>
      </c>
      <c r="E742" s="7" t="s">
        <v>8107</v>
      </c>
      <c r="F742" s="7" t="s">
        <v>16</v>
      </c>
      <c r="G742" s="7"/>
    </row>
    <row r="743" ht="22.5" customHeight="1">
      <c r="A743" s="7" t="s">
        <v>7227</v>
      </c>
      <c r="B743" s="7" t="s">
        <v>8097</v>
      </c>
      <c r="C743" s="8" t="s">
        <v>8104</v>
      </c>
      <c r="D743" s="7" t="s">
        <v>40</v>
      </c>
      <c r="E743" s="7" t="s">
        <v>8108</v>
      </c>
      <c r="F743" s="7" t="s">
        <v>16</v>
      </c>
      <c r="G743" s="7"/>
    </row>
    <row r="744" ht="22.5" customHeight="1">
      <c r="A744" s="7" t="s">
        <v>7227</v>
      </c>
      <c r="B744" s="7" t="s">
        <v>8097</v>
      </c>
      <c r="C744" s="8" t="s">
        <v>8104</v>
      </c>
      <c r="D744" s="7" t="s">
        <v>43</v>
      </c>
      <c r="E744" s="7" t="s">
        <v>8109</v>
      </c>
      <c r="F744" s="7" t="s">
        <v>105</v>
      </c>
      <c r="G744" s="7"/>
    </row>
    <row r="745" ht="22.5" customHeight="1">
      <c r="A745" s="7" t="s">
        <v>7227</v>
      </c>
      <c r="B745" s="7" t="s">
        <v>8097</v>
      </c>
      <c r="C745" s="8" t="s">
        <v>8104</v>
      </c>
      <c r="D745" s="7" t="s">
        <v>43</v>
      </c>
      <c r="E745" s="7" t="s">
        <v>8110</v>
      </c>
      <c r="F745" s="7" t="s">
        <v>16</v>
      </c>
      <c r="G745" s="7"/>
    </row>
    <row r="746" ht="22.5" customHeight="1">
      <c r="A746" s="7" t="s">
        <v>7227</v>
      </c>
      <c r="B746" s="7" t="s">
        <v>8097</v>
      </c>
      <c r="C746" s="8" t="s">
        <v>509</v>
      </c>
      <c r="D746" s="7" t="s">
        <v>30</v>
      </c>
      <c r="E746" s="7" t="s">
        <v>8111</v>
      </c>
      <c r="F746" s="7" t="s">
        <v>16</v>
      </c>
      <c r="G746" s="7"/>
    </row>
    <row r="747" ht="22.5" customHeight="1">
      <c r="A747" s="7" t="s">
        <v>7227</v>
      </c>
      <c r="B747" s="7" t="s">
        <v>8097</v>
      </c>
      <c r="C747" s="8" t="s">
        <v>509</v>
      </c>
      <c r="D747" s="7" t="s">
        <v>36</v>
      </c>
      <c r="E747" s="7" t="s">
        <v>8112</v>
      </c>
      <c r="F747" s="7" t="s">
        <v>16</v>
      </c>
      <c r="G747" s="7"/>
    </row>
    <row r="748" ht="22.5" customHeight="1">
      <c r="A748" s="7" t="s">
        <v>7227</v>
      </c>
      <c r="B748" s="7" t="s">
        <v>8097</v>
      </c>
      <c r="C748" s="8" t="s">
        <v>509</v>
      </c>
      <c r="D748" s="7" t="s">
        <v>38</v>
      </c>
      <c r="E748" s="7" t="s">
        <v>8113</v>
      </c>
      <c r="F748" s="7" t="s">
        <v>105</v>
      </c>
      <c r="G748" s="7"/>
    </row>
    <row r="749" ht="22.5" customHeight="1">
      <c r="A749" s="7" t="s">
        <v>7227</v>
      </c>
      <c r="B749" s="7" t="s">
        <v>8097</v>
      </c>
      <c r="C749" s="8" t="s">
        <v>509</v>
      </c>
      <c r="D749" s="7" t="s">
        <v>38</v>
      </c>
      <c r="E749" s="7" t="s">
        <v>8114</v>
      </c>
      <c r="F749" s="7" t="s">
        <v>16</v>
      </c>
      <c r="G749" s="7"/>
    </row>
    <row r="750" ht="22.5" customHeight="1">
      <c r="A750" s="7" t="s">
        <v>7227</v>
      </c>
      <c r="B750" s="7" t="s">
        <v>8097</v>
      </c>
      <c r="C750" s="8" t="s">
        <v>509</v>
      </c>
      <c r="D750" s="7" t="s">
        <v>40</v>
      </c>
      <c r="E750" s="7" t="s">
        <v>8115</v>
      </c>
      <c r="F750" s="7" t="s">
        <v>16</v>
      </c>
      <c r="G750" s="7"/>
    </row>
    <row r="751" ht="22.5" customHeight="1">
      <c r="A751" s="7" t="s">
        <v>7227</v>
      </c>
      <c r="B751" s="7" t="s">
        <v>8097</v>
      </c>
      <c r="C751" s="8" t="s">
        <v>509</v>
      </c>
      <c r="D751" s="7" t="s">
        <v>43</v>
      </c>
      <c r="E751" s="7" t="s">
        <v>8116</v>
      </c>
      <c r="F751" s="7" t="s">
        <v>16</v>
      </c>
      <c r="G751" s="7"/>
    </row>
    <row r="752" ht="22.5" customHeight="1">
      <c r="A752" s="7" t="s">
        <v>7227</v>
      </c>
      <c r="B752" s="7" t="s">
        <v>8097</v>
      </c>
      <c r="C752" s="8" t="s">
        <v>1158</v>
      </c>
      <c r="D752" s="7" t="s">
        <v>30</v>
      </c>
      <c r="E752" s="7" t="s">
        <v>8117</v>
      </c>
      <c r="F752" s="7" t="s">
        <v>26</v>
      </c>
      <c r="G752" s="7"/>
    </row>
    <row r="753" ht="22.5" customHeight="1">
      <c r="A753" s="7" t="s">
        <v>7227</v>
      </c>
      <c r="B753" s="7" t="s">
        <v>8097</v>
      </c>
      <c r="C753" s="8" t="s">
        <v>1158</v>
      </c>
      <c r="D753" s="7" t="s">
        <v>36</v>
      </c>
      <c r="E753" s="7" t="s">
        <v>8118</v>
      </c>
      <c r="F753" s="7" t="s">
        <v>26</v>
      </c>
      <c r="G753" s="7"/>
    </row>
    <row r="754" ht="22.5" customHeight="1">
      <c r="A754" s="7" t="s">
        <v>7227</v>
      </c>
      <c r="B754" s="7" t="s">
        <v>8097</v>
      </c>
      <c r="C754" s="8" t="s">
        <v>1158</v>
      </c>
      <c r="D754" s="7" t="s">
        <v>38</v>
      </c>
      <c r="E754" s="7" t="s">
        <v>8119</v>
      </c>
      <c r="F754" s="7" t="s">
        <v>26</v>
      </c>
      <c r="G754" s="7"/>
    </row>
    <row r="755" ht="22.5" customHeight="1">
      <c r="A755" s="7" t="s">
        <v>7227</v>
      </c>
      <c r="B755" s="7" t="s">
        <v>8097</v>
      </c>
      <c r="C755" s="8" t="s">
        <v>1158</v>
      </c>
      <c r="D755" s="7" t="s">
        <v>40</v>
      </c>
      <c r="E755" s="7" t="s">
        <v>8120</v>
      </c>
      <c r="F755" s="7" t="s">
        <v>26</v>
      </c>
      <c r="G755" s="7"/>
    </row>
    <row r="756" ht="22.5" customHeight="1">
      <c r="A756" s="7" t="s">
        <v>7227</v>
      </c>
      <c r="B756" s="7" t="s">
        <v>8097</v>
      </c>
      <c r="C756" s="8" t="s">
        <v>1158</v>
      </c>
      <c r="D756" s="7" t="s">
        <v>43</v>
      </c>
      <c r="E756" s="7" t="s">
        <v>8121</v>
      </c>
      <c r="F756" s="7" t="s">
        <v>26</v>
      </c>
      <c r="G756" s="7"/>
    </row>
    <row r="757" ht="22.5" customHeight="1">
      <c r="A757" s="7" t="s">
        <v>7227</v>
      </c>
      <c r="B757" s="7" t="s">
        <v>8097</v>
      </c>
      <c r="C757" s="8" t="s">
        <v>1303</v>
      </c>
      <c r="D757" s="7" t="s">
        <v>30</v>
      </c>
      <c r="E757" s="7" t="s">
        <v>8122</v>
      </c>
      <c r="F757" s="7" t="s">
        <v>16</v>
      </c>
      <c r="G757" s="7"/>
    </row>
    <row r="758" ht="22.5" customHeight="1">
      <c r="A758" s="7" t="s">
        <v>7227</v>
      </c>
      <c r="B758" s="7" t="s">
        <v>8097</v>
      </c>
      <c r="C758" s="8" t="s">
        <v>1303</v>
      </c>
      <c r="D758" s="7" t="s">
        <v>36</v>
      </c>
      <c r="E758" s="7" t="s">
        <v>8123</v>
      </c>
      <c r="F758" s="7" t="s">
        <v>16</v>
      </c>
      <c r="G758" s="7"/>
    </row>
    <row r="759" ht="22.5" customHeight="1">
      <c r="A759" s="7" t="s">
        <v>7227</v>
      </c>
      <c r="B759" s="7" t="s">
        <v>8097</v>
      </c>
      <c r="C759" s="8" t="s">
        <v>1303</v>
      </c>
      <c r="D759" s="7" t="s">
        <v>38</v>
      </c>
      <c r="E759" s="7" t="s">
        <v>8124</v>
      </c>
      <c r="F759" s="7" t="s">
        <v>16</v>
      </c>
      <c r="G759" s="7"/>
    </row>
    <row r="760" ht="22.5" customHeight="1">
      <c r="A760" s="7" t="s">
        <v>7227</v>
      </c>
      <c r="B760" s="7" t="s">
        <v>8097</v>
      </c>
      <c r="C760" s="8" t="s">
        <v>1303</v>
      </c>
      <c r="D760" s="7" t="s">
        <v>40</v>
      </c>
      <c r="E760" s="7" t="s">
        <v>8125</v>
      </c>
      <c r="F760" s="7" t="s">
        <v>16</v>
      </c>
      <c r="G760" s="7"/>
    </row>
    <row r="761" ht="22.5" customHeight="1">
      <c r="A761" s="7" t="s">
        <v>7227</v>
      </c>
      <c r="B761" s="7" t="s">
        <v>8097</v>
      </c>
      <c r="C761" s="8" t="s">
        <v>1303</v>
      </c>
      <c r="D761" s="7" t="s">
        <v>43</v>
      </c>
      <c r="E761" s="7" t="s">
        <v>8126</v>
      </c>
      <c r="F761" s="7" t="s">
        <v>16</v>
      </c>
      <c r="G761" s="7"/>
    </row>
    <row r="762" ht="22.5" customHeight="1">
      <c r="A762" s="7" t="s">
        <v>7227</v>
      </c>
      <c r="B762" s="7" t="s">
        <v>8097</v>
      </c>
      <c r="C762" s="8" t="s">
        <v>1441</v>
      </c>
      <c r="D762" s="7" t="s">
        <v>30</v>
      </c>
      <c r="E762" s="7" t="s">
        <v>8127</v>
      </c>
      <c r="F762" s="7" t="s">
        <v>16</v>
      </c>
      <c r="G762" s="7"/>
    </row>
    <row r="763" ht="22.5" customHeight="1">
      <c r="A763" s="7" t="s">
        <v>7227</v>
      </c>
      <c r="B763" s="7" t="s">
        <v>8097</v>
      </c>
      <c r="C763" s="8" t="s">
        <v>1441</v>
      </c>
      <c r="D763" s="7" t="s">
        <v>36</v>
      </c>
      <c r="E763" s="7" t="s">
        <v>8128</v>
      </c>
      <c r="F763" s="7" t="s">
        <v>16</v>
      </c>
      <c r="G763" s="7"/>
    </row>
    <row r="764" ht="22.5" customHeight="1">
      <c r="A764" s="7" t="s">
        <v>7227</v>
      </c>
      <c r="B764" s="7" t="s">
        <v>8097</v>
      </c>
      <c r="C764" s="8" t="s">
        <v>1441</v>
      </c>
      <c r="D764" s="7" t="s">
        <v>38</v>
      </c>
      <c r="E764" s="7" t="s">
        <v>8129</v>
      </c>
      <c r="F764" s="7" t="s">
        <v>16</v>
      </c>
      <c r="G764" s="7"/>
    </row>
    <row r="765" ht="22.5" customHeight="1">
      <c r="A765" s="7" t="s">
        <v>7227</v>
      </c>
      <c r="B765" s="7" t="s">
        <v>8097</v>
      </c>
      <c r="C765" s="8" t="s">
        <v>1441</v>
      </c>
      <c r="D765" s="7" t="s">
        <v>40</v>
      </c>
      <c r="E765" s="7" t="s">
        <v>8130</v>
      </c>
      <c r="F765" s="7" t="s">
        <v>16</v>
      </c>
      <c r="G765" s="7"/>
    </row>
    <row r="766" ht="22.5" customHeight="1">
      <c r="A766" s="7" t="s">
        <v>7227</v>
      </c>
      <c r="B766" s="7" t="s">
        <v>8097</v>
      </c>
      <c r="C766" s="8" t="s">
        <v>1441</v>
      </c>
      <c r="D766" s="7" t="s">
        <v>43</v>
      </c>
      <c r="E766" s="7" t="s">
        <v>8131</v>
      </c>
      <c r="F766" s="7" t="s">
        <v>16</v>
      </c>
      <c r="G766" s="7"/>
    </row>
    <row r="767" ht="22.5" customHeight="1">
      <c r="A767" s="7" t="s">
        <v>7213</v>
      </c>
      <c r="B767" s="7" t="s">
        <v>8132</v>
      </c>
      <c r="C767" s="8" t="s">
        <v>1859</v>
      </c>
      <c r="D767" s="7" t="s">
        <v>36</v>
      </c>
      <c r="E767" s="7" t="s">
        <v>8133</v>
      </c>
      <c r="F767" s="7" t="s">
        <v>26</v>
      </c>
      <c r="G767" s="7"/>
    </row>
    <row r="768" ht="22.5" customHeight="1">
      <c r="A768" s="7" t="s">
        <v>7213</v>
      </c>
      <c r="B768" s="7" t="s">
        <v>8132</v>
      </c>
      <c r="C768" s="8" t="s">
        <v>1859</v>
      </c>
      <c r="D768" s="7" t="s">
        <v>38</v>
      </c>
      <c r="E768" s="7" t="s">
        <v>8134</v>
      </c>
      <c r="F768" s="7" t="s">
        <v>26</v>
      </c>
      <c r="G768" s="7"/>
    </row>
    <row r="769" ht="22.5" customHeight="1">
      <c r="A769" s="7" t="s">
        <v>7213</v>
      </c>
      <c r="B769" s="7" t="s">
        <v>8132</v>
      </c>
      <c r="C769" s="8" t="s">
        <v>1859</v>
      </c>
      <c r="D769" s="7" t="s">
        <v>40</v>
      </c>
      <c r="E769" s="7" t="s">
        <v>8135</v>
      </c>
      <c r="F769" s="7" t="s">
        <v>26</v>
      </c>
      <c r="G769" s="7"/>
    </row>
    <row r="770" ht="22.5" customHeight="1">
      <c r="A770" s="7" t="s">
        <v>7213</v>
      </c>
      <c r="B770" s="7" t="s">
        <v>8132</v>
      </c>
      <c r="C770" s="8" t="s">
        <v>1859</v>
      </c>
      <c r="D770" s="7" t="s">
        <v>43</v>
      </c>
      <c r="E770" s="7" t="s">
        <v>8136</v>
      </c>
      <c r="F770" s="7" t="s">
        <v>26</v>
      </c>
      <c r="G770" s="7"/>
    </row>
    <row r="771" ht="22.5" customHeight="1">
      <c r="A771" s="7" t="s">
        <v>7213</v>
      </c>
      <c r="B771" s="7" t="s">
        <v>8132</v>
      </c>
      <c r="C771" s="8" t="s">
        <v>2181</v>
      </c>
      <c r="D771" s="7" t="s">
        <v>36</v>
      </c>
      <c r="E771" s="7" t="s">
        <v>8137</v>
      </c>
      <c r="F771" s="7" t="s">
        <v>26</v>
      </c>
      <c r="G771" s="7"/>
    </row>
    <row r="772" ht="22.5" customHeight="1">
      <c r="A772" s="7" t="s">
        <v>7213</v>
      </c>
      <c r="B772" s="7" t="s">
        <v>8132</v>
      </c>
      <c r="C772" s="8" t="s">
        <v>2181</v>
      </c>
      <c r="D772" s="7" t="s">
        <v>38</v>
      </c>
      <c r="E772" s="7" t="s">
        <v>8138</v>
      </c>
      <c r="F772" s="7" t="s">
        <v>26</v>
      </c>
      <c r="G772" s="7"/>
    </row>
    <row r="773" ht="22.5" customHeight="1">
      <c r="A773" s="7" t="s">
        <v>7213</v>
      </c>
      <c r="B773" s="7" t="s">
        <v>8132</v>
      </c>
      <c r="C773" s="8" t="s">
        <v>2181</v>
      </c>
      <c r="D773" s="7" t="s">
        <v>40</v>
      </c>
      <c r="E773" s="7" t="s">
        <v>8139</v>
      </c>
      <c r="F773" s="7" t="s">
        <v>26</v>
      </c>
      <c r="G773" s="7"/>
    </row>
    <row r="774" ht="22.5" customHeight="1">
      <c r="A774" s="7" t="s">
        <v>7213</v>
      </c>
      <c r="B774" s="7" t="s">
        <v>8132</v>
      </c>
      <c r="C774" s="8" t="s">
        <v>2181</v>
      </c>
      <c r="D774" s="7" t="s">
        <v>43</v>
      </c>
      <c r="E774" s="7" t="s">
        <v>8140</v>
      </c>
      <c r="F774" s="7" t="s">
        <v>26</v>
      </c>
      <c r="G774" s="7"/>
    </row>
    <row r="775" ht="22.5" customHeight="1">
      <c r="A775" s="7" t="s">
        <v>7227</v>
      </c>
      <c r="B775" s="7" t="s">
        <v>8132</v>
      </c>
      <c r="C775" s="8" t="s">
        <v>94</v>
      </c>
      <c r="D775" s="7" t="s">
        <v>30</v>
      </c>
      <c r="E775" s="7" t="s">
        <v>8141</v>
      </c>
      <c r="F775" s="7" t="s">
        <v>26</v>
      </c>
      <c r="G775" s="7"/>
    </row>
    <row r="776" ht="22.5" customHeight="1">
      <c r="A776" s="7" t="s">
        <v>7227</v>
      </c>
      <c r="B776" s="7" t="s">
        <v>8132</v>
      </c>
      <c r="C776" s="8" t="s">
        <v>94</v>
      </c>
      <c r="D776" s="7" t="s">
        <v>36</v>
      </c>
      <c r="E776" s="7" t="s">
        <v>8142</v>
      </c>
      <c r="F776" s="7" t="s">
        <v>26</v>
      </c>
      <c r="G776" s="7"/>
    </row>
    <row r="777" ht="22.5" customHeight="1">
      <c r="A777" s="7" t="s">
        <v>7227</v>
      </c>
      <c r="B777" s="7" t="s">
        <v>8132</v>
      </c>
      <c r="C777" s="8" t="s">
        <v>94</v>
      </c>
      <c r="D777" s="7" t="s">
        <v>38</v>
      </c>
      <c r="E777" s="7" t="s">
        <v>8143</v>
      </c>
      <c r="F777" s="7" t="s">
        <v>26</v>
      </c>
      <c r="G777" s="7"/>
    </row>
    <row r="778" ht="22.5" customHeight="1">
      <c r="A778" s="7" t="s">
        <v>7227</v>
      </c>
      <c r="B778" s="7" t="s">
        <v>8132</v>
      </c>
      <c r="C778" s="8" t="s">
        <v>94</v>
      </c>
      <c r="D778" s="7" t="s">
        <v>40</v>
      </c>
      <c r="E778" s="7" t="s">
        <v>8144</v>
      </c>
      <c r="F778" s="7" t="s">
        <v>26</v>
      </c>
      <c r="G778" s="7"/>
    </row>
    <row r="779" ht="22.5" customHeight="1">
      <c r="A779" s="7" t="s">
        <v>7227</v>
      </c>
      <c r="B779" s="7" t="s">
        <v>8132</v>
      </c>
      <c r="C779" s="8" t="s">
        <v>94</v>
      </c>
      <c r="D779" s="7" t="s">
        <v>43</v>
      </c>
      <c r="E779" s="7" t="s">
        <v>8145</v>
      </c>
      <c r="F779" s="7" t="s">
        <v>26</v>
      </c>
      <c r="G779" s="7"/>
    </row>
    <row r="780" ht="22.5" customHeight="1">
      <c r="A780" s="7" t="s">
        <v>7227</v>
      </c>
      <c r="B780" s="7" t="s">
        <v>8132</v>
      </c>
      <c r="C780" s="8" t="s">
        <v>147</v>
      </c>
      <c r="D780" s="7" t="s">
        <v>30</v>
      </c>
      <c r="E780" s="7" t="s">
        <v>8146</v>
      </c>
      <c r="F780" s="7" t="s">
        <v>26</v>
      </c>
      <c r="G780" s="7"/>
    </row>
    <row r="781" ht="22.5" customHeight="1">
      <c r="A781" s="7" t="s">
        <v>7227</v>
      </c>
      <c r="B781" s="7" t="s">
        <v>8132</v>
      </c>
      <c r="C781" s="8" t="s">
        <v>203</v>
      </c>
      <c r="D781" s="7" t="s">
        <v>30</v>
      </c>
      <c r="E781" s="7" t="s">
        <v>8147</v>
      </c>
      <c r="F781" s="7" t="s">
        <v>16</v>
      </c>
      <c r="G781" s="7"/>
    </row>
    <row r="782" ht="22.5" customHeight="1">
      <c r="A782" s="7" t="s">
        <v>7227</v>
      </c>
      <c r="B782" s="7" t="s">
        <v>8132</v>
      </c>
      <c r="C782" s="8" t="s">
        <v>203</v>
      </c>
      <c r="D782" s="7" t="s">
        <v>36</v>
      </c>
      <c r="E782" s="7" t="s">
        <v>8148</v>
      </c>
      <c r="F782" s="7" t="s">
        <v>16</v>
      </c>
      <c r="G782" s="7"/>
    </row>
    <row r="783" ht="22.5" customHeight="1">
      <c r="A783" s="7" t="s">
        <v>7227</v>
      </c>
      <c r="B783" s="7" t="s">
        <v>8132</v>
      </c>
      <c r="C783" s="8" t="s">
        <v>203</v>
      </c>
      <c r="D783" s="7" t="s">
        <v>38</v>
      </c>
      <c r="E783" s="7" t="s">
        <v>8149</v>
      </c>
      <c r="F783" s="7" t="s">
        <v>16</v>
      </c>
      <c r="G783" s="7"/>
    </row>
    <row r="784" ht="22.5" customHeight="1">
      <c r="A784" s="7" t="s">
        <v>7227</v>
      </c>
      <c r="B784" s="7" t="s">
        <v>8132</v>
      </c>
      <c r="C784" s="8" t="s">
        <v>203</v>
      </c>
      <c r="D784" s="7" t="s">
        <v>40</v>
      </c>
      <c r="E784" s="7" t="s">
        <v>8150</v>
      </c>
      <c r="F784" s="7" t="s">
        <v>16</v>
      </c>
      <c r="G784" s="7"/>
    </row>
    <row r="785" ht="22.5" customHeight="1">
      <c r="A785" s="7" t="s">
        <v>7227</v>
      </c>
      <c r="B785" s="7" t="s">
        <v>8132</v>
      </c>
      <c r="C785" s="8" t="s">
        <v>203</v>
      </c>
      <c r="D785" s="7" t="s">
        <v>43</v>
      </c>
      <c r="E785" s="7" t="s">
        <v>8151</v>
      </c>
      <c r="F785" s="7" t="s">
        <v>105</v>
      </c>
      <c r="G785" s="7"/>
    </row>
    <row r="786" ht="22.5" customHeight="1">
      <c r="A786" s="7" t="s">
        <v>7227</v>
      </c>
      <c r="B786" s="7" t="s">
        <v>8132</v>
      </c>
      <c r="C786" s="8" t="s">
        <v>203</v>
      </c>
      <c r="D786" s="7" t="s">
        <v>43</v>
      </c>
      <c r="E786" s="7" t="s">
        <v>8152</v>
      </c>
      <c r="F786" s="7" t="s">
        <v>16</v>
      </c>
      <c r="G786" s="7"/>
    </row>
    <row r="787" ht="22.5" customHeight="1">
      <c r="A787" s="7" t="s">
        <v>7227</v>
      </c>
      <c r="B787" s="7" t="s">
        <v>8132</v>
      </c>
      <c r="C787" s="8" t="s">
        <v>316</v>
      </c>
      <c r="D787" s="7" t="s">
        <v>30</v>
      </c>
      <c r="E787" s="7" t="s">
        <v>8153</v>
      </c>
      <c r="F787" s="7" t="s">
        <v>16</v>
      </c>
      <c r="G787" s="7"/>
    </row>
    <row r="788" ht="22.5" customHeight="1">
      <c r="A788" s="7" t="s">
        <v>7227</v>
      </c>
      <c r="B788" s="7" t="s">
        <v>8132</v>
      </c>
      <c r="C788" s="8" t="s">
        <v>316</v>
      </c>
      <c r="D788" s="7" t="s">
        <v>36</v>
      </c>
      <c r="E788" s="7" t="s">
        <v>8154</v>
      </c>
      <c r="F788" s="7" t="s">
        <v>16</v>
      </c>
      <c r="G788" s="7"/>
    </row>
    <row r="789" ht="22.5" customHeight="1">
      <c r="A789" s="7" t="s">
        <v>7227</v>
      </c>
      <c r="B789" s="7" t="s">
        <v>8132</v>
      </c>
      <c r="C789" s="8" t="s">
        <v>316</v>
      </c>
      <c r="D789" s="7" t="s">
        <v>38</v>
      </c>
      <c r="E789" s="7" t="s">
        <v>8155</v>
      </c>
      <c r="F789" s="7" t="s">
        <v>16</v>
      </c>
      <c r="G789" s="7"/>
    </row>
    <row r="790" ht="22.5" customHeight="1">
      <c r="A790" s="7" t="s">
        <v>7227</v>
      </c>
      <c r="B790" s="7" t="s">
        <v>8132</v>
      </c>
      <c r="C790" s="8" t="s">
        <v>316</v>
      </c>
      <c r="D790" s="7" t="s">
        <v>40</v>
      </c>
      <c r="E790" s="7" t="s">
        <v>8156</v>
      </c>
      <c r="F790" s="7" t="s">
        <v>16</v>
      </c>
      <c r="G790" s="7"/>
    </row>
    <row r="791" ht="22.5" customHeight="1">
      <c r="A791" s="7" t="s">
        <v>7227</v>
      </c>
      <c r="B791" s="7" t="s">
        <v>8132</v>
      </c>
      <c r="C791" s="8" t="s">
        <v>316</v>
      </c>
      <c r="D791" s="7" t="s">
        <v>43</v>
      </c>
      <c r="E791" s="7" t="s">
        <v>8157</v>
      </c>
      <c r="F791" s="7" t="s">
        <v>16</v>
      </c>
      <c r="G791" s="7"/>
    </row>
    <row r="792" ht="22.5" customHeight="1">
      <c r="A792" s="7" t="s">
        <v>7227</v>
      </c>
      <c r="B792" s="7" t="s">
        <v>8132</v>
      </c>
      <c r="C792" s="8" t="s">
        <v>692</v>
      </c>
      <c r="D792" s="7" t="s">
        <v>43</v>
      </c>
      <c r="E792" s="7" t="s">
        <v>8158</v>
      </c>
      <c r="F792" s="7" t="s">
        <v>155</v>
      </c>
      <c r="G792" s="7"/>
    </row>
    <row r="793" ht="22.5" customHeight="1">
      <c r="A793" s="7" t="s">
        <v>7227</v>
      </c>
      <c r="B793" s="7" t="s">
        <v>8132</v>
      </c>
      <c r="C793" s="8" t="s">
        <v>914</v>
      </c>
      <c r="D793" s="7" t="s">
        <v>30</v>
      </c>
      <c r="E793" s="7" t="s">
        <v>8159</v>
      </c>
      <c r="F793" s="7" t="s">
        <v>16</v>
      </c>
      <c r="G793" s="7"/>
    </row>
    <row r="794" ht="22.5" customHeight="1">
      <c r="A794" s="7" t="s">
        <v>7227</v>
      </c>
      <c r="B794" s="7" t="s">
        <v>8132</v>
      </c>
      <c r="C794" s="8" t="s">
        <v>914</v>
      </c>
      <c r="D794" s="7" t="s">
        <v>36</v>
      </c>
      <c r="E794" s="7" t="s">
        <v>8160</v>
      </c>
      <c r="F794" s="7" t="s">
        <v>16</v>
      </c>
      <c r="G794" s="7"/>
    </row>
    <row r="795" ht="22.5" customHeight="1">
      <c r="A795" s="7" t="s">
        <v>7227</v>
      </c>
      <c r="B795" s="7" t="s">
        <v>8132</v>
      </c>
      <c r="C795" s="8" t="s">
        <v>914</v>
      </c>
      <c r="D795" s="7" t="s">
        <v>38</v>
      </c>
      <c r="E795" s="7" t="s">
        <v>8161</v>
      </c>
      <c r="F795" s="7" t="s">
        <v>16</v>
      </c>
      <c r="G795" s="7"/>
    </row>
    <row r="796" ht="22.5" customHeight="1">
      <c r="A796" s="7" t="s">
        <v>7227</v>
      </c>
      <c r="B796" s="7" t="s">
        <v>8132</v>
      </c>
      <c r="C796" s="8" t="s">
        <v>914</v>
      </c>
      <c r="D796" s="7" t="s">
        <v>40</v>
      </c>
      <c r="E796" s="7" t="s">
        <v>8162</v>
      </c>
      <c r="F796" s="7" t="s">
        <v>16</v>
      </c>
      <c r="G796" s="7"/>
    </row>
    <row r="797" ht="22.5" customHeight="1">
      <c r="A797" s="7" t="s">
        <v>7227</v>
      </c>
      <c r="B797" s="7" t="s">
        <v>8132</v>
      </c>
      <c r="C797" s="8" t="s">
        <v>914</v>
      </c>
      <c r="D797" s="7" t="s">
        <v>43</v>
      </c>
      <c r="E797" s="7" t="s">
        <v>8163</v>
      </c>
      <c r="F797" s="7" t="s">
        <v>16</v>
      </c>
      <c r="G797" s="7"/>
    </row>
    <row r="798" ht="22.5" customHeight="1">
      <c r="A798" s="7" t="s">
        <v>7227</v>
      </c>
      <c r="B798" s="7" t="s">
        <v>8132</v>
      </c>
      <c r="C798" s="8" t="s">
        <v>1040</v>
      </c>
      <c r="D798" s="7" t="s">
        <v>30</v>
      </c>
      <c r="E798" s="7" t="s">
        <v>8164</v>
      </c>
      <c r="F798" s="7" t="s">
        <v>16</v>
      </c>
      <c r="G798" s="7"/>
    </row>
    <row r="799" ht="22.5" customHeight="1">
      <c r="A799" s="7" t="s">
        <v>7227</v>
      </c>
      <c r="B799" s="7" t="s">
        <v>8132</v>
      </c>
      <c r="C799" s="8" t="s">
        <v>1040</v>
      </c>
      <c r="D799" s="7" t="s">
        <v>36</v>
      </c>
      <c r="E799" s="7" t="s">
        <v>8165</v>
      </c>
      <c r="F799" s="7" t="s">
        <v>16</v>
      </c>
      <c r="G799" s="7"/>
    </row>
    <row r="800" ht="22.5" customHeight="1">
      <c r="A800" s="7" t="s">
        <v>7227</v>
      </c>
      <c r="B800" s="7" t="s">
        <v>8132</v>
      </c>
      <c r="C800" s="8" t="s">
        <v>1040</v>
      </c>
      <c r="D800" s="7" t="s">
        <v>38</v>
      </c>
      <c r="E800" s="7" t="s">
        <v>8166</v>
      </c>
      <c r="F800" s="7" t="s">
        <v>16</v>
      </c>
      <c r="G800" s="7"/>
    </row>
    <row r="801" ht="22.5" customHeight="1">
      <c r="A801" s="7" t="s">
        <v>7227</v>
      </c>
      <c r="B801" s="7" t="s">
        <v>8132</v>
      </c>
      <c r="C801" s="8" t="s">
        <v>1040</v>
      </c>
      <c r="D801" s="7" t="s">
        <v>40</v>
      </c>
      <c r="E801" s="7" t="s">
        <v>8167</v>
      </c>
      <c r="F801" s="7" t="s">
        <v>105</v>
      </c>
      <c r="G801" s="7"/>
    </row>
    <row r="802" ht="22.5" customHeight="1">
      <c r="A802" s="7" t="s">
        <v>7227</v>
      </c>
      <c r="B802" s="7" t="s">
        <v>8132</v>
      </c>
      <c r="C802" s="8" t="s">
        <v>1040</v>
      </c>
      <c r="D802" s="7" t="s">
        <v>40</v>
      </c>
      <c r="E802" s="7" t="s">
        <v>8168</v>
      </c>
      <c r="F802" s="7" t="s">
        <v>16</v>
      </c>
      <c r="G802" s="7"/>
    </row>
    <row r="803" ht="22.5" customHeight="1">
      <c r="A803" s="7" t="s">
        <v>7227</v>
      </c>
      <c r="B803" s="7" t="s">
        <v>8132</v>
      </c>
      <c r="C803" s="8" t="s">
        <v>1040</v>
      </c>
      <c r="D803" s="7" t="s">
        <v>43</v>
      </c>
      <c r="E803" s="7" t="s">
        <v>8169</v>
      </c>
      <c r="F803" s="7" t="s">
        <v>16</v>
      </c>
      <c r="G803" s="7"/>
    </row>
    <row r="804" ht="22.5" customHeight="1">
      <c r="A804" s="7" t="s">
        <v>7227</v>
      </c>
      <c r="B804" s="7" t="s">
        <v>8132</v>
      </c>
      <c r="C804" s="8" t="s">
        <v>1611</v>
      </c>
      <c r="D804" s="7" t="s">
        <v>30</v>
      </c>
      <c r="E804" s="7" t="s">
        <v>8170</v>
      </c>
      <c r="F804" s="7" t="s">
        <v>26</v>
      </c>
      <c r="G804" s="7"/>
    </row>
    <row r="805" ht="22.5" customHeight="1">
      <c r="A805" s="7" t="s">
        <v>7227</v>
      </c>
      <c r="B805" s="7" t="s">
        <v>8132</v>
      </c>
      <c r="C805" s="8" t="s">
        <v>1611</v>
      </c>
      <c r="D805" s="7" t="s">
        <v>36</v>
      </c>
      <c r="E805" s="7" t="s">
        <v>8171</v>
      </c>
      <c r="F805" s="7" t="s">
        <v>26</v>
      </c>
      <c r="G805" s="7"/>
    </row>
    <row r="806" ht="22.5" customHeight="1">
      <c r="A806" s="7" t="s">
        <v>7227</v>
      </c>
      <c r="B806" s="7" t="s">
        <v>8132</v>
      </c>
      <c r="C806" s="8" t="s">
        <v>1611</v>
      </c>
      <c r="D806" s="7" t="s">
        <v>38</v>
      </c>
      <c r="E806" s="7" t="s">
        <v>8172</v>
      </c>
      <c r="F806" s="7" t="s">
        <v>26</v>
      </c>
      <c r="G806" s="7"/>
    </row>
    <row r="807" ht="22.5" customHeight="1">
      <c r="A807" s="7" t="s">
        <v>7227</v>
      </c>
      <c r="B807" s="7" t="s">
        <v>8132</v>
      </c>
      <c r="C807" s="8" t="s">
        <v>1611</v>
      </c>
      <c r="D807" s="7" t="s">
        <v>40</v>
      </c>
      <c r="E807" s="7" t="s">
        <v>8173</v>
      </c>
      <c r="F807" s="7" t="s">
        <v>26</v>
      </c>
      <c r="G807" s="7"/>
    </row>
    <row r="808" ht="22.5" customHeight="1">
      <c r="A808" s="7" t="s">
        <v>7227</v>
      </c>
      <c r="B808" s="7" t="s">
        <v>8132</v>
      </c>
      <c r="C808" s="8" t="s">
        <v>1611</v>
      </c>
      <c r="D808" s="7" t="s">
        <v>43</v>
      </c>
      <c r="E808" s="7" t="s">
        <v>8174</v>
      </c>
      <c r="F808" s="7" t="s">
        <v>26</v>
      </c>
      <c r="G808" s="7"/>
    </row>
    <row r="809" ht="22.5" customHeight="1">
      <c r="A809" s="7" t="s">
        <v>7227</v>
      </c>
      <c r="B809" s="7" t="s">
        <v>8132</v>
      </c>
      <c r="C809" s="8" t="s">
        <v>1688</v>
      </c>
      <c r="D809" s="7" t="s">
        <v>30</v>
      </c>
      <c r="E809" s="7" t="s">
        <v>8175</v>
      </c>
      <c r="F809" s="7" t="s">
        <v>155</v>
      </c>
      <c r="G809" s="7"/>
    </row>
    <row r="810" ht="22.5" customHeight="1">
      <c r="A810" s="7" t="s">
        <v>7227</v>
      </c>
      <c r="B810" s="7" t="s">
        <v>8132</v>
      </c>
      <c r="C810" s="8" t="s">
        <v>1688</v>
      </c>
      <c r="D810" s="7" t="s">
        <v>36</v>
      </c>
      <c r="E810" s="7" t="s">
        <v>8176</v>
      </c>
      <c r="F810" s="7" t="s">
        <v>155</v>
      </c>
      <c r="G810" s="7"/>
    </row>
    <row r="811" ht="22.5" customHeight="1">
      <c r="A811" s="7" t="s">
        <v>7227</v>
      </c>
      <c r="B811" s="7" t="s">
        <v>8132</v>
      </c>
      <c r="C811" s="8" t="s">
        <v>1688</v>
      </c>
      <c r="D811" s="7" t="s">
        <v>38</v>
      </c>
      <c r="E811" s="7" t="s">
        <v>8177</v>
      </c>
      <c r="F811" s="7" t="s">
        <v>155</v>
      </c>
      <c r="G811" s="7"/>
    </row>
    <row r="812" ht="22.5" customHeight="1">
      <c r="A812" s="7" t="s">
        <v>7227</v>
      </c>
      <c r="B812" s="7" t="s">
        <v>8132</v>
      </c>
      <c r="C812" s="8" t="s">
        <v>1688</v>
      </c>
      <c r="D812" s="7" t="s">
        <v>40</v>
      </c>
      <c r="E812" s="7" t="s">
        <v>8178</v>
      </c>
      <c r="F812" s="7" t="s">
        <v>155</v>
      </c>
      <c r="G812" s="7"/>
    </row>
    <row r="813" ht="22.5" customHeight="1">
      <c r="A813" s="7" t="s">
        <v>7227</v>
      </c>
      <c r="B813" s="7" t="s">
        <v>8132</v>
      </c>
      <c r="C813" s="8" t="s">
        <v>1688</v>
      </c>
      <c r="D813" s="7" t="s">
        <v>43</v>
      </c>
      <c r="E813" s="7" t="s">
        <v>8179</v>
      </c>
      <c r="F813" s="7" t="s">
        <v>155</v>
      </c>
      <c r="G813" s="7"/>
    </row>
    <row r="814" ht="22.5" customHeight="1">
      <c r="A814" s="7" t="s">
        <v>7213</v>
      </c>
      <c r="B814" s="7" t="s">
        <v>8180</v>
      </c>
      <c r="C814" s="8" t="s">
        <v>1941</v>
      </c>
      <c r="D814" s="7" t="s">
        <v>36</v>
      </c>
      <c r="E814" s="7" t="s">
        <v>8181</v>
      </c>
      <c r="F814" s="7" t="s">
        <v>26</v>
      </c>
      <c r="G814" s="7"/>
    </row>
    <row r="815" ht="22.5" customHeight="1">
      <c r="A815" s="7" t="s">
        <v>7213</v>
      </c>
      <c r="B815" s="7" t="s">
        <v>8180</v>
      </c>
      <c r="C815" s="8" t="s">
        <v>1941</v>
      </c>
      <c r="D815" s="7" t="s">
        <v>38</v>
      </c>
      <c r="E815" s="7" t="s">
        <v>8182</v>
      </c>
      <c r="F815" s="7" t="s">
        <v>26</v>
      </c>
      <c r="G815" s="7"/>
    </row>
    <row r="816" ht="22.5" customHeight="1">
      <c r="A816" s="7" t="s">
        <v>7213</v>
      </c>
      <c r="B816" s="7" t="s">
        <v>8180</v>
      </c>
      <c r="C816" s="8" t="s">
        <v>1941</v>
      </c>
      <c r="D816" s="7" t="s">
        <v>40</v>
      </c>
      <c r="E816" s="7" t="s">
        <v>8183</v>
      </c>
      <c r="F816" s="7" t="s">
        <v>26</v>
      </c>
      <c r="G816" s="7"/>
    </row>
    <row r="817" ht="22.5" customHeight="1">
      <c r="A817" s="7" t="s">
        <v>7213</v>
      </c>
      <c r="B817" s="7" t="s">
        <v>8180</v>
      </c>
      <c r="C817" s="8" t="s">
        <v>1941</v>
      </c>
      <c r="D817" s="7" t="s">
        <v>43</v>
      </c>
      <c r="E817" s="7" t="s">
        <v>8184</v>
      </c>
      <c r="F817" s="7" t="s">
        <v>26</v>
      </c>
      <c r="G817" s="7"/>
    </row>
    <row r="818" ht="22.5" customHeight="1">
      <c r="A818" s="7" t="s">
        <v>7213</v>
      </c>
      <c r="B818" s="7" t="s">
        <v>8180</v>
      </c>
      <c r="C818" s="8" t="s">
        <v>1941</v>
      </c>
      <c r="D818" s="7" t="s">
        <v>43</v>
      </c>
      <c r="E818" s="7" t="s">
        <v>8185</v>
      </c>
      <c r="F818" s="7" t="s">
        <v>26</v>
      </c>
      <c r="G818" s="7"/>
    </row>
    <row r="819" ht="22.5" customHeight="1">
      <c r="A819" s="7" t="s">
        <v>7213</v>
      </c>
      <c r="B819" s="7" t="s">
        <v>8180</v>
      </c>
      <c r="C819" s="8" t="s">
        <v>8186</v>
      </c>
      <c r="D819" s="7" t="s">
        <v>43</v>
      </c>
      <c r="E819" s="7" t="s">
        <v>8187</v>
      </c>
      <c r="F819" s="7" t="s">
        <v>26</v>
      </c>
      <c r="G819" s="7" t="s">
        <v>1917</v>
      </c>
    </row>
    <row r="820" ht="22.5" customHeight="1">
      <c r="A820" s="7" t="s">
        <v>7213</v>
      </c>
      <c r="B820" s="7" t="s">
        <v>8180</v>
      </c>
      <c r="C820" s="8" t="s">
        <v>2026</v>
      </c>
      <c r="D820" s="7" t="s">
        <v>36</v>
      </c>
      <c r="E820" s="7" t="s">
        <v>8188</v>
      </c>
      <c r="F820" s="7" t="s">
        <v>26</v>
      </c>
      <c r="G820" s="7"/>
    </row>
    <row r="821" ht="22.5" customHeight="1">
      <c r="A821" s="7" t="s">
        <v>7213</v>
      </c>
      <c r="B821" s="7" t="s">
        <v>8180</v>
      </c>
      <c r="C821" s="8" t="s">
        <v>2026</v>
      </c>
      <c r="D821" s="7" t="s">
        <v>38</v>
      </c>
      <c r="E821" s="7" t="s">
        <v>8189</v>
      </c>
      <c r="F821" s="7" t="s">
        <v>26</v>
      </c>
      <c r="G821" s="7"/>
    </row>
    <row r="822" ht="22.5" customHeight="1">
      <c r="A822" s="7" t="s">
        <v>7213</v>
      </c>
      <c r="B822" s="7" t="s">
        <v>8180</v>
      </c>
      <c r="C822" s="8" t="s">
        <v>2026</v>
      </c>
      <c r="D822" s="7" t="s">
        <v>40</v>
      </c>
      <c r="E822" s="7" t="s">
        <v>8190</v>
      </c>
      <c r="F822" s="7" t="s">
        <v>26</v>
      </c>
      <c r="G822" s="7"/>
    </row>
    <row r="823" ht="22.5" customHeight="1">
      <c r="A823" s="7" t="s">
        <v>7213</v>
      </c>
      <c r="B823" s="7" t="s">
        <v>8180</v>
      </c>
      <c r="C823" s="8" t="s">
        <v>2026</v>
      </c>
      <c r="D823" s="7" t="s">
        <v>43</v>
      </c>
      <c r="E823" s="7" t="s">
        <v>8191</v>
      </c>
      <c r="F823" s="7" t="s">
        <v>26</v>
      </c>
      <c r="G823" s="7"/>
    </row>
    <row r="824" ht="22.5" customHeight="1">
      <c r="A824" s="7" t="s">
        <v>7227</v>
      </c>
      <c r="B824" s="7" t="s">
        <v>8192</v>
      </c>
      <c r="C824" s="8" t="s">
        <v>179</v>
      </c>
      <c r="D824" s="7" t="s">
        <v>30</v>
      </c>
      <c r="E824" s="7" t="s">
        <v>8193</v>
      </c>
      <c r="F824" s="7" t="s">
        <v>26</v>
      </c>
      <c r="G824" s="7"/>
    </row>
    <row r="825" ht="22.5" customHeight="1">
      <c r="A825" s="7" t="s">
        <v>7227</v>
      </c>
      <c r="B825" s="7" t="s">
        <v>8192</v>
      </c>
      <c r="C825" s="8" t="s">
        <v>179</v>
      </c>
      <c r="D825" s="7" t="s">
        <v>36</v>
      </c>
      <c r="E825" s="7" t="s">
        <v>8194</v>
      </c>
      <c r="F825" s="7" t="s">
        <v>26</v>
      </c>
      <c r="G825" s="7"/>
    </row>
    <row r="826" ht="22.5" customHeight="1">
      <c r="A826" s="7" t="s">
        <v>7227</v>
      </c>
      <c r="B826" s="7" t="s">
        <v>8192</v>
      </c>
      <c r="C826" s="8" t="s">
        <v>179</v>
      </c>
      <c r="D826" s="7" t="s">
        <v>38</v>
      </c>
      <c r="E826" s="7" t="s">
        <v>8195</v>
      </c>
      <c r="F826" s="7" t="s">
        <v>26</v>
      </c>
      <c r="G826" s="7"/>
    </row>
    <row r="827" ht="22.5" customHeight="1">
      <c r="A827" s="7" t="s">
        <v>7227</v>
      </c>
      <c r="B827" s="7" t="s">
        <v>8192</v>
      </c>
      <c r="C827" s="8" t="s">
        <v>179</v>
      </c>
      <c r="D827" s="7" t="s">
        <v>40</v>
      </c>
      <c r="E827" s="7" t="s">
        <v>8196</v>
      </c>
      <c r="F827" s="7" t="s">
        <v>26</v>
      </c>
      <c r="G827" s="7"/>
    </row>
    <row r="828" ht="22.5" customHeight="1">
      <c r="A828" s="7" t="s">
        <v>7227</v>
      </c>
      <c r="B828" s="7" t="s">
        <v>8192</v>
      </c>
      <c r="C828" s="8" t="s">
        <v>179</v>
      </c>
      <c r="D828" s="7" t="s">
        <v>43</v>
      </c>
      <c r="E828" s="7" t="s">
        <v>8197</v>
      </c>
      <c r="F828" s="7" t="s">
        <v>26</v>
      </c>
      <c r="G828" s="7"/>
    </row>
    <row r="829" ht="22.5" customHeight="1">
      <c r="A829" s="7" t="s">
        <v>7227</v>
      </c>
      <c r="B829" s="7" t="s">
        <v>8192</v>
      </c>
      <c r="C829" s="8" t="s">
        <v>535</v>
      </c>
      <c r="D829" s="7" t="s">
        <v>30</v>
      </c>
      <c r="E829" s="7" t="s">
        <v>8198</v>
      </c>
      <c r="F829" s="7" t="s">
        <v>16</v>
      </c>
      <c r="G829" s="7"/>
    </row>
    <row r="830" ht="22.5" customHeight="1">
      <c r="A830" s="7" t="s">
        <v>7227</v>
      </c>
      <c r="B830" s="7" t="s">
        <v>8192</v>
      </c>
      <c r="C830" s="8" t="s">
        <v>535</v>
      </c>
      <c r="D830" s="7" t="s">
        <v>36</v>
      </c>
      <c r="E830" s="7" t="s">
        <v>8199</v>
      </c>
      <c r="F830" s="7" t="s">
        <v>16</v>
      </c>
      <c r="G830" s="7"/>
    </row>
    <row r="831" ht="22.5" customHeight="1">
      <c r="A831" s="7" t="s">
        <v>7227</v>
      </c>
      <c r="B831" s="7" t="s">
        <v>8192</v>
      </c>
      <c r="C831" s="8" t="s">
        <v>535</v>
      </c>
      <c r="D831" s="7" t="s">
        <v>38</v>
      </c>
      <c r="E831" s="7" t="s">
        <v>8200</v>
      </c>
      <c r="F831" s="7" t="s">
        <v>105</v>
      </c>
      <c r="G831" s="7"/>
    </row>
    <row r="832" ht="22.5" customHeight="1">
      <c r="A832" s="7" t="s">
        <v>7227</v>
      </c>
      <c r="B832" s="7" t="s">
        <v>8192</v>
      </c>
      <c r="C832" s="8" t="s">
        <v>535</v>
      </c>
      <c r="D832" s="7" t="s">
        <v>38</v>
      </c>
      <c r="E832" s="7" t="s">
        <v>8201</v>
      </c>
      <c r="F832" s="7" t="s">
        <v>16</v>
      </c>
      <c r="G832" s="7"/>
    </row>
    <row r="833" ht="22.5" customHeight="1">
      <c r="A833" s="7" t="s">
        <v>7227</v>
      </c>
      <c r="B833" s="7" t="s">
        <v>8192</v>
      </c>
      <c r="C833" s="8" t="s">
        <v>535</v>
      </c>
      <c r="D833" s="7" t="s">
        <v>40</v>
      </c>
      <c r="E833" s="7" t="s">
        <v>8202</v>
      </c>
      <c r="F833" s="7" t="s">
        <v>16</v>
      </c>
      <c r="G833" s="7"/>
    </row>
    <row r="834" ht="22.5" customHeight="1">
      <c r="A834" s="7" t="s">
        <v>7227</v>
      </c>
      <c r="B834" s="7" t="s">
        <v>8192</v>
      </c>
      <c r="C834" s="8" t="s">
        <v>535</v>
      </c>
      <c r="D834" s="7" t="s">
        <v>43</v>
      </c>
      <c r="E834" s="7" t="s">
        <v>8203</v>
      </c>
      <c r="F834" s="7" t="s">
        <v>16</v>
      </c>
      <c r="G834" s="7"/>
    </row>
    <row r="835" ht="22.5" customHeight="1">
      <c r="A835" s="7" t="s">
        <v>7227</v>
      </c>
      <c r="B835" s="7" t="s">
        <v>8192</v>
      </c>
      <c r="C835" s="8" t="s">
        <v>608</v>
      </c>
      <c r="D835" s="7" t="s">
        <v>30</v>
      </c>
      <c r="E835" s="7" t="s">
        <v>8204</v>
      </c>
      <c r="F835" s="7" t="s">
        <v>26</v>
      </c>
      <c r="G835" s="7" t="s">
        <v>1917</v>
      </c>
    </row>
    <row r="836" ht="22.5" customHeight="1">
      <c r="A836" s="7" t="s">
        <v>7227</v>
      </c>
      <c r="B836" s="7" t="s">
        <v>8192</v>
      </c>
      <c r="C836" s="8" t="s">
        <v>608</v>
      </c>
      <c r="D836" s="7" t="s">
        <v>30</v>
      </c>
      <c r="E836" s="7" t="s">
        <v>8205</v>
      </c>
      <c r="F836" s="7" t="s">
        <v>26</v>
      </c>
      <c r="G836" s="7" t="s">
        <v>1917</v>
      </c>
    </row>
    <row r="837" ht="22.5" customHeight="1">
      <c r="A837" s="7" t="s">
        <v>7227</v>
      </c>
      <c r="B837" s="7" t="s">
        <v>8192</v>
      </c>
      <c r="C837" s="8" t="s">
        <v>608</v>
      </c>
      <c r="D837" s="7" t="s">
        <v>36</v>
      </c>
      <c r="E837" s="7" t="s">
        <v>8206</v>
      </c>
      <c r="F837" s="7" t="s">
        <v>26</v>
      </c>
      <c r="G837" s="7" t="s">
        <v>1917</v>
      </c>
    </row>
    <row r="838" ht="22.5" customHeight="1">
      <c r="A838" s="7" t="s">
        <v>7227</v>
      </c>
      <c r="B838" s="7" t="s">
        <v>8192</v>
      </c>
      <c r="C838" s="8" t="s">
        <v>608</v>
      </c>
      <c r="D838" s="7" t="s">
        <v>38</v>
      </c>
      <c r="E838" s="7" t="s">
        <v>8207</v>
      </c>
      <c r="F838" s="7" t="s">
        <v>26</v>
      </c>
      <c r="G838" s="7" t="s">
        <v>1917</v>
      </c>
    </row>
    <row r="839" ht="22.5" customHeight="1">
      <c r="A839" s="7" t="s">
        <v>7227</v>
      </c>
      <c r="B839" s="7" t="s">
        <v>8192</v>
      </c>
      <c r="C839" s="8" t="s">
        <v>608</v>
      </c>
      <c r="D839" s="7" t="s">
        <v>40</v>
      </c>
      <c r="E839" s="7" t="s">
        <v>8208</v>
      </c>
      <c r="F839" s="7" t="s">
        <v>26</v>
      </c>
      <c r="G839" s="7" t="s">
        <v>1917</v>
      </c>
    </row>
    <row r="840" ht="22.5" customHeight="1">
      <c r="A840" s="7" t="s">
        <v>7227</v>
      </c>
      <c r="B840" s="7" t="s">
        <v>8192</v>
      </c>
      <c r="C840" s="8" t="s">
        <v>608</v>
      </c>
      <c r="D840" s="7" t="s">
        <v>43</v>
      </c>
      <c r="E840" s="7" t="s">
        <v>7434</v>
      </c>
      <c r="F840" s="7" t="s">
        <v>26</v>
      </c>
      <c r="G840" s="7" t="s">
        <v>1917</v>
      </c>
    </row>
    <row r="841" ht="22.5" customHeight="1">
      <c r="A841" s="7" t="s">
        <v>7227</v>
      </c>
      <c r="B841" s="7" t="s">
        <v>8192</v>
      </c>
      <c r="C841" s="8" t="s">
        <v>644</v>
      </c>
      <c r="D841" s="7" t="s">
        <v>30</v>
      </c>
      <c r="E841" s="7" t="s">
        <v>8209</v>
      </c>
      <c r="F841" s="7" t="s">
        <v>16</v>
      </c>
      <c r="G841" s="7"/>
    </row>
    <row r="842" ht="22.5" customHeight="1">
      <c r="A842" s="7" t="s">
        <v>7227</v>
      </c>
      <c r="B842" s="7" t="s">
        <v>8192</v>
      </c>
      <c r="C842" s="8" t="s">
        <v>644</v>
      </c>
      <c r="D842" s="7" t="s">
        <v>36</v>
      </c>
      <c r="E842" s="7" t="s">
        <v>8210</v>
      </c>
      <c r="F842" s="7" t="s">
        <v>16</v>
      </c>
      <c r="G842" s="7"/>
    </row>
    <row r="843" ht="22.5" customHeight="1">
      <c r="A843" s="7" t="s">
        <v>7227</v>
      </c>
      <c r="B843" s="7" t="s">
        <v>8192</v>
      </c>
      <c r="C843" s="8" t="s">
        <v>644</v>
      </c>
      <c r="D843" s="7" t="s">
        <v>38</v>
      </c>
      <c r="E843" s="7" t="s">
        <v>8211</v>
      </c>
      <c r="F843" s="7" t="s">
        <v>16</v>
      </c>
      <c r="G843" s="7"/>
    </row>
    <row r="844" ht="22.5" customHeight="1">
      <c r="A844" s="7" t="s">
        <v>7227</v>
      </c>
      <c r="B844" s="7" t="s">
        <v>8192</v>
      </c>
      <c r="C844" s="8" t="s">
        <v>644</v>
      </c>
      <c r="D844" s="7" t="s">
        <v>40</v>
      </c>
      <c r="E844" s="7" t="s">
        <v>8212</v>
      </c>
      <c r="F844" s="7" t="s">
        <v>16</v>
      </c>
      <c r="G844" s="7"/>
    </row>
    <row r="845" ht="22.5" customHeight="1">
      <c r="A845" s="7" t="s">
        <v>7227</v>
      </c>
      <c r="B845" s="7" t="s">
        <v>8192</v>
      </c>
      <c r="C845" s="8" t="s">
        <v>644</v>
      </c>
      <c r="D845" s="7" t="s">
        <v>43</v>
      </c>
      <c r="E845" s="7" t="s">
        <v>8213</v>
      </c>
      <c r="F845" s="7" t="s">
        <v>16</v>
      </c>
      <c r="G845" s="7"/>
    </row>
    <row r="846" ht="22.5" customHeight="1">
      <c r="A846" s="7" t="s">
        <v>7227</v>
      </c>
      <c r="B846" s="7" t="s">
        <v>8192</v>
      </c>
      <c r="C846" s="8" t="s">
        <v>674</v>
      </c>
      <c r="D846" s="7" t="s">
        <v>30</v>
      </c>
      <c r="E846" s="7" t="s">
        <v>8214</v>
      </c>
      <c r="F846" s="7" t="s">
        <v>155</v>
      </c>
      <c r="G846" s="7"/>
    </row>
    <row r="847" ht="22.5" customHeight="1">
      <c r="A847" s="7" t="s">
        <v>7227</v>
      </c>
      <c r="B847" s="7" t="s">
        <v>8192</v>
      </c>
      <c r="C847" s="8" t="s">
        <v>674</v>
      </c>
      <c r="D847" s="7" t="s">
        <v>36</v>
      </c>
      <c r="E847" s="7" t="s">
        <v>8215</v>
      </c>
      <c r="F847" s="7" t="s">
        <v>155</v>
      </c>
      <c r="G847" s="7"/>
    </row>
    <row r="848" ht="22.5" customHeight="1">
      <c r="A848" s="7" t="s">
        <v>7227</v>
      </c>
      <c r="B848" s="7" t="s">
        <v>8192</v>
      </c>
      <c r="C848" s="8" t="s">
        <v>674</v>
      </c>
      <c r="D848" s="7" t="s">
        <v>38</v>
      </c>
      <c r="E848" s="7" t="s">
        <v>8216</v>
      </c>
      <c r="F848" s="7" t="s">
        <v>155</v>
      </c>
      <c r="G848" s="7"/>
    </row>
    <row r="849" ht="22.5" customHeight="1">
      <c r="A849" s="7" t="s">
        <v>7227</v>
      </c>
      <c r="B849" s="7" t="s">
        <v>8192</v>
      </c>
      <c r="C849" s="8" t="s">
        <v>674</v>
      </c>
      <c r="D849" s="7" t="s">
        <v>40</v>
      </c>
      <c r="E849" s="7" t="s">
        <v>8217</v>
      </c>
      <c r="F849" s="7" t="s">
        <v>155</v>
      </c>
      <c r="G849" s="7"/>
    </row>
    <row r="850" ht="22.5" customHeight="1">
      <c r="A850" s="7" t="s">
        <v>7227</v>
      </c>
      <c r="B850" s="7" t="s">
        <v>8192</v>
      </c>
      <c r="C850" s="8" t="s">
        <v>674</v>
      </c>
      <c r="D850" s="7" t="s">
        <v>43</v>
      </c>
      <c r="E850" s="7" t="s">
        <v>8218</v>
      </c>
      <c r="F850" s="7" t="s">
        <v>155</v>
      </c>
      <c r="G850" s="7"/>
    </row>
    <row r="851" ht="22.5" customHeight="1">
      <c r="A851" s="7" t="s">
        <v>7227</v>
      </c>
      <c r="B851" s="7" t="s">
        <v>8192</v>
      </c>
      <c r="C851" s="8" t="s">
        <v>1071</v>
      </c>
      <c r="D851" s="7" t="s">
        <v>30</v>
      </c>
      <c r="E851" s="7" t="s">
        <v>8219</v>
      </c>
      <c r="F851" s="7" t="s">
        <v>16</v>
      </c>
      <c r="G851" s="7"/>
    </row>
    <row r="852" ht="22.5" customHeight="1">
      <c r="A852" s="7" t="s">
        <v>7227</v>
      </c>
      <c r="B852" s="7" t="s">
        <v>8192</v>
      </c>
      <c r="C852" s="8" t="s">
        <v>1071</v>
      </c>
      <c r="D852" s="7" t="s">
        <v>36</v>
      </c>
      <c r="E852" s="7" t="s">
        <v>8220</v>
      </c>
      <c r="F852" s="7" t="s">
        <v>16</v>
      </c>
      <c r="G852" s="7"/>
    </row>
    <row r="853" ht="22.5" customHeight="1">
      <c r="A853" s="7" t="s">
        <v>7227</v>
      </c>
      <c r="B853" s="7" t="s">
        <v>8192</v>
      </c>
      <c r="C853" s="8" t="s">
        <v>1071</v>
      </c>
      <c r="D853" s="7" t="s">
        <v>38</v>
      </c>
      <c r="E853" s="7" t="s">
        <v>8221</v>
      </c>
      <c r="F853" s="7" t="s">
        <v>16</v>
      </c>
      <c r="G853" s="7"/>
    </row>
    <row r="854" ht="22.5" customHeight="1">
      <c r="A854" s="7" t="s">
        <v>7227</v>
      </c>
      <c r="B854" s="7" t="s">
        <v>8192</v>
      </c>
      <c r="C854" s="8" t="s">
        <v>1071</v>
      </c>
      <c r="D854" s="7" t="s">
        <v>40</v>
      </c>
      <c r="E854" s="7" t="s">
        <v>8222</v>
      </c>
      <c r="F854" s="7" t="s">
        <v>16</v>
      </c>
      <c r="G854" s="7"/>
    </row>
    <row r="855" ht="22.5" customHeight="1">
      <c r="A855" s="7" t="s">
        <v>7227</v>
      </c>
      <c r="B855" s="7" t="s">
        <v>8192</v>
      </c>
      <c r="C855" s="8" t="s">
        <v>1071</v>
      </c>
      <c r="D855" s="7" t="s">
        <v>43</v>
      </c>
      <c r="E855" s="7" t="s">
        <v>8223</v>
      </c>
      <c r="F855" s="7" t="s">
        <v>16</v>
      </c>
      <c r="G855" s="7"/>
    </row>
    <row r="856" ht="22.5" customHeight="1">
      <c r="A856" s="7" t="s">
        <v>7227</v>
      </c>
      <c r="B856" s="7" t="s">
        <v>8192</v>
      </c>
      <c r="C856" s="8" t="s">
        <v>1485</v>
      </c>
      <c r="D856" s="7" t="s">
        <v>30</v>
      </c>
      <c r="E856" s="7" t="s">
        <v>8224</v>
      </c>
      <c r="F856" s="7" t="s">
        <v>155</v>
      </c>
      <c r="G856" s="7"/>
    </row>
    <row r="857" ht="22.5" customHeight="1">
      <c r="A857" s="7" t="s">
        <v>7227</v>
      </c>
      <c r="B857" s="7" t="s">
        <v>8192</v>
      </c>
      <c r="C857" s="8" t="s">
        <v>1485</v>
      </c>
      <c r="D857" s="7" t="s">
        <v>36</v>
      </c>
      <c r="E857" s="7" t="s">
        <v>8225</v>
      </c>
      <c r="F857" s="7" t="s">
        <v>155</v>
      </c>
      <c r="G857" s="7"/>
    </row>
    <row r="858" ht="22.5" customHeight="1">
      <c r="A858" s="7" t="s">
        <v>7227</v>
      </c>
      <c r="B858" s="7" t="s">
        <v>8192</v>
      </c>
      <c r="C858" s="8" t="s">
        <v>1485</v>
      </c>
      <c r="D858" s="7" t="s">
        <v>38</v>
      </c>
      <c r="E858" s="7" t="s">
        <v>8226</v>
      </c>
      <c r="F858" s="7" t="s">
        <v>155</v>
      </c>
      <c r="G858" s="7"/>
    </row>
    <row r="859" ht="22.5" customHeight="1">
      <c r="A859" s="7" t="s">
        <v>7227</v>
      </c>
      <c r="B859" s="7" t="s">
        <v>8192</v>
      </c>
      <c r="C859" s="8" t="s">
        <v>1485</v>
      </c>
      <c r="D859" s="7" t="s">
        <v>40</v>
      </c>
      <c r="E859" s="7" t="s">
        <v>8227</v>
      </c>
      <c r="F859" s="7" t="s">
        <v>155</v>
      </c>
      <c r="G859" s="7"/>
    </row>
    <row r="860" ht="22.5" customHeight="1">
      <c r="A860" s="7" t="s">
        <v>7227</v>
      </c>
      <c r="B860" s="7" t="s">
        <v>8192</v>
      </c>
      <c r="C860" s="8" t="s">
        <v>1485</v>
      </c>
      <c r="D860" s="7" t="s">
        <v>43</v>
      </c>
      <c r="E860" s="7" t="s">
        <v>8228</v>
      </c>
      <c r="F860" s="7" t="s">
        <v>155</v>
      </c>
      <c r="G860" s="7"/>
    </row>
    <row r="861" ht="22.5" customHeight="1">
      <c r="A861" s="7" t="s">
        <v>7227</v>
      </c>
      <c r="B861" s="7" t="s">
        <v>8192</v>
      </c>
      <c r="C861" s="8" t="s">
        <v>1633</v>
      </c>
      <c r="D861" s="7" t="s">
        <v>30</v>
      </c>
      <c r="E861" s="7" t="s">
        <v>8229</v>
      </c>
      <c r="F861" s="7" t="s">
        <v>16</v>
      </c>
      <c r="G861" s="7"/>
    </row>
    <row r="862" ht="22.5" customHeight="1">
      <c r="A862" s="7" t="s">
        <v>7227</v>
      </c>
      <c r="B862" s="7" t="s">
        <v>8192</v>
      </c>
      <c r="C862" s="8" t="s">
        <v>1633</v>
      </c>
      <c r="D862" s="7" t="s">
        <v>36</v>
      </c>
      <c r="E862" s="7" t="s">
        <v>8230</v>
      </c>
      <c r="F862" s="7" t="s">
        <v>16</v>
      </c>
      <c r="G862" s="7"/>
    </row>
    <row r="863" ht="22.5" customHeight="1">
      <c r="A863" s="7" t="s">
        <v>7227</v>
      </c>
      <c r="B863" s="7" t="s">
        <v>8192</v>
      </c>
      <c r="C863" s="8" t="s">
        <v>1633</v>
      </c>
      <c r="D863" s="7" t="s">
        <v>38</v>
      </c>
      <c r="E863" s="7" t="s">
        <v>8231</v>
      </c>
      <c r="F863" s="7" t="s">
        <v>16</v>
      </c>
      <c r="G863" s="7"/>
    </row>
    <row r="864" ht="22.5" customHeight="1">
      <c r="A864" s="7" t="s">
        <v>7227</v>
      </c>
      <c r="B864" s="7" t="s">
        <v>8192</v>
      </c>
      <c r="C864" s="8" t="s">
        <v>1633</v>
      </c>
      <c r="D864" s="7" t="s">
        <v>40</v>
      </c>
      <c r="E864" s="7" t="s">
        <v>8232</v>
      </c>
      <c r="F864" s="7" t="s">
        <v>16</v>
      </c>
      <c r="G864" s="7"/>
    </row>
    <row r="865" ht="22.5" customHeight="1">
      <c r="A865" s="7" t="s">
        <v>7227</v>
      </c>
      <c r="B865" s="7" t="s">
        <v>8192</v>
      </c>
      <c r="C865" s="8" t="s">
        <v>1633</v>
      </c>
      <c r="D865" s="7" t="s">
        <v>43</v>
      </c>
      <c r="E865" s="7" t="s">
        <v>8233</v>
      </c>
      <c r="F865" s="7" t="s">
        <v>16</v>
      </c>
      <c r="G865" s="7"/>
    </row>
    <row r="866" ht="22.5" customHeight="1">
      <c r="A866" s="7" t="s">
        <v>7227</v>
      </c>
      <c r="B866" s="7" t="s">
        <v>8192</v>
      </c>
      <c r="C866" s="8" t="s">
        <v>1698</v>
      </c>
      <c r="D866" s="7" t="s">
        <v>30</v>
      </c>
      <c r="E866" s="7" t="s">
        <v>8234</v>
      </c>
      <c r="F866" s="7" t="s">
        <v>26</v>
      </c>
      <c r="G866" s="7"/>
    </row>
    <row r="867" ht="22.5" customHeight="1">
      <c r="A867" s="7" t="s">
        <v>7227</v>
      </c>
      <c r="B867" s="7" t="s">
        <v>8192</v>
      </c>
      <c r="C867" s="8" t="s">
        <v>1698</v>
      </c>
      <c r="D867" s="7" t="s">
        <v>36</v>
      </c>
      <c r="E867" s="7" t="s">
        <v>8235</v>
      </c>
      <c r="F867" s="7" t="s">
        <v>26</v>
      </c>
      <c r="G867" s="7"/>
    </row>
    <row r="868" ht="22.5" customHeight="1">
      <c r="A868" s="7" t="s">
        <v>7227</v>
      </c>
      <c r="B868" s="7" t="s">
        <v>8192</v>
      </c>
      <c r="C868" s="8" t="s">
        <v>1698</v>
      </c>
      <c r="D868" s="7" t="s">
        <v>38</v>
      </c>
      <c r="E868" s="7" t="s">
        <v>8236</v>
      </c>
      <c r="F868" s="7" t="s">
        <v>26</v>
      </c>
      <c r="G868" s="7"/>
    </row>
    <row r="869" ht="22.5" customHeight="1">
      <c r="A869" s="7" t="s">
        <v>7227</v>
      </c>
      <c r="B869" s="7" t="s">
        <v>8192</v>
      </c>
      <c r="C869" s="8" t="s">
        <v>1698</v>
      </c>
      <c r="D869" s="7" t="s">
        <v>40</v>
      </c>
      <c r="E869" s="7" t="s">
        <v>8237</v>
      </c>
      <c r="F869" s="7" t="s">
        <v>26</v>
      </c>
      <c r="G869" s="7"/>
    </row>
    <row r="870" ht="22.5" customHeight="1">
      <c r="A870" s="7" t="s">
        <v>7227</v>
      </c>
      <c r="B870" s="7" t="s">
        <v>8192</v>
      </c>
      <c r="C870" s="8" t="s">
        <v>1698</v>
      </c>
      <c r="D870" s="7" t="s">
        <v>43</v>
      </c>
      <c r="E870" s="7" t="s">
        <v>8238</v>
      </c>
      <c r="F870" s="7" t="s">
        <v>26</v>
      </c>
      <c r="G870" s="7"/>
    </row>
    <row r="871" ht="22.5" customHeight="1">
      <c r="A871" s="7" t="s">
        <v>7227</v>
      </c>
      <c r="B871" s="7" t="s">
        <v>8192</v>
      </c>
      <c r="C871" s="8" t="s">
        <v>1734</v>
      </c>
      <c r="D871" s="7" t="s">
        <v>30</v>
      </c>
      <c r="E871" s="7" t="s">
        <v>8239</v>
      </c>
      <c r="F871" s="7" t="s">
        <v>26</v>
      </c>
      <c r="G871" s="7"/>
    </row>
    <row r="872" ht="22.5" customHeight="1">
      <c r="A872" s="7" t="s">
        <v>7227</v>
      </c>
      <c r="B872" s="7" t="s">
        <v>8192</v>
      </c>
      <c r="C872" s="8" t="s">
        <v>1734</v>
      </c>
      <c r="D872" s="7" t="s">
        <v>36</v>
      </c>
      <c r="E872" s="7" t="s">
        <v>8240</v>
      </c>
      <c r="F872" s="7" t="s">
        <v>26</v>
      </c>
      <c r="G872" s="7"/>
    </row>
    <row r="873" ht="22.5" customHeight="1">
      <c r="A873" s="7" t="s">
        <v>7227</v>
      </c>
      <c r="B873" s="7" t="s">
        <v>8192</v>
      </c>
      <c r="C873" s="8" t="s">
        <v>1734</v>
      </c>
      <c r="D873" s="7" t="s">
        <v>38</v>
      </c>
      <c r="E873" s="7" t="s">
        <v>8241</v>
      </c>
      <c r="F873" s="7" t="s">
        <v>26</v>
      </c>
      <c r="G873" s="7"/>
    </row>
    <row r="874" ht="22.5" customHeight="1">
      <c r="A874" s="7" t="s">
        <v>7227</v>
      </c>
      <c r="B874" s="7" t="s">
        <v>8192</v>
      </c>
      <c r="C874" s="8" t="s">
        <v>1734</v>
      </c>
      <c r="D874" s="7" t="s">
        <v>40</v>
      </c>
      <c r="E874" s="7" t="s">
        <v>8242</v>
      </c>
      <c r="F874" s="7" t="s">
        <v>26</v>
      </c>
      <c r="G874" s="7"/>
    </row>
    <row r="875" ht="22.5" customHeight="1">
      <c r="A875" s="7" t="s">
        <v>7227</v>
      </c>
      <c r="B875" s="7" t="s">
        <v>8192</v>
      </c>
      <c r="C875" s="8" t="s">
        <v>1734</v>
      </c>
      <c r="D875" s="7" t="s">
        <v>43</v>
      </c>
      <c r="E875" s="7" t="s">
        <v>8243</v>
      </c>
      <c r="F875" s="7" t="s">
        <v>26</v>
      </c>
      <c r="G875" s="7"/>
    </row>
    <row r="876" ht="22.5" customHeight="1">
      <c r="A876" s="7" t="s">
        <v>7213</v>
      </c>
      <c r="B876" s="7" t="s">
        <v>8244</v>
      </c>
      <c r="C876" s="8" t="s">
        <v>1919</v>
      </c>
      <c r="D876" s="7" t="s">
        <v>36</v>
      </c>
      <c r="E876" s="7" t="s">
        <v>8245</v>
      </c>
      <c r="F876" s="7" t="s">
        <v>26</v>
      </c>
      <c r="G876" s="7"/>
    </row>
    <row r="877" ht="22.5" customHeight="1">
      <c r="A877" s="7" t="s">
        <v>7213</v>
      </c>
      <c r="B877" s="7" t="s">
        <v>8244</v>
      </c>
      <c r="C877" s="8" t="s">
        <v>1919</v>
      </c>
      <c r="D877" s="7" t="s">
        <v>38</v>
      </c>
      <c r="E877" s="7" t="s">
        <v>8246</v>
      </c>
      <c r="F877" s="7" t="s">
        <v>26</v>
      </c>
      <c r="G877" s="7"/>
    </row>
    <row r="878" ht="22.5" customHeight="1">
      <c r="A878" s="7" t="s">
        <v>7213</v>
      </c>
      <c r="B878" s="7" t="s">
        <v>8244</v>
      </c>
      <c r="C878" s="8" t="s">
        <v>1919</v>
      </c>
      <c r="D878" s="7" t="s">
        <v>40</v>
      </c>
      <c r="E878" s="7" t="s">
        <v>8247</v>
      </c>
      <c r="F878" s="7" t="s">
        <v>26</v>
      </c>
      <c r="G878" s="7"/>
    </row>
    <row r="879" ht="22.5" customHeight="1">
      <c r="A879" s="7" t="s">
        <v>7213</v>
      </c>
      <c r="B879" s="7" t="s">
        <v>8244</v>
      </c>
      <c r="C879" s="8" t="s">
        <v>1919</v>
      </c>
      <c r="D879" s="7" t="s">
        <v>43</v>
      </c>
      <c r="E879" s="7" t="s">
        <v>8248</v>
      </c>
      <c r="F879" s="7" t="s">
        <v>26</v>
      </c>
      <c r="G879" s="7"/>
    </row>
    <row r="880" ht="22.5" customHeight="1">
      <c r="A880" s="7" t="s">
        <v>7213</v>
      </c>
      <c r="B880" s="7" t="s">
        <v>8244</v>
      </c>
      <c r="C880" s="8" t="s">
        <v>1974</v>
      </c>
      <c r="D880" s="7" t="s">
        <v>36</v>
      </c>
      <c r="E880" s="7" t="s">
        <v>8249</v>
      </c>
      <c r="F880" s="7" t="s">
        <v>26</v>
      </c>
      <c r="G880" s="7"/>
    </row>
    <row r="881" ht="22.5" customHeight="1">
      <c r="A881" s="7" t="s">
        <v>7213</v>
      </c>
      <c r="B881" s="7" t="s">
        <v>8244</v>
      </c>
      <c r="C881" s="8" t="s">
        <v>1974</v>
      </c>
      <c r="D881" s="7" t="s">
        <v>38</v>
      </c>
      <c r="E881" s="7" t="s">
        <v>8250</v>
      </c>
      <c r="F881" s="7" t="s">
        <v>26</v>
      </c>
      <c r="G881" s="7"/>
    </row>
    <row r="882" ht="22.5" customHeight="1">
      <c r="A882" s="7" t="s">
        <v>7213</v>
      </c>
      <c r="B882" s="7" t="s">
        <v>8244</v>
      </c>
      <c r="C882" s="8" t="s">
        <v>1974</v>
      </c>
      <c r="D882" s="7" t="s">
        <v>40</v>
      </c>
      <c r="E882" s="7" t="s">
        <v>8251</v>
      </c>
      <c r="F882" s="7" t="s">
        <v>26</v>
      </c>
      <c r="G882" s="7"/>
    </row>
    <row r="883" ht="22.5" customHeight="1">
      <c r="A883" s="7" t="s">
        <v>7213</v>
      </c>
      <c r="B883" s="7" t="s">
        <v>8244</v>
      </c>
      <c r="C883" s="8" t="s">
        <v>1974</v>
      </c>
      <c r="D883" s="7" t="s">
        <v>43</v>
      </c>
      <c r="E883" s="7" t="s">
        <v>8252</v>
      </c>
      <c r="F883" s="7" t="s">
        <v>26</v>
      </c>
      <c r="G883" s="7"/>
    </row>
    <row r="884" ht="22.5" customHeight="1">
      <c r="A884" s="7" t="s">
        <v>7213</v>
      </c>
      <c r="B884" s="7" t="s">
        <v>8244</v>
      </c>
      <c r="C884" s="8" t="s">
        <v>2152</v>
      </c>
      <c r="D884" s="7" t="s">
        <v>36</v>
      </c>
      <c r="E884" s="7" t="s">
        <v>8253</v>
      </c>
      <c r="F884" s="7" t="s">
        <v>26</v>
      </c>
      <c r="G884" s="7"/>
    </row>
    <row r="885" ht="22.5" customHeight="1">
      <c r="A885" s="7" t="s">
        <v>7213</v>
      </c>
      <c r="B885" s="7" t="s">
        <v>8244</v>
      </c>
      <c r="C885" s="8" t="s">
        <v>2152</v>
      </c>
      <c r="D885" s="7" t="s">
        <v>38</v>
      </c>
      <c r="E885" s="7" t="s">
        <v>8254</v>
      </c>
      <c r="F885" s="7" t="s">
        <v>26</v>
      </c>
      <c r="G885" s="7"/>
    </row>
    <row r="886" ht="22.5" customHeight="1">
      <c r="A886" s="7" t="s">
        <v>7213</v>
      </c>
      <c r="B886" s="7" t="s">
        <v>8244</v>
      </c>
      <c r="C886" s="8" t="s">
        <v>2152</v>
      </c>
      <c r="D886" s="7" t="s">
        <v>40</v>
      </c>
      <c r="E886" s="7" t="s">
        <v>8255</v>
      </c>
      <c r="F886" s="7" t="s">
        <v>26</v>
      </c>
      <c r="G886" s="7"/>
    </row>
    <row r="887" ht="22.5" customHeight="1">
      <c r="A887" s="7" t="s">
        <v>7213</v>
      </c>
      <c r="B887" s="7" t="s">
        <v>8244</v>
      </c>
      <c r="C887" s="8" t="s">
        <v>2152</v>
      </c>
      <c r="D887" s="7" t="s">
        <v>43</v>
      </c>
      <c r="E887" s="7" t="s">
        <v>8256</v>
      </c>
      <c r="F887" s="7" t="s">
        <v>26</v>
      </c>
      <c r="G887" s="7"/>
    </row>
    <row r="888" ht="22.5" customHeight="1">
      <c r="A888" s="7" t="s">
        <v>7227</v>
      </c>
      <c r="B888" s="7" t="s">
        <v>8257</v>
      </c>
      <c r="C888" s="8" t="s">
        <v>79</v>
      </c>
      <c r="D888" s="7" t="s">
        <v>30</v>
      </c>
      <c r="E888" s="7" t="s">
        <v>8258</v>
      </c>
      <c r="F888" s="7" t="s">
        <v>16</v>
      </c>
      <c r="G888" s="7"/>
    </row>
    <row r="889" ht="22.5" customHeight="1">
      <c r="A889" s="7" t="s">
        <v>7227</v>
      </c>
      <c r="B889" s="7" t="s">
        <v>8257</v>
      </c>
      <c r="C889" s="8" t="s">
        <v>79</v>
      </c>
      <c r="D889" s="7" t="s">
        <v>36</v>
      </c>
      <c r="E889" s="7" t="s">
        <v>8259</v>
      </c>
      <c r="F889" s="7" t="s">
        <v>16</v>
      </c>
      <c r="G889" s="7"/>
    </row>
    <row r="890" ht="22.5" customHeight="1">
      <c r="A890" s="7" t="s">
        <v>7227</v>
      </c>
      <c r="B890" s="7" t="s">
        <v>8257</v>
      </c>
      <c r="C890" s="8" t="s">
        <v>79</v>
      </c>
      <c r="D890" s="7" t="s">
        <v>38</v>
      </c>
      <c r="E890" s="7" t="s">
        <v>8260</v>
      </c>
      <c r="F890" s="7" t="s">
        <v>16</v>
      </c>
      <c r="G890" s="7"/>
    </row>
    <row r="891" ht="22.5" customHeight="1">
      <c r="A891" s="7" t="s">
        <v>7227</v>
      </c>
      <c r="B891" s="7" t="s">
        <v>8257</v>
      </c>
      <c r="C891" s="8" t="s">
        <v>79</v>
      </c>
      <c r="D891" s="7" t="s">
        <v>40</v>
      </c>
      <c r="E891" s="7" t="s">
        <v>8261</v>
      </c>
      <c r="F891" s="7" t="s">
        <v>16</v>
      </c>
      <c r="G891" s="7"/>
    </row>
    <row r="892" ht="22.5" customHeight="1">
      <c r="A892" s="7" t="s">
        <v>7227</v>
      </c>
      <c r="B892" s="7" t="s">
        <v>8257</v>
      </c>
      <c r="C892" s="8" t="s">
        <v>79</v>
      </c>
      <c r="D892" s="7" t="s">
        <v>43</v>
      </c>
      <c r="E892" s="7" t="s">
        <v>8262</v>
      </c>
      <c r="F892" s="7" t="s">
        <v>16</v>
      </c>
      <c r="G892" s="7"/>
    </row>
    <row r="893" ht="22.5" customHeight="1">
      <c r="A893" s="7" t="s">
        <v>7227</v>
      </c>
      <c r="B893" s="7" t="s">
        <v>8257</v>
      </c>
      <c r="C893" s="8" t="s">
        <v>164</v>
      </c>
      <c r="D893" s="7" t="s">
        <v>30</v>
      </c>
      <c r="E893" s="7" t="s">
        <v>8263</v>
      </c>
      <c r="F893" s="7" t="s">
        <v>26</v>
      </c>
      <c r="G893" s="7"/>
    </row>
    <row r="894" ht="22.5" customHeight="1">
      <c r="A894" s="7" t="s">
        <v>7227</v>
      </c>
      <c r="B894" s="7" t="s">
        <v>8257</v>
      </c>
      <c r="C894" s="8" t="s">
        <v>164</v>
      </c>
      <c r="D894" s="7" t="s">
        <v>36</v>
      </c>
      <c r="E894" s="7" t="s">
        <v>8264</v>
      </c>
      <c r="F894" s="7" t="s">
        <v>26</v>
      </c>
      <c r="G894" s="7"/>
    </row>
    <row r="895" ht="22.5" customHeight="1">
      <c r="A895" s="7" t="s">
        <v>7227</v>
      </c>
      <c r="B895" s="7" t="s">
        <v>8257</v>
      </c>
      <c r="C895" s="8" t="s">
        <v>164</v>
      </c>
      <c r="D895" s="7" t="s">
        <v>38</v>
      </c>
      <c r="E895" s="7" t="s">
        <v>8265</v>
      </c>
      <c r="F895" s="7" t="s">
        <v>26</v>
      </c>
      <c r="G895" s="7"/>
    </row>
    <row r="896" ht="22.5" customHeight="1">
      <c r="A896" s="7" t="s">
        <v>7227</v>
      </c>
      <c r="B896" s="7" t="s">
        <v>8257</v>
      </c>
      <c r="C896" s="8" t="s">
        <v>164</v>
      </c>
      <c r="D896" s="7" t="s">
        <v>40</v>
      </c>
      <c r="E896" s="7" t="s">
        <v>8266</v>
      </c>
      <c r="F896" s="7" t="s">
        <v>26</v>
      </c>
      <c r="G896" s="7"/>
    </row>
    <row r="897" ht="22.5" customHeight="1">
      <c r="A897" s="7" t="s">
        <v>7227</v>
      </c>
      <c r="B897" s="7" t="s">
        <v>8257</v>
      </c>
      <c r="C897" s="8" t="s">
        <v>164</v>
      </c>
      <c r="D897" s="7" t="s">
        <v>43</v>
      </c>
      <c r="E897" s="7" t="s">
        <v>8267</v>
      </c>
      <c r="F897" s="7" t="s">
        <v>26</v>
      </c>
      <c r="G897" s="7"/>
    </row>
    <row r="898" ht="22.5" customHeight="1">
      <c r="A898" s="7" t="s">
        <v>7227</v>
      </c>
      <c r="B898" s="7" t="s">
        <v>8257</v>
      </c>
      <c r="C898" s="8" t="s">
        <v>1223</v>
      </c>
      <c r="D898" s="7" t="s">
        <v>30</v>
      </c>
      <c r="E898" s="7" t="s">
        <v>8268</v>
      </c>
      <c r="F898" s="7" t="s">
        <v>16</v>
      </c>
      <c r="G898" s="7"/>
    </row>
    <row r="899" ht="22.5" customHeight="1">
      <c r="A899" s="7" t="s">
        <v>7227</v>
      </c>
      <c r="B899" s="7" t="s">
        <v>8257</v>
      </c>
      <c r="C899" s="8" t="s">
        <v>1223</v>
      </c>
      <c r="D899" s="7" t="s">
        <v>36</v>
      </c>
      <c r="E899" s="7" t="s">
        <v>8269</v>
      </c>
      <c r="F899" s="7" t="s">
        <v>16</v>
      </c>
      <c r="G899" s="7"/>
    </row>
    <row r="900" ht="22.5" customHeight="1">
      <c r="A900" s="7" t="s">
        <v>7227</v>
      </c>
      <c r="B900" s="7" t="s">
        <v>8257</v>
      </c>
      <c r="C900" s="8" t="s">
        <v>1223</v>
      </c>
      <c r="D900" s="7" t="s">
        <v>38</v>
      </c>
      <c r="E900" s="7" t="s">
        <v>8270</v>
      </c>
      <c r="F900" s="7" t="s">
        <v>16</v>
      </c>
      <c r="G900" s="7"/>
    </row>
    <row r="901" ht="22.5" customHeight="1">
      <c r="A901" s="7" t="s">
        <v>7227</v>
      </c>
      <c r="B901" s="7" t="s">
        <v>8257</v>
      </c>
      <c r="C901" s="8" t="s">
        <v>1223</v>
      </c>
      <c r="D901" s="7" t="s">
        <v>40</v>
      </c>
      <c r="E901" s="7" t="s">
        <v>8271</v>
      </c>
      <c r="F901" s="7" t="s">
        <v>16</v>
      </c>
      <c r="G901" s="7"/>
    </row>
    <row r="902" ht="22.5" customHeight="1">
      <c r="A902" s="7" t="s">
        <v>7227</v>
      </c>
      <c r="B902" s="7" t="s">
        <v>8257</v>
      </c>
      <c r="C902" s="8" t="s">
        <v>1223</v>
      </c>
      <c r="D902" s="7" t="s">
        <v>43</v>
      </c>
      <c r="E902" s="7" t="s">
        <v>8272</v>
      </c>
      <c r="F902" s="7" t="s">
        <v>105</v>
      </c>
      <c r="G902" s="7"/>
    </row>
    <row r="903" ht="22.5" customHeight="1">
      <c r="A903" s="7" t="s">
        <v>7227</v>
      </c>
      <c r="B903" s="7" t="s">
        <v>8257</v>
      </c>
      <c r="C903" s="8" t="s">
        <v>1223</v>
      </c>
      <c r="D903" s="7" t="s">
        <v>43</v>
      </c>
      <c r="E903" s="7" t="s">
        <v>8273</v>
      </c>
      <c r="F903" s="7" t="s">
        <v>16</v>
      </c>
      <c r="G903" s="7"/>
    </row>
    <row r="904" ht="22.5" customHeight="1">
      <c r="A904" s="7" t="s">
        <v>7227</v>
      </c>
      <c r="B904" s="7" t="s">
        <v>8257</v>
      </c>
      <c r="C904" s="8" t="s">
        <v>1563</v>
      </c>
      <c r="D904" s="7" t="s">
        <v>30</v>
      </c>
      <c r="E904" s="7" t="s">
        <v>8274</v>
      </c>
      <c r="F904" s="7" t="s">
        <v>16</v>
      </c>
      <c r="G904" s="7"/>
    </row>
    <row r="905" ht="22.5" customHeight="1">
      <c r="A905" s="7" t="s">
        <v>7227</v>
      </c>
      <c r="B905" s="7" t="s">
        <v>8257</v>
      </c>
      <c r="C905" s="8" t="s">
        <v>1563</v>
      </c>
      <c r="D905" s="7" t="s">
        <v>36</v>
      </c>
      <c r="E905" s="7" t="s">
        <v>8275</v>
      </c>
      <c r="F905" s="7" t="s">
        <v>16</v>
      </c>
      <c r="G905" s="7"/>
    </row>
    <row r="906" ht="22.5" customHeight="1">
      <c r="A906" s="7" t="s">
        <v>7227</v>
      </c>
      <c r="B906" s="7" t="s">
        <v>8257</v>
      </c>
      <c r="C906" s="8" t="s">
        <v>1563</v>
      </c>
      <c r="D906" s="7" t="s">
        <v>38</v>
      </c>
      <c r="E906" s="7" t="s">
        <v>8276</v>
      </c>
      <c r="F906" s="7" t="s">
        <v>105</v>
      </c>
      <c r="G906" s="7"/>
    </row>
    <row r="907" ht="22.5" customHeight="1">
      <c r="A907" s="7" t="s">
        <v>7227</v>
      </c>
      <c r="B907" s="7" t="s">
        <v>8257</v>
      </c>
      <c r="C907" s="8" t="s">
        <v>1563</v>
      </c>
      <c r="D907" s="7" t="s">
        <v>38</v>
      </c>
      <c r="E907" s="7" t="s">
        <v>8277</v>
      </c>
      <c r="F907" s="7" t="s">
        <v>16</v>
      </c>
      <c r="G907" s="7"/>
    </row>
    <row r="908" ht="22.5" customHeight="1">
      <c r="A908" s="7" t="s">
        <v>7227</v>
      </c>
      <c r="B908" s="7" t="s">
        <v>8257</v>
      </c>
      <c r="C908" s="8" t="s">
        <v>1563</v>
      </c>
      <c r="D908" s="7" t="s">
        <v>40</v>
      </c>
      <c r="E908" s="7" t="s">
        <v>8278</v>
      </c>
      <c r="F908" s="7" t="s">
        <v>16</v>
      </c>
      <c r="G908" s="7"/>
    </row>
    <row r="909" ht="22.5" customHeight="1">
      <c r="A909" s="7" t="s">
        <v>7227</v>
      </c>
      <c r="B909" s="7" t="s">
        <v>8257</v>
      </c>
      <c r="C909" s="8" t="s">
        <v>1563</v>
      </c>
      <c r="D909" s="7" t="s">
        <v>43</v>
      </c>
      <c r="E909" s="7" t="s">
        <v>8279</v>
      </c>
      <c r="F909" s="7" t="s">
        <v>16</v>
      </c>
      <c r="G909" s="7"/>
    </row>
    <row r="910" ht="22.5" customHeight="1">
      <c r="A910" s="7" t="s">
        <v>7213</v>
      </c>
      <c r="B910" s="7" t="s">
        <v>8280</v>
      </c>
      <c r="C910" s="8" t="s">
        <v>1846</v>
      </c>
      <c r="D910" s="7" t="s">
        <v>36</v>
      </c>
      <c r="E910" s="7" t="s">
        <v>8281</v>
      </c>
      <c r="F910" s="7" t="s">
        <v>26</v>
      </c>
      <c r="G910" s="7"/>
    </row>
    <row r="911" ht="22.5" customHeight="1">
      <c r="A911" s="7" t="s">
        <v>7213</v>
      </c>
      <c r="B911" s="7" t="s">
        <v>8280</v>
      </c>
      <c r="C911" s="8" t="s">
        <v>1846</v>
      </c>
      <c r="D911" s="7" t="s">
        <v>38</v>
      </c>
      <c r="E911" s="7" t="s">
        <v>8282</v>
      </c>
      <c r="F911" s="7" t="s">
        <v>26</v>
      </c>
      <c r="G911" s="7"/>
    </row>
    <row r="912" ht="22.5" customHeight="1">
      <c r="A912" s="7" t="s">
        <v>7213</v>
      </c>
      <c r="B912" s="7" t="s">
        <v>8280</v>
      </c>
      <c r="C912" s="8" t="s">
        <v>1846</v>
      </c>
      <c r="D912" s="7" t="s">
        <v>40</v>
      </c>
      <c r="E912" s="7" t="s">
        <v>8283</v>
      </c>
      <c r="F912" s="7" t="s">
        <v>26</v>
      </c>
      <c r="G912" s="7"/>
    </row>
    <row r="913" ht="22.5" customHeight="1">
      <c r="A913" s="7" t="s">
        <v>7213</v>
      </c>
      <c r="B913" s="7" t="s">
        <v>8280</v>
      </c>
      <c r="C913" s="8" t="s">
        <v>1846</v>
      </c>
      <c r="D913" s="7" t="s">
        <v>43</v>
      </c>
      <c r="E913" s="7" t="s">
        <v>8284</v>
      </c>
      <c r="F913" s="7" t="s">
        <v>26</v>
      </c>
      <c r="G913" s="7"/>
    </row>
    <row r="914" ht="22.5" customHeight="1">
      <c r="A914" s="7" t="s">
        <v>7213</v>
      </c>
      <c r="B914" s="7" t="s">
        <v>8280</v>
      </c>
      <c r="C914" s="8" t="s">
        <v>2144</v>
      </c>
      <c r="D914" s="7" t="s">
        <v>36</v>
      </c>
      <c r="E914" s="7" t="s">
        <v>8285</v>
      </c>
      <c r="F914" s="7" t="s">
        <v>26</v>
      </c>
      <c r="G914" s="7"/>
    </row>
    <row r="915" ht="22.5" customHeight="1">
      <c r="A915" s="7" t="s">
        <v>7213</v>
      </c>
      <c r="B915" s="7" t="s">
        <v>8280</v>
      </c>
      <c r="C915" s="8" t="s">
        <v>2144</v>
      </c>
      <c r="D915" s="7" t="s">
        <v>38</v>
      </c>
      <c r="E915" s="7" t="s">
        <v>8286</v>
      </c>
      <c r="F915" s="7" t="s">
        <v>26</v>
      </c>
      <c r="G915" s="7"/>
    </row>
    <row r="916" ht="22.5" customHeight="1">
      <c r="A916" s="7" t="s">
        <v>7213</v>
      </c>
      <c r="B916" s="7" t="s">
        <v>8280</v>
      </c>
      <c r="C916" s="8" t="s">
        <v>2144</v>
      </c>
      <c r="D916" s="7" t="s">
        <v>40</v>
      </c>
      <c r="E916" s="7" t="s">
        <v>8287</v>
      </c>
      <c r="F916" s="7" t="s">
        <v>26</v>
      </c>
      <c r="G916" s="7"/>
    </row>
    <row r="917" ht="22.5" customHeight="1">
      <c r="A917" s="7" t="s">
        <v>7213</v>
      </c>
      <c r="B917" s="7" t="s">
        <v>8280</v>
      </c>
      <c r="C917" s="8" t="s">
        <v>2144</v>
      </c>
      <c r="D917" s="7" t="s">
        <v>43</v>
      </c>
      <c r="E917" s="7" t="s">
        <v>8288</v>
      </c>
      <c r="F917" s="7" t="s">
        <v>26</v>
      </c>
      <c r="G917" s="7"/>
    </row>
    <row r="918" ht="22.5" customHeight="1">
      <c r="A918" s="7" t="s">
        <v>7213</v>
      </c>
      <c r="B918" s="7" t="s">
        <v>8280</v>
      </c>
      <c r="C918" s="8" t="s">
        <v>2160</v>
      </c>
      <c r="D918" s="7" t="s">
        <v>36</v>
      </c>
      <c r="E918" s="7" t="s">
        <v>8289</v>
      </c>
      <c r="F918" s="7" t="s">
        <v>26</v>
      </c>
      <c r="G918" s="7"/>
    </row>
    <row r="919" ht="22.5" customHeight="1">
      <c r="A919" s="7" t="s">
        <v>7213</v>
      </c>
      <c r="B919" s="7" t="s">
        <v>8280</v>
      </c>
      <c r="C919" s="8" t="s">
        <v>2160</v>
      </c>
      <c r="D919" s="7" t="s">
        <v>38</v>
      </c>
      <c r="E919" s="7" t="s">
        <v>8290</v>
      </c>
      <c r="F919" s="7" t="s">
        <v>26</v>
      </c>
      <c r="G919" s="7"/>
    </row>
    <row r="920" ht="22.5" customHeight="1">
      <c r="A920" s="7" t="s">
        <v>7213</v>
      </c>
      <c r="B920" s="7" t="s">
        <v>8280</v>
      </c>
      <c r="C920" s="8" t="s">
        <v>2160</v>
      </c>
      <c r="D920" s="7" t="s">
        <v>40</v>
      </c>
      <c r="E920" s="7" t="s">
        <v>8291</v>
      </c>
      <c r="F920" s="7" t="s">
        <v>26</v>
      </c>
      <c r="G920" s="7"/>
    </row>
    <row r="921" ht="22.5" customHeight="1">
      <c r="A921" s="7" t="s">
        <v>7213</v>
      </c>
      <c r="B921" s="7" t="s">
        <v>8280</v>
      </c>
      <c r="C921" s="8" t="s">
        <v>2160</v>
      </c>
      <c r="D921" s="7" t="s">
        <v>43</v>
      </c>
      <c r="E921" s="7" t="s">
        <v>8292</v>
      </c>
      <c r="F921" s="7" t="s">
        <v>26</v>
      </c>
      <c r="G921" s="7"/>
    </row>
    <row r="922" ht="22.5" customHeight="1">
      <c r="A922" s="7" t="s">
        <v>7213</v>
      </c>
      <c r="B922" s="7" t="s">
        <v>8280</v>
      </c>
      <c r="C922" s="8" t="s">
        <v>8293</v>
      </c>
      <c r="D922" s="7" t="s">
        <v>43</v>
      </c>
      <c r="E922" s="7" t="s">
        <v>8294</v>
      </c>
      <c r="F922" s="7" t="s">
        <v>26</v>
      </c>
      <c r="G922" s="7" t="s">
        <v>1917</v>
      </c>
    </row>
    <row r="923" ht="22.5" customHeight="1">
      <c r="A923" s="7" t="s">
        <v>7213</v>
      </c>
      <c r="B923" s="7" t="s">
        <v>8295</v>
      </c>
      <c r="C923" s="8" t="s">
        <v>1837</v>
      </c>
      <c r="D923" s="7" t="s">
        <v>36</v>
      </c>
      <c r="E923" s="7" t="s">
        <v>8296</v>
      </c>
      <c r="F923" s="7" t="s">
        <v>26</v>
      </c>
      <c r="G923" s="7"/>
    </row>
    <row r="924" ht="22.5" customHeight="1">
      <c r="A924" s="7" t="s">
        <v>7213</v>
      </c>
      <c r="B924" s="7" t="s">
        <v>8295</v>
      </c>
      <c r="C924" s="8" t="s">
        <v>1837</v>
      </c>
      <c r="D924" s="7" t="s">
        <v>38</v>
      </c>
      <c r="E924" s="7" t="s">
        <v>8297</v>
      </c>
      <c r="F924" s="7" t="s">
        <v>26</v>
      </c>
      <c r="G924" s="7"/>
    </row>
    <row r="925" ht="22.5" customHeight="1">
      <c r="A925" s="7" t="s">
        <v>7213</v>
      </c>
      <c r="B925" s="7" t="s">
        <v>8295</v>
      </c>
      <c r="C925" s="8" t="s">
        <v>1837</v>
      </c>
      <c r="D925" s="7" t="s">
        <v>40</v>
      </c>
      <c r="E925" s="7" t="s">
        <v>8298</v>
      </c>
      <c r="F925" s="7" t="s">
        <v>26</v>
      </c>
      <c r="G925" s="7"/>
    </row>
    <row r="926" ht="22.5" customHeight="1">
      <c r="A926" s="7" t="s">
        <v>7213</v>
      </c>
      <c r="B926" s="7" t="s">
        <v>8295</v>
      </c>
      <c r="C926" s="8" t="s">
        <v>1837</v>
      </c>
      <c r="D926" s="7" t="s">
        <v>43</v>
      </c>
      <c r="E926" s="7" t="s">
        <v>8299</v>
      </c>
      <c r="F926" s="7" t="s">
        <v>26</v>
      </c>
      <c r="G926" s="7"/>
    </row>
    <row r="927" ht="22.5" customHeight="1">
      <c r="A927" s="7" t="s">
        <v>7213</v>
      </c>
      <c r="B927" s="7" t="s">
        <v>8295</v>
      </c>
      <c r="C927" s="8" t="s">
        <v>1993</v>
      </c>
      <c r="D927" s="7" t="s">
        <v>36</v>
      </c>
      <c r="E927" s="7" t="s">
        <v>8300</v>
      </c>
      <c r="F927" s="7" t="s">
        <v>26</v>
      </c>
      <c r="G927" s="7"/>
    </row>
    <row r="928" ht="22.5" customHeight="1">
      <c r="A928" s="7" t="s">
        <v>7213</v>
      </c>
      <c r="B928" s="7" t="s">
        <v>8295</v>
      </c>
      <c r="C928" s="8" t="s">
        <v>1993</v>
      </c>
      <c r="D928" s="7" t="s">
        <v>38</v>
      </c>
      <c r="E928" s="7" t="s">
        <v>8301</v>
      </c>
      <c r="F928" s="7" t="s">
        <v>26</v>
      </c>
      <c r="G928" s="7"/>
    </row>
    <row r="929" ht="22.5" customHeight="1">
      <c r="A929" s="7" t="s">
        <v>7213</v>
      </c>
      <c r="B929" s="7" t="s">
        <v>8295</v>
      </c>
      <c r="C929" s="8" t="s">
        <v>1993</v>
      </c>
      <c r="D929" s="7" t="s">
        <v>40</v>
      </c>
      <c r="E929" s="7" t="s">
        <v>8302</v>
      </c>
      <c r="F929" s="7" t="s">
        <v>26</v>
      </c>
      <c r="G929" s="7"/>
    </row>
    <row r="930" ht="22.5" customHeight="1">
      <c r="A930" s="7" t="s">
        <v>7213</v>
      </c>
      <c r="B930" s="7" t="s">
        <v>8295</v>
      </c>
      <c r="C930" s="8" t="s">
        <v>1993</v>
      </c>
      <c r="D930" s="7" t="s">
        <v>43</v>
      </c>
      <c r="E930" s="7" t="s">
        <v>8303</v>
      </c>
      <c r="F930" s="7" t="s">
        <v>26</v>
      </c>
      <c r="G930" s="7"/>
    </row>
    <row r="931" ht="22.5" customHeight="1">
      <c r="A931" s="7" t="s">
        <v>7213</v>
      </c>
      <c r="B931" s="7" t="s">
        <v>8295</v>
      </c>
      <c r="C931" s="8" t="s">
        <v>2206</v>
      </c>
      <c r="D931" s="7" t="s">
        <v>40</v>
      </c>
      <c r="E931" s="7" t="s">
        <v>8304</v>
      </c>
      <c r="F931" s="7" t="s">
        <v>26</v>
      </c>
      <c r="G931" s="7"/>
    </row>
    <row r="932" ht="22.5" customHeight="1">
      <c r="A932" s="7" t="s">
        <v>7213</v>
      </c>
      <c r="B932" s="7" t="s">
        <v>8295</v>
      </c>
      <c r="C932" s="8" t="s">
        <v>2206</v>
      </c>
      <c r="D932" s="7" t="s">
        <v>43</v>
      </c>
      <c r="E932" s="7" t="s">
        <v>8305</v>
      </c>
      <c r="F932" s="7" t="s">
        <v>26</v>
      </c>
      <c r="G932" s="7"/>
    </row>
    <row r="933" ht="22.5" customHeight="1">
      <c r="A933" s="7" t="s">
        <v>7213</v>
      </c>
      <c r="B933" s="7" t="s">
        <v>7227</v>
      </c>
      <c r="C933" s="8" t="s">
        <v>2046</v>
      </c>
      <c r="D933" s="7" t="s">
        <v>36</v>
      </c>
      <c r="E933" s="7" t="s">
        <v>8306</v>
      </c>
      <c r="F933" s="7" t="s">
        <v>26</v>
      </c>
      <c r="G933" s="7"/>
    </row>
    <row r="934" ht="22.5" customHeight="1">
      <c r="A934" s="7" t="s">
        <v>7213</v>
      </c>
      <c r="B934" s="7" t="s">
        <v>7227</v>
      </c>
      <c r="C934" s="8" t="s">
        <v>2046</v>
      </c>
      <c r="D934" s="7" t="s">
        <v>38</v>
      </c>
      <c r="E934" s="7" t="s">
        <v>8307</v>
      </c>
      <c r="F934" s="7" t="s">
        <v>26</v>
      </c>
      <c r="G934" s="7"/>
    </row>
    <row r="935" ht="22.5" customHeight="1">
      <c r="A935" s="7" t="s">
        <v>7213</v>
      </c>
      <c r="B935" s="7" t="s">
        <v>7227</v>
      </c>
      <c r="C935" s="8" t="s">
        <v>2046</v>
      </c>
      <c r="D935" s="7" t="s">
        <v>40</v>
      </c>
      <c r="E935" s="7" t="s">
        <v>8308</v>
      </c>
      <c r="F935" s="7" t="s">
        <v>26</v>
      </c>
      <c r="G935" s="7"/>
    </row>
    <row r="936" ht="22.5" customHeight="1">
      <c r="A936" s="7" t="s">
        <v>7213</v>
      </c>
      <c r="B936" s="7" t="s">
        <v>7227</v>
      </c>
      <c r="C936" s="8" t="s">
        <v>2046</v>
      </c>
      <c r="D936" s="7" t="s">
        <v>43</v>
      </c>
      <c r="E936" s="7" t="s">
        <v>8309</v>
      </c>
      <c r="F936" s="7" t="s">
        <v>26</v>
      </c>
      <c r="G936" s="7"/>
    </row>
  </sheetData>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43.75"/>
    <col customWidth="1" min="3" max="3" width="55.38"/>
    <col customWidth="1" min="4" max="4" width="94.75"/>
    <col customWidth="1" min="5" max="5" width="2.75"/>
  </cols>
  <sheetData>
    <row r="1" ht="30.0" customHeight="1">
      <c r="A1" s="34" t="s">
        <v>1781</v>
      </c>
      <c r="B1" s="35" t="s">
        <v>7</v>
      </c>
      <c r="C1" s="34" t="s">
        <v>9</v>
      </c>
      <c r="D1" s="34" t="s">
        <v>8310</v>
      </c>
      <c r="E1" s="36"/>
    </row>
    <row r="2" ht="21.0" customHeight="1">
      <c r="A2" s="17" t="s">
        <v>8311</v>
      </c>
      <c r="B2" s="37" t="s">
        <v>8312</v>
      </c>
      <c r="C2" s="17" t="s">
        <v>8313</v>
      </c>
      <c r="D2" s="17" t="s">
        <v>8314</v>
      </c>
      <c r="E2" s="36"/>
    </row>
    <row r="3" ht="22.5" customHeight="1">
      <c r="A3" s="17" t="s">
        <v>8311</v>
      </c>
      <c r="B3" s="37" t="s">
        <v>8315</v>
      </c>
      <c r="C3" s="17" t="s">
        <v>8316</v>
      </c>
      <c r="D3" s="17" t="s">
        <v>8314</v>
      </c>
      <c r="E3" s="38"/>
    </row>
    <row r="4" ht="22.5" customHeight="1">
      <c r="A4" s="17" t="s">
        <v>8311</v>
      </c>
      <c r="B4" s="37" t="s">
        <v>8317</v>
      </c>
      <c r="C4" s="17" t="s">
        <v>8318</v>
      </c>
      <c r="D4" s="17" t="s">
        <v>8314</v>
      </c>
      <c r="E4" s="38"/>
    </row>
    <row r="5" ht="22.5" customHeight="1">
      <c r="A5" s="17" t="s">
        <v>8311</v>
      </c>
      <c r="B5" s="37" t="s">
        <v>8319</v>
      </c>
      <c r="C5" s="17" t="s">
        <v>8320</v>
      </c>
      <c r="D5" s="17" t="s">
        <v>8314</v>
      </c>
      <c r="E5" s="38"/>
    </row>
    <row r="6" ht="22.5" customHeight="1">
      <c r="A6" s="17" t="s">
        <v>8311</v>
      </c>
      <c r="B6" s="37" t="s">
        <v>8321</v>
      </c>
      <c r="C6" s="17" t="s">
        <v>8322</v>
      </c>
      <c r="D6" s="17" t="s">
        <v>8314</v>
      </c>
      <c r="E6" s="38"/>
    </row>
    <row r="7" ht="22.5" customHeight="1">
      <c r="A7" s="17" t="s">
        <v>8311</v>
      </c>
      <c r="B7" s="37" t="s">
        <v>8323</v>
      </c>
      <c r="C7" s="17" t="s">
        <v>8324</v>
      </c>
      <c r="D7" s="17" t="s">
        <v>8314</v>
      </c>
      <c r="E7" s="38"/>
    </row>
    <row r="8" ht="22.5" customHeight="1">
      <c r="A8" s="17" t="s">
        <v>8311</v>
      </c>
      <c r="B8" s="37" t="s">
        <v>8325</v>
      </c>
      <c r="C8" s="17" t="s">
        <v>8326</v>
      </c>
      <c r="D8" s="17" t="s">
        <v>8314</v>
      </c>
      <c r="E8" s="38"/>
    </row>
    <row r="9" ht="22.5" customHeight="1">
      <c r="A9" s="17" t="s">
        <v>8311</v>
      </c>
      <c r="B9" s="37" t="s">
        <v>8327</v>
      </c>
      <c r="C9" s="17" t="s">
        <v>8328</v>
      </c>
      <c r="D9" s="17" t="s">
        <v>8314</v>
      </c>
      <c r="E9" s="38"/>
    </row>
    <row r="10" ht="22.5" customHeight="1">
      <c r="A10" s="17" t="s">
        <v>8311</v>
      </c>
      <c r="B10" s="37" t="s">
        <v>8329</v>
      </c>
      <c r="C10" s="17" t="s">
        <v>8330</v>
      </c>
      <c r="D10" s="17" t="s">
        <v>8314</v>
      </c>
      <c r="E10" s="38"/>
    </row>
    <row r="11" ht="22.5" customHeight="1">
      <c r="A11" s="17" t="s">
        <v>8311</v>
      </c>
      <c r="B11" s="37" t="s">
        <v>8331</v>
      </c>
      <c r="C11" s="17" t="s">
        <v>8332</v>
      </c>
      <c r="D11" s="17" t="s">
        <v>8314</v>
      </c>
      <c r="E11" s="38"/>
    </row>
    <row r="12" ht="22.5" customHeight="1">
      <c r="A12" s="17" t="s">
        <v>8311</v>
      </c>
      <c r="B12" s="37" t="s">
        <v>8333</v>
      </c>
      <c r="C12" s="17" t="s">
        <v>8334</v>
      </c>
      <c r="D12" s="17" t="s">
        <v>8314</v>
      </c>
      <c r="E12" s="38"/>
    </row>
    <row r="13" ht="22.5" customHeight="1">
      <c r="A13" s="17" t="s">
        <v>8311</v>
      </c>
      <c r="B13" s="37" t="s">
        <v>8335</v>
      </c>
      <c r="C13" s="17" t="s">
        <v>8336</v>
      </c>
      <c r="D13" s="17" t="s">
        <v>8314</v>
      </c>
      <c r="E13" s="38"/>
    </row>
    <row r="14" ht="22.5" customHeight="1">
      <c r="A14" s="17" t="s">
        <v>8311</v>
      </c>
      <c r="B14" s="37" t="s">
        <v>8337</v>
      </c>
      <c r="C14" s="17" t="s">
        <v>8338</v>
      </c>
      <c r="D14" s="17" t="s">
        <v>8314</v>
      </c>
      <c r="E14" s="38"/>
    </row>
    <row r="15" ht="22.5" customHeight="1">
      <c r="A15" s="17" t="s">
        <v>8311</v>
      </c>
      <c r="B15" s="37" t="s">
        <v>8339</v>
      </c>
      <c r="C15" s="17" t="s">
        <v>8340</v>
      </c>
      <c r="D15" s="17" t="s">
        <v>8314</v>
      </c>
      <c r="E15" s="38"/>
    </row>
    <row r="16" ht="22.5" customHeight="1">
      <c r="A16" s="17" t="s">
        <v>8311</v>
      </c>
      <c r="B16" s="37" t="s">
        <v>8341</v>
      </c>
      <c r="C16" s="17" t="s">
        <v>8342</v>
      </c>
      <c r="D16" s="17" t="s">
        <v>8314</v>
      </c>
      <c r="E16" s="38"/>
    </row>
    <row r="17" ht="22.5" customHeight="1">
      <c r="A17" s="17" t="s">
        <v>8311</v>
      </c>
      <c r="B17" s="37" t="s">
        <v>8343</v>
      </c>
      <c r="C17" s="17" t="s">
        <v>8344</v>
      </c>
      <c r="D17" s="17" t="s">
        <v>8314</v>
      </c>
      <c r="E17" s="38"/>
    </row>
    <row r="18" ht="22.5" customHeight="1">
      <c r="A18" s="17" t="s">
        <v>8311</v>
      </c>
      <c r="B18" s="37" t="s">
        <v>8345</v>
      </c>
      <c r="C18" s="17" t="s">
        <v>8346</v>
      </c>
      <c r="D18" s="17" t="s">
        <v>8314</v>
      </c>
      <c r="E18" s="38"/>
    </row>
    <row r="19" ht="22.5" customHeight="1">
      <c r="A19" s="17" t="s">
        <v>8311</v>
      </c>
      <c r="B19" s="37" t="s">
        <v>8347</v>
      </c>
      <c r="C19" s="17" t="s">
        <v>8348</v>
      </c>
      <c r="D19" s="17" t="s">
        <v>8314</v>
      </c>
      <c r="E19" s="38"/>
    </row>
    <row r="20" ht="22.5" customHeight="1">
      <c r="A20" s="17" t="s">
        <v>8311</v>
      </c>
      <c r="B20" s="37" t="s">
        <v>8349</v>
      </c>
      <c r="C20" s="17" t="s">
        <v>8350</v>
      </c>
      <c r="D20" s="17" t="s">
        <v>8314</v>
      </c>
      <c r="E20" s="38"/>
    </row>
    <row r="21" ht="22.5" customHeight="1">
      <c r="A21" s="17" t="s">
        <v>8311</v>
      </c>
      <c r="B21" s="37" t="s">
        <v>8351</v>
      </c>
      <c r="C21" s="17" t="s">
        <v>8352</v>
      </c>
      <c r="D21" s="17" t="s">
        <v>8314</v>
      </c>
      <c r="E21" s="38"/>
    </row>
    <row r="22" ht="22.5" customHeight="1">
      <c r="A22" s="17" t="s">
        <v>8311</v>
      </c>
      <c r="B22" s="37" t="s">
        <v>8353</v>
      </c>
      <c r="C22" s="17" t="s">
        <v>8354</v>
      </c>
      <c r="D22" s="17" t="s">
        <v>8314</v>
      </c>
      <c r="E22" s="38"/>
    </row>
    <row r="23" ht="22.5" customHeight="1">
      <c r="A23" s="17" t="s">
        <v>8311</v>
      </c>
      <c r="B23" s="37" t="s">
        <v>8355</v>
      </c>
      <c r="C23" s="17" t="s">
        <v>8356</v>
      </c>
      <c r="D23" s="17" t="s">
        <v>8314</v>
      </c>
      <c r="E23" s="38"/>
    </row>
    <row r="24" ht="22.5" customHeight="1">
      <c r="A24" s="17" t="s">
        <v>8311</v>
      </c>
      <c r="B24" s="37" t="s">
        <v>8357</v>
      </c>
      <c r="C24" s="17" t="s">
        <v>8358</v>
      </c>
      <c r="D24" s="17" t="s">
        <v>8314</v>
      </c>
      <c r="E24" s="38"/>
    </row>
    <row r="25" ht="22.5" customHeight="1">
      <c r="A25" s="17" t="s">
        <v>8311</v>
      </c>
      <c r="B25" s="37" t="s">
        <v>8359</v>
      </c>
      <c r="C25" s="17" t="s">
        <v>8360</v>
      </c>
      <c r="D25" s="17" t="s">
        <v>8314</v>
      </c>
      <c r="E25" s="38"/>
    </row>
    <row r="26" ht="22.5" customHeight="1">
      <c r="A26" s="17" t="s">
        <v>8311</v>
      </c>
      <c r="B26" s="37" t="s">
        <v>8361</v>
      </c>
      <c r="C26" s="17" t="s">
        <v>8362</v>
      </c>
      <c r="D26" s="17" t="s">
        <v>8314</v>
      </c>
      <c r="E26" s="38"/>
    </row>
    <row r="27" ht="22.5" customHeight="1">
      <c r="A27" s="17" t="s">
        <v>8311</v>
      </c>
      <c r="B27" s="37" t="s">
        <v>8363</v>
      </c>
      <c r="C27" s="17" t="s">
        <v>8364</v>
      </c>
      <c r="D27" s="17" t="s">
        <v>8314</v>
      </c>
      <c r="E27" s="38"/>
    </row>
    <row r="28" ht="22.5" customHeight="1">
      <c r="A28" s="17" t="s">
        <v>8311</v>
      </c>
      <c r="B28" s="37" t="s">
        <v>8365</v>
      </c>
      <c r="C28" s="17" t="s">
        <v>8366</v>
      </c>
      <c r="D28" s="17" t="s">
        <v>8314</v>
      </c>
      <c r="E28" s="38"/>
    </row>
    <row r="29" ht="22.5" customHeight="1">
      <c r="A29" s="17" t="s">
        <v>8311</v>
      </c>
      <c r="B29" s="37" t="s">
        <v>8367</v>
      </c>
      <c r="C29" s="17" t="s">
        <v>8368</v>
      </c>
      <c r="D29" s="17" t="s">
        <v>8314</v>
      </c>
      <c r="E29" s="38"/>
    </row>
    <row r="30" ht="22.5" customHeight="1">
      <c r="A30" s="17" t="s">
        <v>8311</v>
      </c>
      <c r="B30" s="37" t="s">
        <v>8369</v>
      </c>
      <c r="C30" s="17" t="s">
        <v>8370</v>
      </c>
      <c r="D30" s="17" t="s">
        <v>8314</v>
      </c>
      <c r="E30" s="38"/>
    </row>
    <row r="31" ht="22.5" customHeight="1">
      <c r="A31" s="17" t="s">
        <v>8311</v>
      </c>
      <c r="B31" s="37" t="s">
        <v>8371</v>
      </c>
      <c r="C31" s="17" t="s">
        <v>8372</v>
      </c>
      <c r="D31" s="17" t="s">
        <v>8314</v>
      </c>
      <c r="E31" s="38"/>
    </row>
    <row r="32" ht="22.5" customHeight="1">
      <c r="A32" s="17" t="s">
        <v>8311</v>
      </c>
      <c r="B32" s="37" t="s">
        <v>8373</v>
      </c>
      <c r="C32" s="17" t="s">
        <v>8374</v>
      </c>
      <c r="D32" s="17" t="s">
        <v>8314</v>
      </c>
      <c r="E32" s="38"/>
    </row>
    <row r="33" ht="22.5" customHeight="1">
      <c r="A33" s="17" t="s">
        <v>8311</v>
      </c>
      <c r="B33" s="37" t="s">
        <v>8375</v>
      </c>
      <c r="C33" s="17" t="s">
        <v>8376</v>
      </c>
      <c r="D33" s="17" t="s">
        <v>8314</v>
      </c>
      <c r="E33" s="38"/>
    </row>
    <row r="34" ht="22.5" customHeight="1">
      <c r="A34" s="17" t="s">
        <v>8311</v>
      </c>
      <c r="B34" s="37" t="s">
        <v>8377</v>
      </c>
      <c r="C34" s="17" t="s">
        <v>8378</v>
      </c>
      <c r="D34" s="17" t="s">
        <v>8314</v>
      </c>
      <c r="E34" s="38"/>
    </row>
    <row r="35" ht="22.5" customHeight="1">
      <c r="A35" s="17" t="s">
        <v>8311</v>
      </c>
      <c r="B35" s="37" t="s">
        <v>8379</v>
      </c>
      <c r="C35" s="17" t="s">
        <v>8380</v>
      </c>
      <c r="D35" s="17" t="s">
        <v>8314</v>
      </c>
      <c r="E35" s="38"/>
    </row>
    <row r="36" ht="22.5" customHeight="1">
      <c r="A36" s="17" t="s">
        <v>8311</v>
      </c>
      <c r="B36" s="37" t="s">
        <v>8381</v>
      </c>
      <c r="C36" s="17" t="s">
        <v>8382</v>
      </c>
      <c r="D36" s="17" t="s">
        <v>8314</v>
      </c>
      <c r="E36" s="38"/>
    </row>
    <row r="37" ht="22.5" customHeight="1">
      <c r="A37" s="17" t="s">
        <v>8383</v>
      </c>
      <c r="B37" s="39" t="s">
        <v>8384</v>
      </c>
      <c r="C37" s="17" t="s">
        <v>8385</v>
      </c>
      <c r="D37" s="17" t="s">
        <v>8386</v>
      </c>
      <c r="E37" s="38"/>
    </row>
    <row r="38" ht="22.5" customHeight="1">
      <c r="A38" s="17" t="s">
        <v>8383</v>
      </c>
      <c r="B38" s="39" t="s">
        <v>8387</v>
      </c>
      <c r="C38" s="17" t="s">
        <v>8388</v>
      </c>
      <c r="D38" s="17" t="s">
        <v>8389</v>
      </c>
      <c r="E38" s="38"/>
    </row>
    <row r="39" ht="22.5" customHeight="1">
      <c r="A39" s="17" t="s">
        <v>8383</v>
      </c>
      <c r="B39" s="39" t="s">
        <v>8390</v>
      </c>
      <c r="C39" s="17" t="s">
        <v>8391</v>
      </c>
      <c r="D39" s="17" t="s">
        <v>8392</v>
      </c>
      <c r="E39" s="38"/>
    </row>
    <row r="40" ht="22.5" customHeight="1">
      <c r="A40" s="17" t="s">
        <v>8383</v>
      </c>
      <c r="B40" s="39" t="s">
        <v>8393</v>
      </c>
      <c r="C40" s="17" t="s">
        <v>8394</v>
      </c>
      <c r="D40" s="17" t="s">
        <v>8395</v>
      </c>
      <c r="E40" s="38"/>
    </row>
    <row r="41" ht="22.5" customHeight="1">
      <c r="A41" s="17" t="s">
        <v>8383</v>
      </c>
      <c r="B41" s="39" t="s">
        <v>8396</v>
      </c>
      <c r="C41" s="17" t="s">
        <v>8397</v>
      </c>
      <c r="D41" s="17" t="s">
        <v>8398</v>
      </c>
      <c r="E41" s="38"/>
    </row>
    <row r="42" ht="22.5" customHeight="1">
      <c r="A42" s="17" t="s">
        <v>8383</v>
      </c>
      <c r="B42" s="39" t="s">
        <v>8399</v>
      </c>
      <c r="C42" s="17" t="s">
        <v>8400</v>
      </c>
      <c r="D42" s="17" t="s">
        <v>8401</v>
      </c>
      <c r="E42" s="38"/>
    </row>
    <row r="43" ht="22.5" customHeight="1">
      <c r="A43" s="17" t="s">
        <v>8383</v>
      </c>
      <c r="B43" s="39" t="s">
        <v>8402</v>
      </c>
      <c r="C43" s="17" t="s">
        <v>8403</v>
      </c>
      <c r="D43" s="17" t="s">
        <v>8404</v>
      </c>
      <c r="E43" s="38"/>
    </row>
    <row r="44" ht="22.5" customHeight="1">
      <c r="A44" s="17" t="s">
        <v>8383</v>
      </c>
      <c r="B44" s="39" t="s">
        <v>8405</v>
      </c>
      <c r="C44" s="17" t="s">
        <v>8406</v>
      </c>
      <c r="D44" s="17" t="s">
        <v>8407</v>
      </c>
      <c r="E44" s="38"/>
    </row>
    <row r="45" ht="22.5" customHeight="1">
      <c r="A45" s="17" t="s">
        <v>8383</v>
      </c>
      <c r="B45" s="39" t="s">
        <v>8408</v>
      </c>
      <c r="C45" s="17" t="s">
        <v>8409</v>
      </c>
      <c r="D45" s="17" t="s">
        <v>8410</v>
      </c>
      <c r="E45" s="38"/>
    </row>
    <row r="46" ht="22.5" customHeight="1">
      <c r="A46" s="17" t="s">
        <v>8383</v>
      </c>
      <c r="B46" s="39" t="s">
        <v>8411</v>
      </c>
      <c r="C46" s="17" t="s">
        <v>8412</v>
      </c>
      <c r="D46" s="17" t="s">
        <v>8413</v>
      </c>
      <c r="E46" s="38"/>
    </row>
    <row r="47" ht="22.5" customHeight="1">
      <c r="A47" s="17" t="s">
        <v>8383</v>
      </c>
      <c r="B47" s="39" t="s">
        <v>8414</v>
      </c>
      <c r="C47" s="17" t="s">
        <v>8415</v>
      </c>
      <c r="D47" s="17" t="s">
        <v>8416</v>
      </c>
      <c r="E47" s="38"/>
    </row>
    <row r="48" ht="22.5" customHeight="1">
      <c r="A48" s="17" t="s">
        <v>8383</v>
      </c>
      <c r="B48" s="39" t="s">
        <v>8417</v>
      </c>
      <c r="C48" s="17" t="s">
        <v>8418</v>
      </c>
      <c r="D48" s="17" t="s">
        <v>8419</v>
      </c>
      <c r="E48" s="38"/>
    </row>
    <row r="49" ht="22.5" customHeight="1">
      <c r="A49" s="17" t="s">
        <v>8383</v>
      </c>
      <c r="B49" s="39" t="s">
        <v>8420</v>
      </c>
      <c r="C49" s="17" t="s">
        <v>8421</v>
      </c>
      <c r="D49" s="17" t="s">
        <v>8422</v>
      </c>
      <c r="E49" s="38"/>
    </row>
    <row r="50" ht="22.5" customHeight="1">
      <c r="A50" s="17" t="s">
        <v>8383</v>
      </c>
      <c r="B50" s="39" t="s">
        <v>8423</v>
      </c>
      <c r="C50" s="17" t="s">
        <v>8424</v>
      </c>
      <c r="D50" s="17" t="s">
        <v>8425</v>
      </c>
      <c r="E50" s="38"/>
    </row>
    <row r="51" ht="22.5" customHeight="1">
      <c r="A51" s="17" t="s">
        <v>8383</v>
      </c>
      <c r="B51" s="39" t="s">
        <v>8426</v>
      </c>
      <c r="C51" s="17" t="s">
        <v>8427</v>
      </c>
      <c r="D51" s="17" t="s">
        <v>8428</v>
      </c>
      <c r="E51" s="38"/>
    </row>
    <row r="52" ht="22.5" customHeight="1">
      <c r="A52" s="17" t="s">
        <v>8383</v>
      </c>
      <c r="B52" s="39" t="s">
        <v>8429</v>
      </c>
      <c r="C52" s="17" t="s">
        <v>8430</v>
      </c>
      <c r="D52" s="17" t="s">
        <v>8431</v>
      </c>
      <c r="E52" s="38"/>
    </row>
    <row r="53" ht="22.5" customHeight="1">
      <c r="A53" s="17" t="s">
        <v>8383</v>
      </c>
      <c r="B53" s="39" t="s">
        <v>8432</v>
      </c>
      <c r="C53" s="17" t="s">
        <v>8433</v>
      </c>
      <c r="D53" s="17" t="s">
        <v>8434</v>
      </c>
      <c r="E53" s="38"/>
    </row>
    <row r="54" ht="22.5" customHeight="1">
      <c r="A54" s="17" t="s">
        <v>8383</v>
      </c>
      <c r="B54" s="39" t="s">
        <v>8435</v>
      </c>
      <c r="C54" s="17" t="s">
        <v>8436</v>
      </c>
      <c r="D54" s="17" t="s">
        <v>8437</v>
      </c>
      <c r="E54" s="38"/>
    </row>
    <row r="55" ht="22.5" customHeight="1">
      <c r="A55" s="17" t="s">
        <v>8383</v>
      </c>
      <c r="B55" s="39" t="s">
        <v>8438</v>
      </c>
      <c r="C55" s="17" t="s">
        <v>8439</v>
      </c>
      <c r="D55" s="17" t="s">
        <v>8440</v>
      </c>
      <c r="E55" s="38"/>
    </row>
    <row r="56" ht="22.5" customHeight="1">
      <c r="A56" s="17" t="s">
        <v>8383</v>
      </c>
      <c r="B56" s="39" t="s">
        <v>8441</v>
      </c>
      <c r="C56" s="17" t="s">
        <v>8442</v>
      </c>
      <c r="D56" s="17" t="s">
        <v>8443</v>
      </c>
      <c r="E56" s="38"/>
    </row>
    <row r="57" ht="22.5" customHeight="1">
      <c r="A57" s="17" t="s">
        <v>8383</v>
      </c>
      <c r="B57" s="39" t="s">
        <v>8444</v>
      </c>
      <c r="C57" s="17" t="s">
        <v>8445</v>
      </c>
      <c r="D57" s="17" t="s">
        <v>8446</v>
      </c>
      <c r="E57" s="38"/>
    </row>
    <row r="58" ht="22.5" customHeight="1">
      <c r="A58" s="17" t="s">
        <v>8447</v>
      </c>
      <c r="B58" s="37" t="s">
        <v>8448</v>
      </c>
      <c r="C58" s="17" t="s">
        <v>8449</v>
      </c>
      <c r="D58" s="17" t="s">
        <v>8450</v>
      </c>
      <c r="E58" s="38"/>
    </row>
    <row r="59" ht="22.5" customHeight="1">
      <c r="A59" s="17" t="s">
        <v>8447</v>
      </c>
      <c r="B59" s="37" t="s">
        <v>8451</v>
      </c>
      <c r="C59" s="17" t="s">
        <v>8452</v>
      </c>
      <c r="D59" s="17" t="s">
        <v>8450</v>
      </c>
      <c r="E59" s="38"/>
    </row>
    <row r="60" ht="22.5" customHeight="1">
      <c r="A60" s="17" t="s">
        <v>8447</v>
      </c>
      <c r="B60" s="37" t="s">
        <v>8453</v>
      </c>
      <c r="C60" s="17" t="s">
        <v>8454</v>
      </c>
      <c r="D60" s="17" t="s">
        <v>8450</v>
      </c>
      <c r="E60" s="38"/>
    </row>
    <row r="61" ht="22.5" customHeight="1">
      <c r="A61" s="17" t="s">
        <v>8447</v>
      </c>
      <c r="B61" s="37" t="s">
        <v>8455</v>
      </c>
      <c r="C61" s="17" t="s">
        <v>8456</v>
      </c>
      <c r="D61" s="17" t="s">
        <v>8457</v>
      </c>
      <c r="E61" s="38"/>
    </row>
    <row r="62" ht="22.5" customHeight="1">
      <c r="A62" s="17" t="s">
        <v>8447</v>
      </c>
      <c r="B62" s="37" t="s">
        <v>8458</v>
      </c>
      <c r="C62" s="17" t="s">
        <v>8459</v>
      </c>
      <c r="D62" s="17" t="s">
        <v>8457</v>
      </c>
      <c r="E62" s="38"/>
    </row>
    <row r="63" ht="22.5" customHeight="1">
      <c r="A63" s="17" t="s">
        <v>8447</v>
      </c>
      <c r="B63" s="37" t="s">
        <v>8460</v>
      </c>
      <c r="C63" s="17" t="s">
        <v>8461</v>
      </c>
      <c r="D63" s="17" t="s">
        <v>8457</v>
      </c>
      <c r="E63" s="38"/>
    </row>
    <row r="64" ht="22.5" customHeight="1">
      <c r="A64" s="17" t="s">
        <v>8447</v>
      </c>
      <c r="B64" s="37" t="s">
        <v>8462</v>
      </c>
      <c r="C64" s="17" t="s">
        <v>8463</v>
      </c>
      <c r="D64" s="17" t="s">
        <v>8457</v>
      </c>
      <c r="E64" s="38"/>
    </row>
    <row r="65" ht="22.5" customHeight="1">
      <c r="A65" s="17" t="s">
        <v>8447</v>
      </c>
      <c r="B65" s="37" t="s">
        <v>8464</v>
      </c>
      <c r="C65" s="17" t="s">
        <v>8465</v>
      </c>
      <c r="D65" s="17" t="s">
        <v>8457</v>
      </c>
      <c r="E65" s="38"/>
    </row>
    <row r="66" ht="22.5" customHeight="1">
      <c r="A66" s="17" t="s">
        <v>8447</v>
      </c>
      <c r="B66" s="37" t="s">
        <v>8466</v>
      </c>
      <c r="C66" s="17" t="s">
        <v>8467</v>
      </c>
      <c r="D66" s="17" t="s">
        <v>8457</v>
      </c>
      <c r="E66" s="38"/>
    </row>
    <row r="67" ht="22.5" customHeight="1">
      <c r="A67" s="17" t="s">
        <v>8447</v>
      </c>
      <c r="B67" s="37" t="s">
        <v>8468</v>
      </c>
      <c r="C67" s="17" t="s">
        <v>8469</v>
      </c>
      <c r="D67" s="17" t="s">
        <v>8457</v>
      </c>
      <c r="E67" s="38"/>
    </row>
    <row r="68" ht="22.5" customHeight="1">
      <c r="A68" s="17" t="s">
        <v>8447</v>
      </c>
      <c r="B68" s="37" t="s">
        <v>8470</v>
      </c>
      <c r="C68" s="17" t="s">
        <v>8471</v>
      </c>
      <c r="D68" s="17" t="s">
        <v>8457</v>
      </c>
      <c r="E68" s="38"/>
    </row>
    <row r="69" ht="22.5" customHeight="1">
      <c r="A69" s="17" t="s">
        <v>8447</v>
      </c>
      <c r="B69" s="37" t="s">
        <v>8472</v>
      </c>
      <c r="C69" s="17" t="s">
        <v>8473</v>
      </c>
      <c r="D69" s="17" t="s">
        <v>8457</v>
      </c>
      <c r="E69" s="38"/>
    </row>
    <row r="70" ht="22.5" customHeight="1">
      <c r="A70" s="17" t="s">
        <v>8447</v>
      </c>
      <c r="B70" s="37" t="s">
        <v>8474</v>
      </c>
      <c r="C70" s="17" t="s">
        <v>8475</v>
      </c>
      <c r="D70" s="17" t="s">
        <v>8457</v>
      </c>
      <c r="E70" s="38"/>
    </row>
    <row r="71" ht="22.5" customHeight="1">
      <c r="A71" s="17" t="s">
        <v>8447</v>
      </c>
      <c r="B71" s="37" t="s">
        <v>8474</v>
      </c>
      <c r="C71" s="17" t="s">
        <v>8476</v>
      </c>
      <c r="D71" s="17" t="s">
        <v>8457</v>
      </c>
      <c r="E71" s="38"/>
    </row>
    <row r="72" ht="22.5" customHeight="1">
      <c r="A72" s="17" t="s">
        <v>8447</v>
      </c>
      <c r="B72" s="37" t="s">
        <v>8477</v>
      </c>
      <c r="C72" s="17" t="s">
        <v>8478</v>
      </c>
      <c r="D72" s="17" t="s">
        <v>8457</v>
      </c>
      <c r="E72" s="38"/>
    </row>
    <row r="73" ht="22.5" customHeight="1">
      <c r="A73" s="17" t="s">
        <v>8447</v>
      </c>
      <c r="B73" s="37" t="s">
        <v>8479</v>
      </c>
      <c r="C73" s="17" t="s">
        <v>8480</v>
      </c>
      <c r="D73" s="17" t="s">
        <v>8457</v>
      </c>
      <c r="E73" s="38"/>
    </row>
    <row r="74" ht="22.5" customHeight="1">
      <c r="A74" s="17" t="s">
        <v>8447</v>
      </c>
      <c r="B74" s="37" t="s">
        <v>8481</v>
      </c>
      <c r="C74" s="17" t="s">
        <v>8482</v>
      </c>
      <c r="D74" s="17" t="s">
        <v>8457</v>
      </c>
      <c r="E74" s="38"/>
    </row>
    <row r="75" ht="22.5" customHeight="1">
      <c r="A75" s="17" t="s">
        <v>8447</v>
      </c>
      <c r="B75" s="37" t="s">
        <v>8483</v>
      </c>
      <c r="C75" s="17" t="s">
        <v>8484</v>
      </c>
      <c r="D75" s="17" t="s">
        <v>8457</v>
      </c>
      <c r="E75" s="38"/>
    </row>
    <row r="76" ht="22.5" customHeight="1">
      <c r="A76" s="17" t="s">
        <v>8447</v>
      </c>
      <c r="B76" s="37" t="s">
        <v>8485</v>
      </c>
      <c r="C76" s="17" t="s">
        <v>8486</v>
      </c>
      <c r="D76" s="17" t="s">
        <v>8457</v>
      </c>
      <c r="E76" s="38"/>
    </row>
    <row r="77" ht="22.5" customHeight="1">
      <c r="A77" s="17" t="s">
        <v>8447</v>
      </c>
      <c r="B77" s="37" t="s">
        <v>8487</v>
      </c>
      <c r="C77" s="17" t="s">
        <v>8488</v>
      </c>
      <c r="D77" s="17" t="s">
        <v>8457</v>
      </c>
      <c r="E77" s="38"/>
    </row>
    <row r="78" ht="22.5" customHeight="1">
      <c r="A78" s="17" t="s">
        <v>8447</v>
      </c>
      <c r="B78" s="37" t="s">
        <v>8489</v>
      </c>
      <c r="C78" s="17" t="s">
        <v>8490</v>
      </c>
      <c r="D78" s="17" t="s">
        <v>8457</v>
      </c>
      <c r="E78" s="38"/>
    </row>
    <row r="79" ht="22.5" customHeight="1">
      <c r="A79" s="17" t="s">
        <v>8447</v>
      </c>
      <c r="B79" s="37" t="s">
        <v>8491</v>
      </c>
      <c r="C79" s="17" t="s">
        <v>8492</v>
      </c>
      <c r="D79" s="17" t="s">
        <v>8457</v>
      </c>
      <c r="E79" s="38"/>
    </row>
    <row r="80" ht="22.5" customHeight="1">
      <c r="A80" s="17" t="s">
        <v>8447</v>
      </c>
      <c r="B80" s="37" t="s">
        <v>8493</v>
      </c>
      <c r="C80" s="17" t="s">
        <v>8494</v>
      </c>
      <c r="D80" s="17" t="s">
        <v>8457</v>
      </c>
      <c r="E80" s="38"/>
    </row>
    <row r="81" ht="22.5" customHeight="1">
      <c r="A81" s="17" t="s">
        <v>8447</v>
      </c>
      <c r="B81" s="37" t="s">
        <v>8495</v>
      </c>
      <c r="C81" s="17" t="s">
        <v>8496</v>
      </c>
      <c r="D81" s="17" t="s">
        <v>8457</v>
      </c>
      <c r="E81" s="38"/>
    </row>
    <row r="82" ht="22.5" customHeight="1">
      <c r="A82" s="17" t="s">
        <v>8447</v>
      </c>
      <c r="B82" s="37" t="s">
        <v>8497</v>
      </c>
      <c r="C82" s="17" t="s">
        <v>8498</v>
      </c>
      <c r="D82" s="17" t="s">
        <v>8457</v>
      </c>
      <c r="E82" s="38"/>
    </row>
    <row r="83" ht="22.5" customHeight="1">
      <c r="A83" s="17" t="s">
        <v>8447</v>
      </c>
      <c r="B83" s="37" t="s">
        <v>8499</v>
      </c>
      <c r="C83" s="17" t="s">
        <v>8500</v>
      </c>
      <c r="D83" s="17" t="s">
        <v>8457</v>
      </c>
      <c r="E83" s="38"/>
    </row>
    <row r="84" ht="22.5" customHeight="1">
      <c r="A84" s="17" t="s">
        <v>8447</v>
      </c>
      <c r="B84" s="37" t="s">
        <v>8501</v>
      </c>
      <c r="C84" s="17" t="s">
        <v>8502</v>
      </c>
      <c r="D84" s="17" t="s">
        <v>8457</v>
      </c>
      <c r="E84" s="38"/>
    </row>
    <row r="85" ht="22.5" customHeight="1">
      <c r="A85" s="17" t="s">
        <v>8447</v>
      </c>
      <c r="B85" s="37" t="s">
        <v>8503</v>
      </c>
      <c r="C85" s="17" t="s">
        <v>8504</v>
      </c>
      <c r="D85" s="17" t="s">
        <v>8457</v>
      </c>
      <c r="E85" s="38"/>
    </row>
    <row r="86" ht="22.5" customHeight="1">
      <c r="A86" s="17" t="s">
        <v>8447</v>
      </c>
      <c r="B86" s="37" t="s">
        <v>8505</v>
      </c>
      <c r="C86" s="17" t="s">
        <v>8506</v>
      </c>
      <c r="D86" s="17" t="s">
        <v>8457</v>
      </c>
      <c r="E86" s="38"/>
    </row>
    <row r="87" ht="22.5" customHeight="1">
      <c r="A87" s="17" t="s">
        <v>8447</v>
      </c>
      <c r="B87" s="37" t="s">
        <v>8507</v>
      </c>
      <c r="C87" s="17" t="s">
        <v>8508</v>
      </c>
      <c r="D87" s="17" t="s">
        <v>8457</v>
      </c>
      <c r="E87" s="38"/>
    </row>
    <row r="88" ht="22.5" customHeight="1">
      <c r="A88" s="17" t="s">
        <v>8447</v>
      </c>
      <c r="B88" s="37" t="s">
        <v>8509</v>
      </c>
      <c r="C88" s="17" t="s">
        <v>8510</v>
      </c>
      <c r="D88" s="17" t="s">
        <v>8457</v>
      </c>
      <c r="E88" s="38"/>
    </row>
    <row r="89" ht="22.5" customHeight="1">
      <c r="A89" s="17" t="s">
        <v>8447</v>
      </c>
      <c r="B89" s="37" t="s">
        <v>8511</v>
      </c>
      <c r="C89" s="17" t="s">
        <v>8512</v>
      </c>
      <c r="D89" s="17" t="s">
        <v>8457</v>
      </c>
      <c r="E89" s="38"/>
    </row>
    <row r="90" ht="22.5" customHeight="1">
      <c r="A90" s="17" t="s">
        <v>8447</v>
      </c>
      <c r="B90" s="37" t="s">
        <v>8513</v>
      </c>
      <c r="C90" s="17" t="s">
        <v>8514</v>
      </c>
      <c r="D90" s="17" t="s">
        <v>8457</v>
      </c>
      <c r="E90" s="38"/>
    </row>
    <row r="91" ht="22.5" customHeight="1">
      <c r="A91" s="17" t="s">
        <v>8447</v>
      </c>
      <c r="B91" s="37" t="s">
        <v>8515</v>
      </c>
      <c r="C91" s="17" t="s">
        <v>8516</v>
      </c>
      <c r="D91" s="17" t="s">
        <v>8457</v>
      </c>
      <c r="E91" s="38"/>
    </row>
    <row r="92" ht="22.5" customHeight="1">
      <c r="A92" s="17" t="s">
        <v>8447</v>
      </c>
      <c r="B92" s="37" t="s">
        <v>8517</v>
      </c>
      <c r="C92" s="17" t="s">
        <v>8518</v>
      </c>
      <c r="D92" s="17" t="s">
        <v>8457</v>
      </c>
      <c r="E92" s="38"/>
    </row>
    <row r="93" ht="22.5" customHeight="1">
      <c r="A93" s="17" t="s">
        <v>8447</v>
      </c>
      <c r="B93" s="37" t="s">
        <v>8519</v>
      </c>
      <c r="C93" s="17" t="s">
        <v>8520</v>
      </c>
      <c r="D93" s="17" t="s">
        <v>8457</v>
      </c>
      <c r="E93" s="38"/>
    </row>
    <row r="94" ht="22.5" customHeight="1">
      <c r="A94" s="17" t="s">
        <v>8447</v>
      </c>
      <c r="B94" s="37" t="s">
        <v>8521</v>
      </c>
      <c r="C94" s="17" t="s">
        <v>8522</v>
      </c>
      <c r="D94" s="17" t="s">
        <v>8457</v>
      </c>
      <c r="E94" s="38"/>
    </row>
    <row r="95" ht="22.5" customHeight="1">
      <c r="A95" s="17" t="s">
        <v>8447</v>
      </c>
      <c r="B95" s="37" t="s">
        <v>8523</v>
      </c>
      <c r="C95" s="17" t="s">
        <v>8524</v>
      </c>
      <c r="D95" s="17" t="s">
        <v>8457</v>
      </c>
      <c r="E95" s="38"/>
    </row>
    <row r="96" ht="22.5" customHeight="1">
      <c r="A96" s="17" t="s">
        <v>8447</v>
      </c>
      <c r="B96" s="37" t="s">
        <v>8525</v>
      </c>
      <c r="C96" s="17" t="s">
        <v>8526</v>
      </c>
      <c r="D96" s="17" t="s">
        <v>8457</v>
      </c>
      <c r="E96" s="38"/>
    </row>
    <row r="97" ht="22.5" customHeight="1">
      <c r="A97" s="17" t="s">
        <v>8447</v>
      </c>
      <c r="B97" s="37" t="s">
        <v>8527</v>
      </c>
      <c r="C97" s="17" t="s">
        <v>8528</v>
      </c>
      <c r="D97" s="17" t="s">
        <v>8457</v>
      </c>
      <c r="E97" s="38"/>
    </row>
    <row r="98" ht="22.5" customHeight="1">
      <c r="A98" s="17" t="s">
        <v>8447</v>
      </c>
      <c r="B98" s="37" t="s">
        <v>8529</v>
      </c>
      <c r="C98" s="17" t="s">
        <v>8530</v>
      </c>
      <c r="D98" s="17" t="s">
        <v>8457</v>
      </c>
      <c r="E98" s="38"/>
    </row>
    <row r="99" ht="22.5" customHeight="1">
      <c r="A99" s="17" t="s">
        <v>8447</v>
      </c>
      <c r="B99" s="37" t="s">
        <v>8531</v>
      </c>
      <c r="C99" s="17" t="s">
        <v>8532</v>
      </c>
      <c r="D99" s="17" t="s">
        <v>8457</v>
      </c>
      <c r="E99" s="38"/>
    </row>
    <row r="100" ht="22.5" customHeight="1">
      <c r="A100" s="17" t="s">
        <v>8447</v>
      </c>
      <c r="B100" s="37" t="s">
        <v>8533</v>
      </c>
      <c r="C100" s="17" t="s">
        <v>8534</v>
      </c>
      <c r="D100" s="17" t="s">
        <v>8457</v>
      </c>
      <c r="E100" s="38"/>
    </row>
    <row r="101" ht="22.5" customHeight="1">
      <c r="A101" s="17" t="s">
        <v>8535</v>
      </c>
      <c r="B101" s="40" t="s">
        <v>8536</v>
      </c>
      <c r="C101" s="19" t="s">
        <v>8537</v>
      </c>
      <c r="D101" s="19" t="s">
        <v>8538</v>
      </c>
      <c r="E101" s="38"/>
    </row>
    <row r="102" ht="22.5" customHeight="1">
      <c r="A102" s="17" t="s">
        <v>8535</v>
      </c>
      <c r="B102" s="37" t="s">
        <v>8539</v>
      </c>
      <c r="C102" s="17" t="s">
        <v>8540</v>
      </c>
      <c r="D102" s="17" t="s">
        <v>8538</v>
      </c>
      <c r="E102" s="38"/>
    </row>
    <row r="103" ht="22.5" customHeight="1">
      <c r="A103" s="17" t="s">
        <v>8535</v>
      </c>
      <c r="B103" s="37" t="s">
        <v>8541</v>
      </c>
      <c r="C103" s="17" t="s">
        <v>8542</v>
      </c>
      <c r="D103" s="17" t="s">
        <v>8538</v>
      </c>
      <c r="E103" s="38"/>
    </row>
    <row r="104" ht="22.5" customHeight="1">
      <c r="A104" s="17" t="s">
        <v>8535</v>
      </c>
      <c r="B104" s="37" t="s">
        <v>8543</v>
      </c>
      <c r="C104" s="17" t="s">
        <v>8544</v>
      </c>
      <c r="D104" s="17" t="s">
        <v>8538</v>
      </c>
      <c r="E104" s="38"/>
    </row>
    <row r="105" ht="22.5" customHeight="1">
      <c r="A105" s="17" t="s">
        <v>8535</v>
      </c>
      <c r="B105" s="37" t="s">
        <v>8545</v>
      </c>
      <c r="C105" s="17" t="s">
        <v>8546</v>
      </c>
      <c r="D105" s="17" t="s">
        <v>8538</v>
      </c>
      <c r="E105" s="38"/>
    </row>
    <row r="106" ht="22.5" customHeight="1">
      <c r="A106" s="17" t="s">
        <v>8535</v>
      </c>
      <c r="B106" s="37" t="s">
        <v>8547</v>
      </c>
      <c r="C106" s="17" t="s">
        <v>8548</v>
      </c>
      <c r="D106" s="17" t="s">
        <v>8538</v>
      </c>
      <c r="E106" s="38"/>
    </row>
    <row r="107" ht="22.5" customHeight="1">
      <c r="A107" s="17" t="s">
        <v>8535</v>
      </c>
      <c r="B107" s="37" t="s">
        <v>8549</v>
      </c>
      <c r="C107" s="17" t="s">
        <v>8550</v>
      </c>
      <c r="D107" s="17" t="s">
        <v>8538</v>
      </c>
      <c r="E107" s="38"/>
    </row>
    <row r="108" ht="22.5" customHeight="1">
      <c r="A108" s="17" t="s">
        <v>8535</v>
      </c>
      <c r="B108" s="37" t="s">
        <v>8551</v>
      </c>
      <c r="C108" s="17" t="s">
        <v>8552</v>
      </c>
      <c r="D108" s="17" t="s">
        <v>8538</v>
      </c>
      <c r="E108" s="38"/>
    </row>
    <row r="109" ht="22.5" customHeight="1">
      <c r="A109" s="17" t="s">
        <v>8535</v>
      </c>
      <c r="B109" s="37" t="s">
        <v>8553</v>
      </c>
      <c r="C109" s="17" t="s">
        <v>8554</v>
      </c>
      <c r="D109" s="17" t="s">
        <v>8538</v>
      </c>
      <c r="E109" s="38"/>
    </row>
    <row r="110" ht="22.5" customHeight="1">
      <c r="A110" s="17" t="s">
        <v>8535</v>
      </c>
      <c r="B110" s="37" t="s">
        <v>8555</v>
      </c>
      <c r="C110" s="17" t="s">
        <v>8556</v>
      </c>
      <c r="D110" s="17" t="s">
        <v>8538</v>
      </c>
      <c r="E110" s="38"/>
    </row>
    <row r="111" ht="22.5" customHeight="1">
      <c r="A111" s="17" t="s">
        <v>8535</v>
      </c>
      <c r="B111" s="37" t="s">
        <v>8557</v>
      </c>
      <c r="C111" s="17" t="s">
        <v>8558</v>
      </c>
      <c r="D111" s="17" t="s">
        <v>8538</v>
      </c>
      <c r="E111" s="38"/>
    </row>
    <row r="112" ht="22.5" customHeight="1">
      <c r="A112" s="17" t="s">
        <v>8535</v>
      </c>
      <c r="B112" s="37" t="s">
        <v>8559</v>
      </c>
      <c r="C112" s="17" t="s">
        <v>8560</v>
      </c>
      <c r="D112" s="17" t="s">
        <v>8538</v>
      </c>
      <c r="E112" s="38"/>
    </row>
    <row r="113" ht="22.5" customHeight="1">
      <c r="A113" s="17" t="s">
        <v>8535</v>
      </c>
      <c r="B113" s="37" t="s">
        <v>8561</v>
      </c>
      <c r="C113" s="17" t="s">
        <v>8562</v>
      </c>
      <c r="D113" s="17" t="s">
        <v>8538</v>
      </c>
      <c r="E113" s="38"/>
    </row>
    <row r="114" ht="22.5" customHeight="1">
      <c r="A114" s="17" t="s">
        <v>8535</v>
      </c>
      <c r="B114" s="37" t="s">
        <v>8563</v>
      </c>
      <c r="C114" s="17" t="s">
        <v>8564</v>
      </c>
      <c r="D114" s="17" t="s">
        <v>8538</v>
      </c>
      <c r="E114" s="38"/>
    </row>
    <row r="115" ht="22.5" customHeight="1">
      <c r="A115" s="17" t="s">
        <v>8535</v>
      </c>
      <c r="B115" s="37" t="s">
        <v>8565</v>
      </c>
      <c r="C115" s="17" t="s">
        <v>8566</v>
      </c>
      <c r="D115" s="17" t="s">
        <v>8538</v>
      </c>
      <c r="E115" s="38"/>
    </row>
    <row r="116" ht="22.5" customHeight="1">
      <c r="A116" s="17" t="s">
        <v>8535</v>
      </c>
      <c r="B116" s="37" t="s">
        <v>8567</v>
      </c>
      <c r="C116" s="17" t="s">
        <v>8568</v>
      </c>
      <c r="D116" s="17" t="s">
        <v>8538</v>
      </c>
      <c r="E116" s="38"/>
    </row>
    <row r="117" ht="22.5" customHeight="1">
      <c r="A117" s="17" t="s">
        <v>8535</v>
      </c>
      <c r="B117" s="37" t="s">
        <v>8569</v>
      </c>
      <c r="C117" s="17" t="s">
        <v>8570</v>
      </c>
      <c r="D117" s="17" t="s">
        <v>8538</v>
      </c>
      <c r="E117" s="38"/>
    </row>
    <row r="118" ht="22.5" customHeight="1">
      <c r="A118" s="17" t="s">
        <v>8535</v>
      </c>
      <c r="B118" s="37" t="s">
        <v>8571</v>
      </c>
      <c r="C118" s="17" t="s">
        <v>8572</v>
      </c>
      <c r="D118" s="17" t="s">
        <v>8538</v>
      </c>
      <c r="E118" s="38"/>
    </row>
    <row r="119" ht="22.5" customHeight="1">
      <c r="A119" s="17" t="s">
        <v>8535</v>
      </c>
      <c r="B119" s="37" t="s">
        <v>8573</v>
      </c>
      <c r="C119" s="17" t="s">
        <v>8574</v>
      </c>
      <c r="D119" s="17" t="s">
        <v>8538</v>
      </c>
      <c r="E119" s="38"/>
    </row>
    <row r="120" ht="22.5" customHeight="1">
      <c r="A120" s="17" t="s">
        <v>8535</v>
      </c>
      <c r="B120" s="37" t="s">
        <v>8575</v>
      </c>
      <c r="C120" s="17" t="s">
        <v>8576</v>
      </c>
      <c r="D120" s="17" t="s">
        <v>8538</v>
      </c>
      <c r="E120" s="38"/>
    </row>
    <row r="121" ht="22.5" customHeight="1">
      <c r="A121" s="17" t="s">
        <v>8535</v>
      </c>
      <c r="B121" s="37" t="s">
        <v>8577</v>
      </c>
      <c r="C121" s="17" t="s">
        <v>8578</v>
      </c>
      <c r="D121" s="17" t="s">
        <v>8538</v>
      </c>
      <c r="E121" s="38"/>
    </row>
    <row r="122" ht="22.5" customHeight="1">
      <c r="A122" s="17" t="s">
        <v>8535</v>
      </c>
      <c r="B122" s="37" t="s">
        <v>8579</v>
      </c>
      <c r="C122" s="17" t="s">
        <v>8580</v>
      </c>
      <c r="D122" s="17" t="s">
        <v>8538</v>
      </c>
      <c r="E122" s="38"/>
    </row>
    <row r="123" ht="22.5" customHeight="1">
      <c r="A123" s="17" t="s">
        <v>8535</v>
      </c>
      <c r="B123" s="37" t="s">
        <v>8581</v>
      </c>
      <c r="C123" s="17" t="s">
        <v>8582</v>
      </c>
      <c r="D123" s="17" t="s">
        <v>8538</v>
      </c>
      <c r="E123" s="38"/>
    </row>
    <row r="124" ht="22.5" customHeight="1">
      <c r="A124" s="17" t="s">
        <v>8535</v>
      </c>
      <c r="B124" s="37" t="s">
        <v>8583</v>
      </c>
      <c r="C124" s="17" t="s">
        <v>8584</v>
      </c>
      <c r="D124" s="17" t="s">
        <v>8538</v>
      </c>
      <c r="E124" s="38"/>
    </row>
    <row r="125" ht="22.5" customHeight="1">
      <c r="A125" s="17" t="s">
        <v>8535</v>
      </c>
      <c r="B125" s="37" t="s">
        <v>8585</v>
      </c>
      <c r="C125" s="17" t="s">
        <v>8586</v>
      </c>
      <c r="D125" s="17" t="s">
        <v>8538</v>
      </c>
      <c r="E125" s="38"/>
    </row>
    <row r="126" ht="22.5" customHeight="1">
      <c r="A126" s="17" t="s">
        <v>8535</v>
      </c>
      <c r="B126" s="37" t="s">
        <v>8587</v>
      </c>
      <c r="C126" s="17" t="s">
        <v>8588</v>
      </c>
      <c r="D126" s="17" t="s">
        <v>8538</v>
      </c>
      <c r="E126" s="38"/>
    </row>
    <row r="127" ht="22.5" customHeight="1">
      <c r="A127" s="17" t="s">
        <v>8535</v>
      </c>
      <c r="B127" s="37" t="s">
        <v>8589</v>
      </c>
      <c r="C127" s="17" t="s">
        <v>8590</v>
      </c>
      <c r="D127" s="17" t="s">
        <v>8538</v>
      </c>
      <c r="E127" s="38"/>
    </row>
    <row r="128" ht="22.5" customHeight="1">
      <c r="A128" s="17" t="s">
        <v>8535</v>
      </c>
      <c r="B128" s="37" t="s">
        <v>8591</v>
      </c>
      <c r="C128" s="17" t="s">
        <v>8592</v>
      </c>
      <c r="D128" s="17" t="s">
        <v>8538</v>
      </c>
      <c r="E128" s="38"/>
    </row>
    <row r="129" ht="22.5" customHeight="1">
      <c r="A129" s="17" t="s">
        <v>8535</v>
      </c>
      <c r="B129" s="37" t="s">
        <v>8593</v>
      </c>
      <c r="C129" s="17" t="s">
        <v>8594</v>
      </c>
      <c r="D129" s="17" t="s">
        <v>8538</v>
      </c>
      <c r="E129" s="38"/>
    </row>
    <row r="130" ht="22.5" customHeight="1">
      <c r="A130" s="17" t="s">
        <v>8535</v>
      </c>
      <c r="B130" s="37" t="s">
        <v>8595</v>
      </c>
      <c r="C130" s="17" t="s">
        <v>8596</v>
      </c>
      <c r="D130" s="17" t="s">
        <v>8538</v>
      </c>
      <c r="E130" s="38"/>
    </row>
    <row r="131" ht="22.5" customHeight="1">
      <c r="A131" s="17" t="s">
        <v>8535</v>
      </c>
      <c r="B131" s="37" t="s">
        <v>8597</v>
      </c>
      <c r="C131" s="17" t="s">
        <v>8598</v>
      </c>
      <c r="D131" s="17" t="s">
        <v>8538</v>
      </c>
      <c r="E131" s="38"/>
    </row>
    <row r="132" ht="22.5" customHeight="1">
      <c r="A132" s="17" t="s">
        <v>8535</v>
      </c>
      <c r="B132" s="37" t="s">
        <v>8599</v>
      </c>
      <c r="C132" s="17" t="s">
        <v>8600</v>
      </c>
      <c r="D132" s="17" t="s">
        <v>8538</v>
      </c>
      <c r="E132" s="38"/>
    </row>
    <row r="133" ht="22.5" customHeight="1">
      <c r="A133" s="17" t="s">
        <v>8535</v>
      </c>
      <c r="B133" s="37" t="s">
        <v>8601</v>
      </c>
      <c r="C133" s="17" t="s">
        <v>8602</v>
      </c>
      <c r="D133" s="17" t="s">
        <v>8538</v>
      </c>
      <c r="E133" s="38"/>
    </row>
    <row r="134" ht="22.5" customHeight="1">
      <c r="A134" s="17" t="s">
        <v>8535</v>
      </c>
      <c r="B134" s="37" t="s">
        <v>8603</v>
      </c>
      <c r="C134" s="17" t="s">
        <v>8604</v>
      </c>
      <c r="D134" s="17" t="s">
        <v>8538</v>
      </c>
      <c r="E134" s="38"/>
    </row>
    <row r="135" ht="22.5" customHeight="1">
      <c r="A135" s="17" t="s">
        <v>8535</v>
      </c>
      <c r="B135" s="37" t="s">
        <v>8605</v>
      </c>
      <c r="C135" s="17" t="s">
        <v>8606</v>
      </c>
      <c r="D135" s="17" t="s">
        <v>8538</v>
      </c>
      <c r="E135" s="38"/>
    </row>
    <row r="136" ht="22.5" customHeight="1">
      <c r="A136" s="17" t="s">
        <v>8535</v>
      </c>
      <c r="B136" s="37" t="s">
        <v>8607</v>
      </c>
      <c r="C136" s="17" t="s">
        <v>8608</v>
      </c>
      <c r="D136" s="17" t="s">
        <v>8538</v>
      </c>
      <c r="E136" s="38"/>
    </row>
    <row r="137" ht="22.5" customHeight="1">
      <c r="A137" s="17" t="s">
        <v>8535</v>
      </c>
      <c r="B137" s="37" t="s">
        <v>8609</v>
      </c>
      <c r="C137" s="17" t="s">
        <v>8610</v>
      </c>
      <c r="D137" s="17" t="s">
        <v>8538</v>
      </c>
      <c r="E137" s="38"/>
    </row>
    <row r="138" ht="22.5" customHeight="1">
      <c r="A138" s="17" t="s">
        <v>8535</v>
      </c>
      <c r="B138" s="37" t="s">
        <v>8611</v>
      </c>
      <c r="C138" s="17" t="s">
        <v>8612</v>
      </c>
      <c r="D138" s="17" t="s">
        <v>8538</v>
      </c>
      <c r="E138" s="38"/>
    </row>
    <row r="139" ht="22.5" customHeight="1">
      <c r="A139" s="17" t="s">
        <v>8535</v>
      </c>
      <c r="B139" s="37" t="s">
        <v>8613</v>
      </c>
      <c r="C139" s="17" t="s">
        <v>8614</v>
      </c>
      <c r="D139" s="17" t="s">
        <v>8538</v>
      </c>
      <c r="E139" s="38"/>
    </row>
    <row r="140" ht="22.5" customHeight="1">
      <c r="A140" s="17" t="s">
        <v>8535</v>
      </c>
      <c r="B140" s="37" t="s">
        <v>8615</v>
      </c>
      <c r="C140" s="17" t="s">
        <v>8616</v>
      </c>
      <c r="D140" s="17" t="s">
        <v>8538</v>
      </c>
      <c r="E140" s="38"/>
    </row>
    <row r="141" ht="22.5" customHeight="1">
      <c r="A141" s="17" t="s">
        <v>8535</v>
      </c>
      <c r="B141" s="37" t="s">
        <v>8617</v>
      </c>
      <c r="C141" s="17" t="s">
        <v>8618</v>
      </c>
      <c r="D141" s="17" t="s">
        <v>8538</v>
      </c>
      <c r="E141" s="38"/>
    </row>
    <row r="142" ht="22.5" customHeight="1">
      <c r="A142" s="17" t="s">
        <v>8535</v>
      </c>
      <c r="B142" s="37" t="s">
        <v>8543</v>
      </c>
      <c r="C142" s="17" t="s">
        <v>8619</v>
      </c>
      <c r="D142" s="17" t="s">
        <v>8538</v>
      </c>
      <c r="E142" s="38"/>
    </row>
    <row r="143" ht="22.5" customHeight="1">
      <c r="A143" s="17" t="s">
        <v>8535</v>
      </c>
      <c r="B143" s="37" t="s">
        <v>8620</v>
      </c>
      <c r="C143" s="17" t="s">
        <v>8621</v>
      </c>
      <c r="D143" s="17" t="s">
        <v>8538</v>
      </c>
      <c r="E143" s="38"/>
    </row>
    <row r="144" ht="22.5" customHeight="1">
      <c r="A144" s="17" t="s">
        <v>8535</v>
      </c>
      <c r="B144" s="37" t="s">
        <v>8622</v>
      </c>
      <c r="C144" s="17" t="s">
        <v>8623</v>
      </c>
      <c r="D144" s="17" t="s">
        <v>8538</v>
      </c>
      <c r="E144" s="38"/>
    </row>
    <row r="145" ht="22.5" customHeight="1">
      <c r="A145" s="17" t="s">
        <v>8535</v>
      </c>
      <c r="B145" s="37" t="s">
        <v>8624</v>
      </c>
      <c r="C145" s="17" t="s">
        <v>8625</v>
      </c>
      <c r="D145" s="17" t="s">
        <v>8538</v>
      </c>
      <c r="E145" s="38"/>
    </row>
    <row r="146" ht="22.5" customHeight="1">
      <c r="A146" s="17" t="s">
        <v>8535</v>
      </c>
      <c r="B146" s="37" t="s">
        <v>8626</v>
      </c>
      <c r="C146" s="17" t="s">
        <v>8627</v>
      </c>
      <c r="D146" s="17" t="s">
        <v>8538</v>
      </c>
      <c r="E146" s="38"/>
    </row>
    <row r="147" ht="22.5" customHeight="1">
      <c r="A147" s="17" t="s">
        <v>8535</v>
      </c>
      <c r="B147" s="37" t="s">
        <v>8628</v>
      </c>
      <c r="C147" s="17" t="s">
        <v>8629</v>
      </c>
      <c r="D147" s="17" t="s">
        <v>8538</v>
      </c>
      <c r="E147" s="38"/>
    </row>
    <row r="148" ht="22.5" customHeight="1">
      <c r="A148" s="17" t="s">
        <v>8535</v>
      </c>
      <c r="B148" s="37" t="s">
        <v>8630</v>
      </c>
      <c r="C148" s="17" t="s">
        <v>8631</v>
      </c>
      <c r="D148" s="17" t="s">
        <v>8538</v>
      </c>
      <c r="E148" s="38"/>
    </row>
    <row r="149" ht="22.5" customHeight="1">
      <c r="A149" s="17" t="s">
        <v>8535</v>
      </c>
      <c r="B149" s="37" t="s">
        <v>8632</v>
      </c>
      <c r="C149" s="17" t="s">
        <v>8633</v>
      </c>
      <c r="D149" s="17" t="s">
        <v>8538</v>
      </c>
      <c r="E149" s="38"/>
    </row>
    <row r="150" ht="22.5" customHeight="1">
      <c r="A150" s="17" t="s">
        <v>8535</v>
      </c>
      <c r="B150" s="37" t="s">
        <v>8634</v>
      </c>
      <c r="C150" s="17" t="s">
        <v>8635</v>
      </c>
      <c r="D150" s="17" t="s">
        <v>8538</v>
      </c>
      <c r="E150" s="38"/>
    </row>
    <row r="151" ht="22.5" customHeight="1">
      <c r="A151" s="17" t="s">
        <v>8535</v>
      </c>
      <c r="B151" s="37" t="s">
        <v>8636</v>
      </c>
      <c r="C151" s="17" t="s">
        <v>8637</v>
      </c>
      <c r="D151" s="17" t="s">
        <v>8538</v>
      </c>
      <c r="E151" s="38"/>
    </row>
    <row r="152" ht="22.5" customHeight="1">
      <c r="A152" s="17" t="s">
        <v>8535</v>
      </c>
      <c r="B152" s="37" t="s">
        <v>8638</v>
      </c>
      <c r="C152" s="17" t="s">
        <v>8639</v>
      </c>
      <c r="D152" s="17" t="s">
        <v>8538</v>
      </c>
      <c r="E152" s="38"/>
    </row>
    <row r="153" ht="22.5" customHeight="1">
      <c r="A153" s="17" t="s">
        <v>8535</v>
      </c>
      <c r="B153" s="37" t="s">
        <v>8640</v>
      </c>
      <c r="C153" s="17" t="s">
        <v>8641</v>
      </c>
      <c r="D153" s="17" t="s">
        <v>8538</v>
      </c>
      <c r="E153" s="38"/>
    </row>
    <row r="154" ht="22.5" customHeight="1">
      <c r="A154" s="17" t="s">
        <v>8535</v>
      </c>
      <c r="B154" s="37" t="s">
        <v>8642</v>
      </c>
      <c r="C154" s="17" t="s">
        <v>8643</v>
      </c>
      <c r="D154" s="17" t="s">
        <v>8538</v>
      </c>
      <c r="E154" s="38"/>
    </row>
    <row r="155" ht="22.5" customHeight="1">
      <c r="A155" s="17" t="s">
        <v>8535</v>
      </c>
      <c r="B155" s="37" t="s">
        <v>8644</v>
      </c>
      <c r="C155" s="17" t="s">
        <v>8645</v>
      </c>
      <c r="D155" s="17" t="s">
        <v>8538</v>
      </c>
      <c r="E155" s="38"/>
    </row>
    <row r="156" ht="22.5" customHeight="1">
      <c r="A156" s="17" t="s">
        <v>8535</v>
      </c>
      <c r="B156" s="37" t="s">
        <v>8646</v>
      </c>
      <c r="C156" s="17" t="s">
        <v>8647</v>
      </c>
      <c r="D156" s="17" t="s">
        <v>8538</v>
      </c>
      <c r="E156" s="38"/>
    </row>
    <row r="157" ht="22.5" customHeight="1">
      <c r="A157" s="17" t="s">
        <v>8535</v>
      </c>
      <c r="B157" s="37" t="s">
        <v>8648</v>
      </c>
      <c r="C157" s="17" t="s">
        <v>8649</v>
      </c>
      <c r="D157" s="17" t="s">
        <v>8538</v>
      </c>
      <c r="E157" s="38"/>
    </row>
    <row r="158" ht="22.5" customHeight="1">
      <c r="A158" s="17" t="s">
        <v>8535</v>
      </c>
      <c r="B158" s="37" t="s">
        <v>8650</v>
      </c>
      <c r="C158" s="17" t="s">
        <v>8651</v>
      </c>
      <c r="D158" s="17" t="s">
        <v>8538</v>
      </c>
      <c r="E158" s="38"/>
    </row>
    <row r="159" ht="22.5" customHeight="1">
      <c r="A159" s="17" t="s">
        <v>8535</v>
      </c>
      <c r="B159" s="37" t="s">
        <v>8652</v>
      </c>
      <c r="C159" s="17" t="s">
        <v>8653</v>
      </c>
      <c r="D159" s="17" t="s">
        <v>8538</v>
      </c>
      <c r="E159" s="38"/>
    </row>
    <row r="160" ht="22.5" customHeight="1">
      <c r="A160" s="17" t="s">
        <v>8535</v>
      </c>
      <c r="B160" s="37" t="s">
        <v>8654</v>
      </c>
      <c r="C160" s="17" t="s">
        <v>8655</v>
      </c>
      <c r="D160" s="17" t="s">
        <v>8538</v>
      </c>
      <c r="E160" s="38"/>
    </row>
    <row r="161" ht="22.5" customHeight="1">
      <c r="A161" s="17" t="s">
        <v>8535</v>
      </c>
      <c r="B161" s="37" t="s">
        <v>8656</v>
      </c>
      <c r="C161" s="17" t="s">
        <v>8657</v>
      </c>
      <c r="D161" s="17" t="s">
        <v>8538</v>
      </c>
      <c r="E161" s="38"/>
    </row>
    <row r="162" ht="22.5" customHeight="1">
      <c r="A162" s="17" t="s">
        <v>8535</v>
      </c>
      <c r="B162" s="37" t="s">
        <v>8658</v>
      </c>
      <c r="C162" s="17" t="s">
        <v>8659</v>
      </c>
      <c r="D162" s="17" t="s">
        <v>8538</v>
      </c>
      <c r="E162" s="38"/>
    </row>
    <row r="163" ht="22.5" customHeight="1">
      <c r="A163" s="17" t="s">
        <v>8535</v>
      </c>
      <c r="B163" s="37" t="s">
        <v>8660</v>
      </c>
      <c r="C163" s="17" t="s">
        <v>8661</v>
      </c>
      <c r="D163" s="17" t="s">
        <v>8538</v>
      </c>
      <c r="E163" s="38"/>
    </row>
    <row r="164" ht="22.5" customHeight="1">
      <c r="A164" s="17" t="s">
        <v>8535</v>
      </c>
      <c r="B164" s="37" t="s">
        <v>8662</v>
      </c>
      <c r="C164" s="17" t="s">
        <v>8663</v>
      </c>
      <c r="D164" s="17" t="s">
        <v>8538</v>
      </c>
      <c r="E164" s="38"/>
    </row>
    <row r="165" ht="22.5" customHeight="1">
      <c r="A165" s="17" t="s">
        <v>8535</v>
      </c>
      <c r="B165" s="37" t="s">
        <v>8664</v>
      </c>
      <c r="C165" s="17" t="s">
        <v>8665</v>
      </c>
      <c r="D165" s="17" t="s">
        <v>8538</v>
      </c>
      <c r="E165" s="38"/>
    </row>
    <row r="166" ht="22.5" customHeight="1">
      <c r="A166" s="17" t="s">
        <v>8535</v>
      </c>
      <c r="B166" s="37" t="s">
        <v>8666</v>
      </c>
      <c r="C166" s="17" t="s">
        <v>8667</v>
      </c>
      <c r="D166" s="17" t="s">
        <v>8538</v>
      </c>
      <c r="E166" s="38"/>
    </row>
    <row r="167" ht="22.5" customHeight="1">
      <c r="A167" s="17" t="s">
        <v>8535</v>
      </c>
      <c r="B167" s="37" t="s">
        <v>8668</v>
      </c>
      <c r="C167" s="17" t="s">
        <v>8669</v>
      </c>
      <c r="D167" s="17" t="s">
        <v>8538</v>
      </c>
      <c r="E167" s="38"/>
    </row>
    <row r="168" ht="22.5" customHeight="1">
      <c r="A168" s="17" t="s">
        <v>8535</v>
      </c>
      <c r="B168" s="37" t="s">
        <v>8670</v>
      </c>
      <c r="C168" s="17" t="s">
        <v>8671</v>
      </c>
      <c r="D168" s="17" t="s">
        <v>8538</v>
      </c>
      <c r="E168" s="38"/>
    </row>
    <row r="169" ht="22.5" customHeight="1">
      <c r="A169" s="41" t="s">
        <v>8535</v>
      </c>
      <c r="B169" s="37" t="s">
        <v>8672</v>
      </c>
      <c r="C169" s="41" t="s">
        <v>8673</v>
      </c>
      <c r="D169" s="41" t="s">
        <v>8538</v>
      </c>
      <c r="E169" s="38"/>
    </row>
    <row r="170" ht="22.5" customHeight="1">
      <c r="A170" s="17" t="s">
        <v>7815</v>
      </c>
      <c r="B170" s="37" t="s">
        <v>8674</v>
      </c>
      <c r="C170" s="17" t="s">
        <v>8675</v>
      </c>
      <c r="D170" s="17" t="s">
        <v>8676</v>
      </c>
      <c r="E170" s="38"/>
    </row>
    <row r="171" ht="22.5" customHeight="1">
      <c r="A171" s="17" t="s">
        <v>7815</v>
      </c>
      <c r="B171" s="37" t="s">
        <v>8677</v>
      </c>
      <c r="C171" s="17" t="s">
        <v>8678</v>
      </c>
      <c r="D171" s="17" t="s">
        <v>8679</v>
      </c>
      <c r="E171" s="38"/>
    </row>
    <row r="172" ht="22.5" customHeight="1">
      <c r="A172" s="17" t="s">
        <v>7815</v>
      </c>
      <c r="B172" s="37" t="s">
        <v>7829</v>
      </c>
      <c r="C172" s="17" t="s">
        <v>8680</v>
      </c>
      <c r="D172" s="17" t="s">
        <v>8681</v>
      </c>
      <c r="E172" s="38"/>
    </row>
    <row r="173" ht="22.5" customHeight="1">
      <c r="A173" s="17" t="s">
        <v>7815</v>
      </c>
      <c r="B173" s="37" t="s">
        <v>8682</v>
      </c>
      <c r="C173" s="17" t="s">
        <v>8683</v>
      </c>
      <c r="D173" s="17" t="s">
        <v>8684</v>
      </c>
      <c r="E173" s="38"/>
    </row>
    <row r="174" ht="22.5" customHeight="1">
      <c r="A174" s="17" t="s">
        <v>7815</v>
      </c>
      <c r="B174" s="37" t="s">
        <v>8685</v>
      </c>
      <c r="C174" s="17" t="s">
        <v>8686</v>
      </c>
      <c r="D174" s="17" t="s">
        <v>8687</v>
      </c>
      <c r="E174" s="38"/>
    </row>
    <row r="175" ht="22.5" customHeight="1">
      <c r="A175" s="17" t="s">
        <v>7815</v>
      </c>
      <c r="B175" s="37" t="s">
        <v>8688</v>
      </c>
      <c r="C175" s="17" t="s">
        <v>8689</v>
      </c>
      <c r="D175" s="17" t="s">
        <v>8690</v>
      </c>
      <c r="E175" s="38"/>
    </row>
    <row r="176" ht="22.5" customHeight="1">
      <c r="A176" s="17" t="s">
        <v>7815</v>
      </c>
      <c r="B176" s="37" t="s">
        <v>7831</v>
      </c>
      <c r="C176" s="17" t="s">
        <v>8691</v>
      </c>
      <c r="D176" s="17" t="s">
        <v>8692</v>
      </c>
      <c r="E176" s="38"/>
    </row>
    <row r="177" ht="22.5" customHeight="1">
      <c r="A177" s="17" t="s">
        <v>7815</v>
      </c>
      <c r="B177" s="37" t="s">
        <v>8693</v>
      </c>
      <c r="C177" s="17" t="s">
        <v>8694</v>
      </c>
      <c r="D177" s="17" t="s">
        <v>8695</v>
      </c>
      <c r="E177" s="38"/>
    </row>
    <row r="178" ht="22.5" customHeight="1">
      <c r="A178" s="17" t="s">
        <v>7815</v>
      </c>
      <c r="B178" s="37" t="s">
        <v>8696</v>
      </c>
      <c r="C178" s="17" t="s">
        <v>8697</v>
      </c>
      <c r="D178" s="17" t="s">
        <v>8698</v>
      </c>
      <c r="E178" s="38"/>
    </row>
    <row r="179" ht="22.5" customHeight="1">
      <c r="A179" s="17" t="s">
        <v>7815</v>
      </c>
      <c r="B179" s="37" t="s">
        <v>8699</v>
      </c>
      <c r="C179" s="17" t="s">
        <v>8700</v>
      </c>
      <c r="D179" s="17" t="s">
        <v>8701</v>
      </c>
      <c r="E179" s="38"/>
    </row>
    <row r="180" ht="22.5" customHeight="1">
      <c r="A180" s="17" t="s">
        <v>7815</v>
      </c>
      <c r="B180" s="37" t="s">
        <v>8702</v>
      </c>
      <c r="C180" s="17" t="s">
        <v>8703</v>
      </c>
      <c r="D180" s="17" t="s">
        <v>8704</v>
      </c>
      <c r="E180" s="38"/>
    </row>
    <row r="181" ht="22.5" customHeight="1">
      <c r="A181" s="17" t="s">
        <v>7815</v>
      </c>
      <c r="B181" s="37" t="s">
        <v>8705</v>
      </c>
      <c r="C181" s="17" t="s">
        <v>8706</v>
      </c>
      <c r="D181" s="17" t="s">
        <v>8707</v>
      </c>
      <c r="E181" s="38"/>
    </row>
    <row r="182" ht="22.5" customHeight="1">
      <c r="A182" s="17" t="s">
        <v>7815</v>
      </c>
      <c r="B182" s="37" t="s">
        <v>7816</v>
      </c>
      <c r="C182" s="17" t="s">
        <v>8708</v>
      </c>
      <c r="D182" s="17" t="s">
        <v>8709</v>
      </c>
      <c r="E182" s="38"/>
    </row>
    <row r="183" ht="22.5" customHeight="1">
      <c r="A183" s="17" t="s">
        <v>7815</v>
      </c>
      <c r="B183" s="37" t="s">
        <v>8710</v>
      </c>
      <c r="C183" s="17" t="s">
        <v>8711</v>
      </c>
      <c r="D183" s="17" t="s">
        <v>8712</v>
      </c>
      <c r="E183" s="38"/>
    </row>
    <row r="184" ht="22.5" customHeight="1">
      <c r="A184" s="17" t="s">
        <v>7815</v>
      </c>
      <c r="B184" s="37" t="s">
        <v>8713</v>
      </c>
      <c r="C184" s="17" t="s">
        <v>8714</v>
      </c>
      <c r="D184" s="17" t="s">
        <v>8715</v>
      </c>
      <c r="E184" s="38"/>
    </row>
    <row r="185" ht="22.5" customHeight="1">
      <c r="A185" s="17" t="s">
        <v>7815</v>
      </c>
      <c r="B185" s="37" t="s">
        <v>8716</v>
      </c>
      <c r="C185" s="17" t="s">
        <v>8717</v>
      </c>
      <c r="D185" s="17" t="s">
        <v>8718</v>
      </c>
      <c r="E185" s="38"/>
    </row>
    <row r="186" ht="22.5" customHeight="1">
      <c r="A186" s="17" t="s">
        <v>7815</v>
      </c>
      <c r="B186" s="37" t="s">
        <v>7818</v>
      </c>
      <c r="C186" s="17" t="s">
        <v>8719</v>
      </c>
      <c r="D186" s="17" t="s">
        <v>8720</v>
      </c>
      <c r="E186" s="38"/>
    </row>
    <row r="187" ht="22.5" customHeight="1">
      <c r="A187" s="17" t="s">
        <v>7815</v>
      </c>
      <c r="B187" s="37" t="s">
        <v>8721</v>
      </c>
      <c r="C187" s="17" t="s">
        <v>8722</v>
      </c>
      <c r="D187" s="17" t="s">
        <v>8723</v>
      </c>
      <c r="E187" s="38"/>
    </row>
    <row r="188" ht="22.5" customHeight="1">
      <c r="A188" s="17" t="s">
        <v>7815</v>
      </c>
      <c r="B188" s="37" t="s">
        <v>8724</v>
      </c>
      <c r="C188" s="17" t="s">
        <v>8725</v>
      </c>
      <c r="D188" s="17" t="s">
        <v>8726</v>
      </c>
      <c r="E188" s="38"/>
    </row>
    <row r="189" ht="22.5" customHeight="1">
      <c r="A189" s="17" t="s">
        <v>7815</v>
      </c>
      <c r="B189" s="37" t="s">
        <v>8727</v>
      </c>
      <c r="C189" s="17" t="s">
        <v>8728</v>
      </c>
      <c r="D189" s="17" t="s">
        <v>8729</v>
      </c>
    </row>
    <row r="190" ht="22.5" customHeight="1">
      <c r="A190" s="42" t="s">
        <v>7815</v>
      </c>
      <c r="B190" s="43" t="s">
        <v>8730</v>
      </c>
      <c r="C190" s="42" t="s">
        <v>8731</v>
      </c>
      <c r="D190" s="42" t="s">
        <v>8732</v>
      </c>
    </row>
    <row r="191" ht="22.5" customHeight="1">
      <c r="A191" s="42" t="s">
        <v>7815</v>
      </c>
      <c r="B191" s="43" t="s">
        <v>8730</v>
      </c>
      <c r="C191" s="42" t="s">
        <v>8733</v>
      </c>
      <c r="D191" s="42" t="s">
        <v>8732</v>
      </c>
    </row>
    <row r="192">
      <c r="B192" s="44"/>
    </row>
    <row r="193">
      <c r="B193" s="44"/>
    </row>
    <row r="194">
      <c r="B194" s="44"/>
    </row>
    <row r="195">
      <c r="B195" s="44"/>
    </row>
    <row r="196">
      <c r="B196" s="44"/>
    </row>
    <row r="197">
      <c r="B197" s="44"/>
    </row>
    <row r="198">
      <c r="B198" s="44"/>
    </row>
    <row r="199">
      <c r="B199" s="44"/>
    </row>
    <row r="200">
      <c r="B200" s="44"/>
    </row>
    <row r="201">
      <c r="B201" s="4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9.0"/>
    <col customWidth="1" min="3" max="3" width="10.88"/>
    <col customWidth="1" min="4" max="4" width="27.75"/>
    <col customWidth="1" min="5" max="5" width="97.5"/>
    <col customWidth="1" min="6" max="19" width="26.38"/>
  </cols>
  <sheetData>
    <row r="1" ht="30.0" customHeight="1">
      <c r="A1" s="34" t="s">
        <v>8734</v>
      </c>
      <c r="B1" s="34" t="s">
        <v>6</v>
      </c>
      <c r="C1" s="34" t="s">
        <v>8735</v>
      </c>
      <c r="D1" s="45" t="s">
        <v>7</v>
      </c>
      <c r="E1" s="34" t="s">
        <v>9</v>
      </c>
      <c r="F1" s="34" t="s">
        <v>8736</v>
      </c>
      <c r="G1" s="34" t="s">
        <v>8737</v>
      </c>
      <c r="H1" s="34" t="s">
        <v>8738</v>
      </c>
      <c r="I1" s="34" t="s">
        <v>8739</v>
      </c>
      <c r="J1" s="34" t="s">
        <v>8740</v>
      </c>
      <c r="K1" s="34" t="s">
        <v>8741</v>
      </c>
      <c r="L1" s="34" t="s">
        <v>8742</v>
      </c>
      <c r="M1" s="34" t="s">
        <v>8743</v>
      </c>
      <c r="N1" s="34" t="s">
        <v>8744</v>
      </c>
      <c r="O1" s="34" t="s">
        <v>8745</v>
      </c>
      <c r="P1" s="34" t="s">
        <v>8746</v>
      </c>
      <c r="Q1" s="34" t="s">
        <v>8747</v>
      </c>
      <c r="R1" s="34" t="s">
        <v>8748</v>
      </c>
      <c r="S1" s="34" t="s">
        <v>8749</v>
      </c>
    </row>
    <row r="2" ht="23.25" customHeight="1">
      <c r="A2" s="41" t="s">
        <v>8750</v>
      </c>
      <c r="B2" s="17" t="s">
        <v>8751</v>
      </c>
      <c r="C2" s="17" t="s">
        <v>8752</v>
      </c>
      <c r="D2" s="18" t="s">
        <v>8753</v>
      </c>
      <c r="E2" s="17" t="s">
        <v>8754</v>
      </c>
      <c r="F2" s="17" t="s">
        <v>16</v>
      </c>
      <c r="G2" s="17"/>
      <c r="H2" s="17"/>
      <c r="I2" s="17"/>
      <c r="J2" s="17"/>
      <c r="K2" s="17"/>
      <c r="L2" s="17"/>
      <c r="M2" s="17"/>
      <c r="N2" s="17"/>
      <c r="O2" s="17"/>
      <c r="P2" s="17"/>
      <c r="Q2" s="17"/>
      <c r="R2" s="17"/>
      <c r="S2" s="17"/>
    </row>
    <row r="3" ht="23.25" customHeight="1">
      <c r="A3" s="41" t="s">
        <v>8755</v>
      </c>
      <c r="B3" s="41" t="s">
        <v>8751</v>
      </c>
      <c r="C3" s="41" t="s">
        <v>8752</v>
      </c>
      <c r="D3" s="46" t="s">
        <v>8753</v>
      </c>
      <c r="E3" s="41" t="s">
        <v>8756</v>
      </c>
      <c r="F3" s="41" t="s">
        <v>16</v>
      </c>
      <c r="G3" s="41"/>
      <c r="H3" s="41"/>
      <c r="I3" s="41"/>
      <c r="J3" s="41"/>
      <c r="K3" s="41"/>
      <c r="L3" s="41"/>
      <c r="M3" s="41"/>
      <c r="N3" s="41"/>
      <c r="O3" s="41"/>
      <c r="P3" s="41"/>
      <c r="Q3" s="41"/>
      <c r="R3" s="41"/>
      <c r="S3" s="41"/>
    </row>
    <row r="4" ht="22.5" customHeight="1">
      <c r="A4" s="41" t="s">
        <v>8750</v>
      </c>
      <c r="B4" s="41" t="s">
        <v>8751</v>
      </c>
      <c r="C4" s="41" t="s">
        <v>8752</v>
      </c>
      <c r="D4" s="46" t="s">
        <v>8757</v>
      </c>
      <c r="E4" s="41" t="s">
        <v>8758</v>
      </c>
      <c r="F4" s="41" t="s">
        <v>16</v>
      </c>
      <c r="G4" s="41"/>
      <c r="H4" s="41"/>
      <c r="I4" s="41"/>
      <c r="J4" s="41"/>
      <c r="K4" s="41"/>
      <c r="L4" s="41"/>
      <c r="M4" s="41"/>
      <c r="N4" s="41"/>
      <c r="O4" s="41"/>
      <c r="P4" s="41"/>
      <c r="Q4" s="41"/>
      <c r="R4" s="41"/>
      <c r="S4" s="41"/>
    </row>
    <row r="5" ht="22.5" customHeight="1">
      <c r="A5" s="41" t="s">
        <v>8755</v>
      </c>
      <c r="B5" s="41" t="s">
        <v>8751</v>
      </c>
      <c r="C5" s="41" t="s">
        <v>8752</v>
      </c>
      <c r="D5" s="46" t="s">
        <v>8757</v>
      </c>
      <c r="E5" s="41" t="s">
        <v>8759</v>
      </c>
      <c r="F5" s="41" t="s">
        <v>16</v>
      </c>
      <c r="G5" s="41"/>
      <c r="H5" s="41"/>
      <c r="I5" s="41"/>
      <c r="J5" s="41"/>
      <c r="K5" s="41"/>
      <c r="L5" s="41"/>
      <c r="M5" s="41"/>
      <c r="N5" s="41"/>
      <c r="O5" s="41"/>
      <c r="P5" s="41"/>
      <c r="Q5" s="41"/>
      <c r="R5" s="41"/>
      <c r="S5" s="41"/>
    </row>
    <row r="6" ht="22.5" customHeight="1">
      <c r="A6" s="41" t="s">
        <v>8750</v>
      </c>
      <c r="B6" s="41" t="s">
        <v>8751</v>
      </c>
      <c r="C6" s="41" t="s">
        <v>8752</v>
      </c>
      <c r="D6" s="46" t="s">
        <v>8760</v>
      </c>
      <c r="E6" s="41" t="s">
        <v>8761</v>
      </c>
      <c r="F6" s="41" t="s">
        <v>8762</v>
      </c>
      <c r="G6" s="41"/>
      <c r="H6" s="41"/>
      <c r="I6" s="41"/>
      <c r="J6" s="41"/>
      <c r="K6" s="41"/>
      <c r="L6" s="41"/>
      <c r="M6" s="41"/>
      <c r="N6" s="41"/>
      <c r="O6" s="41"/>
      <c r="P6" s="41"/>
      <c r="Q6" s="41"/>
      <c r="R6" s="41"/>
      <c r="S6" s="41"/>
    </row>
    <row r="7" ht="22.5" customHeight="1">
      <c r="A7" s="41" t="s">
        <v>8755</v>
      </c>
      <c r="B7" s="41" t="s">
        <v>8751</v>
      </c>
      <c r="C7" s="41" t="s">
        <v>8752</v>
      </c>
      <c r="D7" s="46" t="s">
        <v>8760</v>
      </c>
      <c r="E7" s="41" t="s">
        <v>8763</v>
      </c>
      <c r="F7" s="41" t="s">
        <v>8762</v>
      </c>
      <c r="G7" s="41"/>
      <c r="H7" s="41"/>
      <c r="I7" s="41"/>
      <c r="J7" s="41"/>
      <c r="K7" s="41"/>
      <c r="L7" s="41"/>
      <c r="M7" s="41"/>
      <c r="N7" s="41"/>
      <c r="O7" s="41"/>
      <c r="P7" s="41"/>
      <c r="Q7" s="41"/>
      <c r="R7" s="41"/>
      <c r="S7" s="41"/>
    </row>
    <row r="8" ht="22.5" customHeight="1">
      <c r="A8" s="41" t="s">
        <v>8750</v>
      </c>
      <c r="B8" s="41" t="s">
        <v>8764</v>
      </c>
      <c r="C8" s="41" t="s">
        <v>8765</v>
      </c>
      <c r="D8" s="46" t="s">
        <v>8766</v>
      </c>
      <c r="E8" s="41" t="s">
        <v>8767</v>
      </c>
      <c r="F8" s="41" t="s">
        <v>16</v>
      </c>
      <c r="G8" s="41"/>
      <c r="H8" s="41"/>
      <c r="I8" s="41"/>
      <c r="J8" s="41"/>
      <c r="K8" s="41"/>
      <c r="L8" s="41"/>
      <c r="M8" s="41"/>
      <c r="N8" s="41"/>
      <c r="O8" s="41"/>
      <c r="P8" s="41"/>
      <c r="Q8" s="41"/>
      <c r="R8" s="41"/>
      <c r="S8" s="41"/>
    </row>
    <row r="9" ht="22.5" customHeight="1">
      <c r="A9" s="41" t="s">
        <v>8755</v>
      </c>
      <c r="B9" s="41" t="s">
        <v>8764</v>
      </c>
      <c r="C9" s="41" t="s">
        <v>8765</v>
      </c>
      <c r="D9" s="46" t="s">
        <v>8766</v>
      </c>
      <c r="E9" s="41" t="s">
        <v>8768</v>
      </c>
      <c r="F9" s="41" t="s">
        <v>16</v>
      </c>
      <c r="G9" s="41"/>
      <c r="H9" s="41"/>
      <c r="I9" s="41"/>
      <c r="J9" s="41"/>
      <c r="K9" s="41"/>
      <c r="L9" s="41"/>
      <c r="M9" s="41"/>
      <c r="N9" s="41"/>
      <c r="O9" s="41"/>
      <c r="P9" s="41"/>
      <c r="Q9" s="41"/>
      <c r="R9" s="41"/>
      <c r="S9" s="41"/>
    </row>
    <row r="10" ht="22.5" customHeight="1">
      <c r="A10" s="41" t="s">
        <v>8750</v>
      </c>
      <c r="B10" s="41" t="s">
        <v>8764</v>
      </c>
      <c r="C10" s="41" t="s">
        <v>8769</v>
      </c>
      <c r="D10" s="46" t="s">
        <v>8770</v>
      </c>
      <c r="E10" s="41" t="s">
        <v>8771</v>
      </c>
      <c r="F10" s="41" t="s">
        <v>16</v>
      </c>
      <c r="G10" s="41"/>
      <c r="H10" s="41"/>
      <c r="I10" s="41"/>
      <c r="J10" s="41"/>
      <c r="K10" s="41"/>
      <c r="L10" s="41"/>
      <c r="M10" s="41"/>
      <c r="N10" s="41"/>
      <c r="O10" s="41"/>
      <c r="P10" s="41"/>
      <c r="Q10" s="41"/>
      <c r="R10" s="41"/>
      <c r="S10" s="41"/>
    </row>
    <row r="11" ht="22.5" customHeight="1">
      <c r="A11" s="41" t="s">
        <v>8755</v>
      </c>
      <c r="B11" s="41" t="s">
        <v>8764</v>
      </c>
      <c r="C11" s="41" t="s">
        <v>8769</v>
      </c>
      <c r="D11" s="46" t="s">
        <v>8770</v>
      </c>
      <c r="E11" s="41" t="s">
        <v>8772</v>
      </c>
      <c r="F11" s="41" t="s">
        <v>16</v>
      </c>
      <c r="G11" s="41"/>
      <c r="H11" s="41"/>
      <c r="I11" s="41"/>
      <c r="J11" s="41"/>
      <c r="K11" s="41"/>
      <c r="L11" s="41"/>
      <c r="M11" s="41"/>
      <c r="N11" s="41"/>
      <c r="O11" s="41"/>
      <c r="P11" s="41"/>
      <c r="Q11" s="41"/>
      <c r="R11" s="41"/>
      <c r="S11" s="41"/>
    </row>
    <row r="12" ht="22.5" customHeight="1">
      <c r="A12" s="41" t="s">
        <v>8750</v>
      </c>
      <c r="B12" s="41" t="s">
        <v>8764</v>
      </c>
      <c r="C12" s="41" t="s">
        <v>8773</v>
      </c>
      <c r="D12" s="46" t="s">
        <v>8774</v>
      </c>
      <c r="E12" s="41" t="s">
        <v>8775</v>
      </c>
      <c r="F12" s="41" t="s">
        <v>8776</v>
      </c>
      <c r="G12" s="41"/>
      <c r="H12" s="41"/>
      <c r="I12" s="41"/>
      <c r="J12" s="41"/>
      <c r="K12" s="41"/>
      <c r="L12" s="41"/>
      <c r="M12" s="41"/>
      <c r="N12" s="41"/>
      <c r="O12" s="41"/>
      <c r="P12" s="41"/>
      <c r="Q12" s="41"/>
      <c r="R12" s="41"/>
      <c r="S12" s="41"/>
    </row>
    <row r="13" ht="22.5" customHeight="1">
      <c r="A13" s="41" t="s">
        <v>8755</v>
      </c>
      <c r="B13" s="41" t="s">
        <v>8764</v>
      </c>
      <c r="C13" s="41" t="s">
        <v>8773</v>
      </c>
      <c r="D13" s="46" t="s">
        <v>8774</v>
      </c>
      <c r="E13" s="41" t="s">
        <v>8777</v>
      </c>
      <c r="F13" s="41" t="s">
        <v>8776</v>
      </c>
      <c r="G13" s="41"/>
      <c r="H13" s="41"/>
      <c r="I13" s="41"/>
      <c r="J13" s="41"/>
      <c r="K13" s="41"/>
      <c r="L13" s="41"/>
      <c r="M13" s="41"/>
      <c r="N13" s="41"/>
      <c r="O13" s="41"/>
      <c r="P13" s="41"/>
      <c r="Q13" s="41"/>
      <c r="R13" s="41"/>
      <c r="S13" s="41"/>
    </row>
    <row r="14" ht="22.5" customHeight="1">
      <c r="A14" s="41" t="s">
        <v>8750</v>
      </c>
      <c r="B14" s="41" t="s">
        <v>8764</v>
      </c>
      <c r="C14" s="41" t="s">
        <v>8773</v>
      </c>
      <c r="D14" s="46" t="s">
        <v>8774</v>
      </c>
      <c r="E14" s="41" t="s">
        <v>8778</v>
      </c>
      <c r="F14" s="41" t="s">
        <v>16</v>
      </c>
      <c r="G14" s="41"/>
      <c r="H14" s="41"/>
      <c r="I14" s="41"/>
      <c r="J14" s="41"/>
      <c r="K14" s="41"/>
      <c r="L14" s="41"/>
      <c r="M14" s="41"/>
      <c r="N14" s="41"/>
      <c r="O14" s="41"/>
      <c r="P14" s="41"/>
      <c r="Q14" s="41"/>
      <c r="R14" s="41"/>
      <c r="S14" s="41"/>
    </row>
    <row r="15" ht="22.5" customHeight="1">
      <c r="A15" s="41" t="s">
        <v>8755</v>
      </c>
      <c r="B15" s="41" t="s">
        <v>8764</v>
      </c>
      <c r="C15" s="41" t="s">
        <v>8773</v>
      </c>
      <c r="D15" s="46" t="s">
        <v>8774</v>
      </c>
      <c r="E15" s="41" t="s">
        <v>8779</v>
      </c>
      <c r="F15" s="41" t="s">
        <v>16</v>
      </c>
      <c r="G15" s="41"/>
      <c r="H15" s="41"/>
      <c r="I15" s="41"/>
      <c r="J15" s="41"/>
      <c r="K15" s="41"/>
      <c r="L15" s="41"/>
      <c r="M15" s="41"/>
      <c r="N15" s="41"/>
      <c r="O15" s="41"/>
      <c r="P15" s="41"/>
      <c r="Q15" s="41"/>
      <c r="R15" s="41"/>
      <c r="S15" s="41"/>
    </row>
    <row r="16" ht="22.5" customHeight="1">
      <c r="A16" s="41" t="s">
        <v>8750</v>
      </c>
      <c r="B16" s="41" t="s">
        <v>8764</v>
      </c>
      <c r="C16" s="41" t="s">
        <v>8765</v>
      </c>
      <c r="D16" s="46" t="s">
        <v>8780</v>
      </c>
      <c r="E16" s="41" t="s">
        <v>8781</v>
      </c>
      <c r="F16" s="41" t="s">
        <v>8776</v>
      </c>
      <c r="G16" s="41"/>
      <c r="H16" s="41"/>
      <c r="I16" s="41"/>
      <c r="J16" s="41"/>
      <c r="K16" s="41"/>
      <c r="L16" s="41"/>
      <c r="M16" s="41"/>
      <c r="N16" s="41"/>
      <c r="O16" s="41"/>
      <c r="P16" s="41"/>
      <c r="Q16" s="41"/>
      <c r="R16" s="41"/>
      <c r="S16" s="41"/>
    </row>
    <row r="17" ht="22.5" customHeight="1">
      <c r="A17" s="41" t="s">
        <v>8755</v>
      </c>
      <c r="B17" s="41" t="s">
        <v>8764</v>
      </c>
      <c r="C17" s="41" t="s">
        <v>8765</v>
      </c>
      <c r="D17" s="46" t="s">
        <v>8780</v>
      </c>
      <c r="E17" s="41" t="s">
        <v>8782</v>
      </c>
      <c r="F17" s="41" t="s">
        <v>8776</v>
      </c>
      <c r="G17" s="41"/>
      <c r="H17" s="41"/>
      <c r="I17" s="41"/>
      <c r="J17" s="41"/>
      <c r="K17" s="41"/>
      <c r="L17" s="41"/>
      <c r="M17" s="41"/>
      <c r="N17" s="41"/>
      <c r="O17" s="41"/>
      <c r="P17" s="41"/>
      <c r="Q17" s="41"/>
      <c r="R17" s="41"/>
      <c r="S17" s="41"/>
    </row>
    <row r="18" ht="22.5" customHeight="1">
      <c r="A18" s="41" t="s">
        <v>8750</v>
      </c>
      <c r="B18" s="41" t="s">
        <v>8783</v>
      </c>
      <c r="C18" s="41" t="s">
        <v>8784</v>
      </c>
      <c r="D18" s="46" t="s">
        <v>8785</v>
      </c>
      <c r="E18" s="41" t="s">
        <v>8786</v>
      </c>
      <c r="F18" s="41" t="s">
        <v>8776</v>
      </c>
      <c r="G18" s="41"/>
      <c r="H18" s="41"/>
      <c r="I18" s="41"/>
      <c r="J18" s="41"/>
      <c r="K18" s="41"/>
      <c r="L18" s="41"/>
      <c r="M18" s="41"/>
      <c r="N18" s="41"/>
      <c r="O18" s="41"/>
      <c r="P18" s="41"/>
      <c r="Q18" s="41"/>
      <c r="R18" s="41"/>
      <c r="S18" s="41"/>
    </row>
    <row r="19" ht="22.5" customHeight="1">
      <c r="A19" s="41" t="s">
        <v>8755</v>
      </c>
      <c r="B19" s="41" t="s">
        <v>8783</v>
      </c>
      <c r="C19" s="41" t="s">
        <v>8784</v>
      </c>
      <c r="D19" s="46" t="s">
        <v>8785</v>
      </c>
      <c r="E19" s="41" t="s">
        <v>8787</v>
      </c>
      <c r="F19" s="41" t="s">
        <v>8776</v>
      </c>
      <c r="G19" s="41"/>
      <c r="H19" s="41"/>
      <c r="I19" s="41"/>
      <c r="J19" s="41"/>
      <c r="K19" s="41"/>
      <c r="L19" s="41"/>
      <c r="M19" s="41"/>
      <c r="N19" s="41"/>
      <c r="O19" s="41"/>
      <c r="P19" s="41"/>
      <c r="Q19" s="41"/>
      <c r="R19" s="41"/>
      <c r="S19" s="41"/>
    </row>
    <row r="20" ht="22.5" customHeight="1">
      <c r="A20" s="41" t="s">
        <v>8750</v>
      </c>
      <c r="B20" s="41" t="s">
        <v>8751</v>
      </c>
      <c r="C20" s="41" t="s">
        <v>8788</v>
      </c>
      <c r="D20" s="46" t="s">
        <v>8789</v>
      </c>
      <c r="E20" s="41" t="s">
        <v>8790</v>
      </c>
      <c r="F20" s="41" t="s">
        <v>8791</v>
      </c>
      <c r="G20" s="41"/>
      <c r="H20" s="41"/>
      <c r="I20" s="41"/>
      <c r="J20" s="41"/>
      <c r="K20" s="41"/>
      <c r="L20" s="41"/>
      <c r="M20" s="41"/>
      <c r="N20" s="41"/>
      <c r="O20" s="41"/>
      <c r="P20" s="41"/>
      <c r="Q20" s="41"/>
      <c r="R20" s="41"/>
      <c r="S20" s="41"/>
    </row>
    <row r="21" ht="22.5" customHeight="1">
      <c r="A21" s="41" t="s">
        <v>8755</v>
      </c>
      <c r="B21" s="41" t="s">
        <v>8751</v>
      </c>
      <c r="C21" s="41" t="s">
        <v>8788</v>
      </c>
      <c r="D21" s="46" t="s">
        <v>8789</v>
      </c>
      <c r="E21" s="41" t="s">
        <v>8792</v>
      </c>
      <c r="F21" s="41" t="s">
        <v>8791</v>
      </c>
      <c r="G21" s="41"/>
      <c r="H21" s="41"/>
      <c r="I21" s="41"/>
      <c r="J21" s="41"/>
      <c r="K21" s="41"/>
      <c r="L21" s="41"/>
      <c r="M21" s="41"/>
      <c r="N21" s="41"/>
      <c r="O21" s="41"/>
      <c r="P21" s="41"/>
      <c r="Q21" s="41"/>
      <c r="R21" s="41"/>
      <c r="S21" s="41"/>
    </row>
    <row r="22" ht="22.5" customHeight="1">
      <c r="A22" s="41" t="s">
        <v>8750</v>
      </c>
      <c r="B22" s="41" t="s">
        <v>8751</v>
      </c>
      <c r="C22" s="41" t="s">
        <v>8788</v>
      </c>
      <c r="D22" s="46" t="s">
        <v>8793</v>
      </c>
      <c r="E22" s="41" t="s">
        <v>8794</v>
      </c>
      <c r="F22" s="41" t="s">
        <v>8795</v>
      </c>
      <c r="G22" s="41"/>
      <c r="H22" s="41"/>
      <c r="I22" s="41"/>
      <c r="J22" s="41"/>
      <c r="K22" s="41"/>
      <c r="L22" s="41"/>
      <c r="M22" s="41"/>
      <c r="N22" s="41"/>
      <c r="O22" s="41"/>
      <c r="P22" s="41"/>
      <c r="Q22" s="41"/>
      <c r="R22" s="41"/>
      <c r="S22" s="41"/>
    </row>
    <row r="23" ht="22.5" customHeight="1">
      <c r="A23" s="41" t="s">
        <v>8755</v>
      </c>
      <c r="B23" s="41" t="s">
        <v>8751</v>
      </c>
      <c r="C23" s="41" t="s">
        <v>8788</v>
      </c>
      <c r="D23" s="46" t="s">
        <v>8793</v>
      </c>
      <c r="E23" s="41" t="s">
        <v>8796</v>
      </c>
      <c r="F23" s="41" t="s">
        <v>8795</v>
      </c>
      <c r="G23" s="41"/>
      <c r="H23" s="41"/>
      <c r="I23" s="41"/>
      <c r="J23" s="41"/>
      <c r="K23" s="41"/>
      <c r="L23" s="41"/>
      <c r="M23" s="41"/>
      <c r="N23" s="41"/>
      <c r="O23" s="41"/>
      <c r="P23" s="41"/>
      <c r="Q23" s="41"/>
      <c r="R23" s="41"/>
      <c r="S23" s="41"/>
    </row>
    <row r="24" ht="22.5" customHeight="1">
      <c r="A24" s="41" t="s">
        <v>8750</v>
      </c>
      <c r="B24" s="41" t="s">
        <v>8751</v>
      </c>
      <c r="C24" s="41" t="s">
        <v>8788</v>
      </c>
      <c r="D24" s="46" t="s">
        <v>8797</v>
      </c>
      <c r="E24" s="41" t="s">
        <v>8798</v>
      </c>
      <c r="F24" s="41" t="s">
        <v>16</v>
      </c>
      <c r="G24" s="41"/>
      <c r="H24" s="41"/>
      <c r="I24" s="41"/>
      <c r="J24" s="41"/>
      <c r="K24" s="41"/>
      <c r="L24" s="41"/>
      <c r="M24" s="41"/>
      <c r="N24" s="41"/>
      <c r="O24" s="41"/>
      <c r="P24" s="41"/>
      <c r="Q24" s="41"/>
      <c r="R24" s="41"/>
      <c r="S24" s="41"/>
    </row>
    <row r="25" ht="22.5" customHeight="1">
      <c r="A25" s="41" t="s">
        <v>8755</v>
      </c>
      <c r="B25" s="41" t="s">
        <v>8751</v>
      </c>
      <c r="C25" s="41" t="s">
        <v>8788</v>
      </c>
      <c r="D25" s="46" t="s">
        <v>8797</v>
      </c>
      <c r="E25" s="41" t="s">
        <v>8799</v>
      </c>
      <c r="F25" s="41" t="s">
        <v>16</v>
      </c>
      <c r="G25" s="41"/>
      <c r="H25" s="41"/>
      <c r="I25" s="41"/>
      <c r="J25" s="41"/>
      <c r="K25" s="41"/>
      <c r="L25" s="41"/>
      <c r="M25" s="41"/>
      <c r="N25" s="41"/>
      <c r="O25" s="41"/>
      <c r="P25" s="41"/>
      <c r="Q25" s="41"/>
      <c r="R25" s="41"/>
      <c r="S25" s="41"/>
    </row>
    <row r="26" ht="22.5" customHeight="1">
      <c r="A26" s="41" t="s">
        <v>8750</v>
      </c>
      <c r="B26" s="41" t="s">
        <v>8751</v>
      </c>
      <c r="C26" s="41" t="s">
        <v>8788</v>
      </c>
      <c r="D26" s="46" t="s">
        <v>8800</v>
      </c>
      <c r="E26" s="41" t="s">
        <v>8801</v>
      </c>
      <c r="F26" s="41" t="s">
        <v>8762</v>
      </c>
      <c r="G26" s="41"/>
      <c r="H26" s="41"/>
      <c r="I26" s="41"/>
      <c r="J26" s="41"/>
      <c r="K26" s="41"/>
      <c r="L26" s="41"/>
      <c r="M26" s="41"/>
      <c r="N26" s="41"/>
      <c r="O26" s="41"/>
      <c r="P26" s="41"/>
      <c r="Q26" s="41"/>
      <c r="R26" s="41"/>
      <c r="S26" s="41"/>
    </row>
    <row r="27" ht="22.5" customHeight="1">
      <c r="A27" s="41" t="s">
        <v>8755</v>
      </c>
      <c r="B27" s="41" t="s">
        <v>8751</v>
      </c>
      <c r="C27" s="41" t="s">
        <v>8788</v>
      </c>
      <c r="D27" s="46" t="s">
        <v>8800</v>
      </c>
      <c r="E27" s="41" t="s">
        <v>8802</v>
      </c>
      <c r="F27" s="41" t="s">
        <v>8762</v>
      </c>
      <c r="G27" s="41"/>
      <c r="H27" s="41"/>
      <c r="I27" s="41"/>
      <c r="J27" s="41"/>
      <c r="K27" s="41"/>
      <c r="L27" s="41"/>
      <c r="M27" s="41"/>
      <c r="N27" s="41"/>
      <c r="O27" s="41"/>
      <c r="P27" s="41"/>
      <c r="Q27" s="41"/>
      <c r="R27" s="41"/>
      <c r="S27" s="41"/>
    </row>
    <row r="28" ht="22.5" customHeight="1">
      <c r="A28" s="41" t="s">
        <v>8750</v>
      </c>
      <c r="B28" s="41" t="s">
        <v>8751</v>
      </c>
      <c r="C28" s="41" t="s">
        <v>8788</v>
      </c>
      <c r="D28" s="46" t="s">
        <v>8803</v>
      </c>
      <c r="E28" s="41" t="s">
        <v>8804</v>
      </c>
      <c r="F28" s="41" t="s">
        <v>8762</v>
      </c>
      <c r="G28" s="41"/>
      <c r="H28" s="41"/>
      <c r="I28" s="41"/>
      <c r="J28" s="41"/>
      <c r="K28" s="41"/>
      <c r="L28" s="41"/>
      <c r="M28" s="41"/>
      <c r="N28" s="41"/>
      <c r="O28" s="41"/>
      <c r="P28" s="41"/>
      <c r="Q28" s="41"/>
      <c r="R28" s="41"/>
      <c r="S28" s="41"/>
    </row>
    <row r="29" ht="22.5" customHeight="1">
      <c r="A29" s="41" t="s">
        <v>8755</v>
      </c>
      <c r="B29" s="41" t="s">
        <v>8751</v>
      </c>
      <c r="C29" s="41" t="s">
        <v>8788</v>
      </c>
      <c r="D29" s="46" t="s">
        <v>8803</v>
      </c>
      <c r="E29" s="41" t="s">
        <v>8805</v>
      </c>
      <c r="F29" s="41" t="s">
        <v>8762</v>
      </c>
      <c r="G29" s="41"/>
      <c r="H29" s="41"/>
      <c r="I29" s="41"/>
      <c r="J29" s="41"/>
      <c r="K29" s="41"/>
      <c r="L29" s="41"/>
      <c r="M29" s="41"/>
      <c r="N29" s="41"/>
      <c r="O29" s="41"/>
      <c r="P29" s="41"/>
      <c r="Q29" s="41"/>
      <c r="R29" s="41"/>
      <c r="S29" s="41"/>
    </row>
    <row r="30" ht="22.5" customHeight="1">
      <c r="A30" s="41" t="s">
        <v>8750</v>
      </c>
      <c r="B30" s="41" t="s">
        <v>8751</v>
      </c>
      <c r="C30" s="41" t="s">
        <v>8788</v>
      </c>
      <c r="D30" s="46" t="s">
        <v>8806</v>
      </c>
      <c r="E30" s="41" t="s">
        <v>8807</v>
      </c>
      <c r="F30" s="41" t="s">
        <v>16</v>
      </c>
      <c r="G30" s="41"/>
      <c r="H30" s="41"/>
      <c r="I30" s="41"/>
      <c r="J30" s="41"/>
      <c r="K30" s="41"/>
      <c r="L30" s="41"/>
      <c r="M30" s="41"/>
      <c r="N30" s="41"/>
      <c r="O30" s="41"/>
      <c r="P30" s="41"/>
      <c r="Q30" s="41"/>
      <c r="R30" s="41"/>
      <c r="S30" s="41"/>
    </row>
    <row r="31" ht="22.5" customHeight="1">
      <c r="A31" s="41" t="s">
        <v>8755</v>
      </c>
      <c r="B31" s="41" t="s">
        <v>8751</v>
      </c>
      <c r="C31" s="41" t="s">
        <v>8788</v>
      </c>
      <c r="D31" s="46" t="s">
        <v>8806</v>
      </c>
      <c r="E31" s="41" t="s">
        <v>8808</v>
      </c>
      <c r="F31" s="41" t="s">
        <v>16</v>
      </c>
      <c r="G31" s="41"/>
      <c r="H31" s="41"/>
      <c r="I31" s="41"/>
      <c r="J31" s="41"/>
      <c r="K31" s="41"/>
      <c r="L31" s="41"/>
      <c r="M31" s="41"/>
      <c r="N31" s="41"/>
      <c r="O31" s="41"/>
      <c r="P31" s="41"/>
      <c r="Q31" s="41"/>
      <c r="R31" s="41"/>
      <c r="S31" s="41"/>
    </row>
    <row r="32" ht="22.5" customHeight="1">
      <c r="A32" s="41" t="s">
        <v>8750</v>
      </c>
      <c r="B32" s="41" t="s">
        <v>8764</v>
      </c>
      <c r="C32" s="41" t="s">
        <v>8773</v>
      </c>
      <c r="D32" s="46" t="s">
        <v>8809</v>
      </c>
      <c r="E32" s="41" t="s">
        <v>8810</v>
      </c>
      <c r="F32" s="41" t="s">
        <v>16</v>
      </c>
      <c r="G32" s="41"/>
      <c r="H32" s="41"/>
      <c r="I32" s="41"/>
      <c r="J32" s="41"/>
      <c r="K32" s="41"/>
      <c r="L32" s="41"/>
      <c r="M32" s="41"/>
      <c r="N32" s="41"/>
      <c r="O32" s="41"/>
      <c r="P32" s="41"/>
      <c r="Q32" s="41"/>
      <c r="R32" s="41"/>
      <c r="S32" s="41"/>
    </row>
    <row r="33" ht="22.5" customHeight="1">
      <c r="A33" s="41" t="s">
        <v>8755</v>
      </c>
      <c r="B33" s="41" t="s">
        <v>8764</v>
      </c>
      <c r="C33" s="41" t="s">
        <v>8773</v>
      </c>
      <c r="D33" s="46" t="s">
        <v>8809</v>
      </c>
      <c r="E33" s="41" t="s">
        <v>8811</v>
      </c>
      <c r="F33" s="41" t="s">
        <v>16</v>
      </c>
      <c r="G33" s="41"/>
      <c r="H33" s="41"/>
      <c r="I33" s="41"/>
      <c r="J33" s="41"/>
      <c r="K33" s="41"/>
      <c r="L33" s="41"/>
      <c r="M33" s="41"/>
      <c r="N33" s="41"/>
      <c r="O33" s="41"/>
      <c r="P33" s="41"/>
      <c r="Q33" s="41"/>
      <c r="R33" s="41"/>
      <c r="S33" s="41"/>
    </row>
    <row r="34" ht="22.5" customHeight="1">
      <c r="A34" s="41" t="s">
        <v>8750</v>
      </c>
      <c r="B34" s="41" t="s">
        <v>8751</v>
      </c>
      <c r="C34" s="41" t="s">
        <v>8812</v>
      </c>
      <c r="D34" s="46" t="s">
        <v>8813</v>
      </c>
      <c r="E34" s="41" t="s">
        <v>8814</v>
      </c>
      <c r="F34" s="41" t="s">
        <v>16</v>
      </c>
      <c r="G34" s="41"/>
      <c r="H34" s="41"/>
      <c r="I34" s="41"/>
      <c r="J34" s="41"/>
      <c r="K34" s="41"/>
      <c r="L34" s="41"/>
      <c r="M34" s="41"/>
      <c r="N34" s="41"/>
      <c r="O34" s="41"/>
      <c r="P34" s="41"/>
      <c r="Q34" s="41"/>
      <c r="R34" s="41"/>
      <c r="S34" s="41"/>
    </row>
    <row r="35" ht="22.5" customHeight="1">
      <c r="A35" s="41" t="s">
        <v>8755</v>
      </c>
      <c r="B35" s="41" t="s">
        <v>8751</v>
      </c>
      <c r="C35" s="41" t="s">
        <v>8812</v>
      </c>
      <c r="D35" s="46" t="s">
        <v>8813</v>
      </c>
      <c r="E35" s="41" t="s">
        <v>8815</v>
      </c>
      <c r="F35" s="41" t="s">
        <v>16</v>
      </c>
      <c r="G35" s="41"/>
      <c r="H35" s="41"/>
      <c r="I35" s="41"/>
      <c r="J35" s="41"/>
      <c r="K35" s="41"/>
      <c r="L35" s="41"/>
      <c r="M35" s="41"/>
      <c r="N35" s="41"/>
      <c r="O35" s="41"/>
      <c r="P35" s="41"/>
      <c r="Q35" s="41"/>
      <c r="R35" s="41"/>
      <c r="S35" s="41"/>
    </row>
    <row r="36" ht="22.5" customHeight="1">
      <c r="A36" s="41" t="s">
        <v>8750</v>
      </c>
      <c r="B36" s="41" t="s">
        <v>8751</v>
      </c>
      <c r="C36" s="41" t="s">
        <v>8812</v>
      </c>
      <c r="D36" s="46" t="s">
        <v>8816</v>
      </c>
      <c r="E36" s="41" t="s">
        <v>8817</v>
      </c>
      <c r="F36" s="41" t="s">
        <v>8762</v>
      </c>
      <c r="G36" s="41"/>
      <c r="H36" s="41"/>
      <c r="I36" s="41"/>
      <c r="J36" s="41"/>
      <c r="K36" s="41"/>
      <c r="L36" s="41"/>
      <c r="M36" s="41"/>
      <c r="N36" s="41"/>
      <c r="O36" s="41"/>
      <c r="P36" s="41"/>
      <c r="Q36" s="41"/>
      <c r="R36" s="41"/>
      <c r="S36" s="41"/>
    </row>
    <row r="37" ht="22.5" customHeight="1">
      <c r="A37" s="41" t="s">
        <v>8755</v>
      </c>
      <c r="B37" s="41" t="s">
        <v>8751</v>
      </c>
      <c r="C37" s="41" t="s">
        <v>8812</v>
      </c>
      <c r="D37" s="46" t="s">
        <v>8816</v>
      </c>
      <c r="E37" s="41" t="s">
        <v>8818</v>
      </c>
      <c r="F37" s="41" t="s">
        <v>8762</v>
      </c>
      <c r="G37" s="41"/>
      <c r="H37" s="41"/>
      <c r="I37" s="41"/>
      <c r="J37" s="41"/>
      <c r="K37" s="41"/>
      <c r="L37" s="41"/>
      <c r="M37" s="41"/>
      <c r="N37" s="41"/>
      <c r="O37" s="41"/>
      <c r="P37" s="41"/>
      <c r="Q37" s="41"/>
      <c r="R37" s="41"/>
      <c r="S37" s="41"/>
    </row>
    <row r="38" ht="22.5" customHeight="1">
      <c r="A38" s="41" t="s">
        <v>8750</v>
      </c>
      <c r="B38" s="41" t="s">
        <v>8751</v>
      </c>
      <c r="C38" s="41" t="s">
        <v>8812</v>
      </c>
      <c r="D38" s="46" t="s">
        <v>8819</v>
      </c>
      <c r="E38" s="41" t="s">
        <v>8820</v>
      </c>
      <c r="F38" s="41" t="s">
        <v>8762</v>
      </c>
      <c r="G38" s="41"/>
      <c r="H38" s="41"/>
      <c r="I38" s="41"/>
      <c r="J38" s="41"/>
      <c r="K38" s="41"/>
      <c r="L38" s="41"/>
      <c r="M38" s="41"/>
      <c r="N38" s="41"/>
      <c r="O38" s="41"/>
      <c r="P38" s="41"/>
      <c r="Q38" s="41"/>
      <c r="R38" s="41"/>
      <c r="S38" s="41"/>
    </row>
    <row r="39" ht="22.5" customHeight="1">
      <c r="A39" s="41" t="s">
        <v>8755</v>
      </c>
      <c r="B39" s="41" t="s">
        <v>8751</v>
      </c>
      <c r="C39" s="41" t="s">
        <v>8812</v>
      </c>
      <c r="D39" s="46" t="s">
        <v>8819</v>
      </c>
      <c r="E39" s="41" t="s">
        <v>8821</v>
      </c>
      <c r="F39" s="41" t="s">
        <v>8762</v>
      </c>
      <c r="G39" s="41"/>
      <c r="H39" s="41"/>
      <c r="I39" s="41"/>
      <c r="J39" s="41"/>
      <c r="K39" s="41"/>
      <c r="L39" s="41"/>
      <c r="M39" s="41"/>
      <c r="N39" s="41"/>
      <c r="O39" s="41"/>
      <c r="P39" s="41"/>
      <c r="Q39" s="41"/>
      <c r="R39" s="41"/>
      <c r="S39" s="41"/>
    </row>
    <row r="40" ht="22.5" customHeight="1">
      <c r="A40" s="41" t="s">
        <v>8750</v>
      </c>
      <c r="B40" s="41" t="s">
        <v>8751</v>
      </c>
      <c r="C40" s="41" t="s">
        <v>8812</v>
      </c>
      <c r="D40" s="46" t="s">
        <v>8822</v>
      </c>
      <c r="E40" s="41" t="s">
        <v>8823</v>
      </c>
      <c r="F40" s="41" t="s">
        <v>16</v>
      </c>
      <c r="G40" s="41"/>
      <c r="H40" s="41"/>
      <c r="I40" s="41"/>
      <c r="J40" s="41"/>
      <c r="K40" s="41"/>
      <c r="L40" s="41"/>
      <c r="M40" s="41"/>
      <c r="N40" s="41"/>
      <c r="O40" s="41"/>
      <c r="P40" s="41"/>
      <c r="Q40" s="41"/>
      <c r="R40" s="41"/>
      <c r="S40" s="41"/>
    </row>
    <row r="41" ht="22.5" customHeight="1">
      <c r="A41" s="41" t="s">
        <v>8755</v>
      </c>
      <c r="B41" s="41" t="s">
        <v>8751</v>
      </c>
      <c r="C41" s="41" t="s">
        <v>8812</v>
      </c>
      <c r="D41" s="46" t="s">
        <v>8822</v>
      </c>
      <c r="E41" s="41" t="s">
        <v>8824</v>
      </c>
      <c r="F41" s="41" t="s">
        <v>16</v>
      </c>
      <c r="G41" s="41"/>
      <c r="H41" s="41"/>
      <c r="I41" s="41"/>
      <c r="J41" s="41"/>
      <c r="K41" s="41"/>
      <c r="L41" s="41"/>
      <c r="M41" s="41"/>
      <c r="N41" s="41"/>
      <c r="O41" s="41"/>
      <c r="P41" s="41"/>
      <c r="Q41" s="41"/>
      <c r="R41" s="41"/>
      <c r="S41" s="41"/>
    </row>
    <row r="42" ht="22.5" customHeight="1">
      <c r="A42" s="41" t="s">
        <v>8750</v>
      </c>
      <c r="B42" s="41" t="s">
        <v>8751</v>
      </c>
      <c r="C42" s="41" t="s">
        <v>8788</v>
      </c>
      <c r="D42" s="46" t="s">
        <v>8825</v>
      </c>
      <c r="E42" s="41" t="s">
        <v>8826</v>
      </c>
      <c r="F42" s="41" t="s">
        <v>8791</v>
      </c>
      <c r="G42" s="41"/>
      <c r="H42" s="41"/>
      <c r="I42" s="41"/>
      <c r="J42" s="41"/>
      <c r="K42" s="41"/>
      <c r="L42" s="41"/>
      <c r="M42" s="41"/>
      <c r="N42" s="41"/>
      <c r="O42" s="41"/>
      <c r="P42" s="41"/>
      <c r="Q42" s="41"/>
      <c r="R42" s="41"/>
      <c r="S42" s="41"/>
    </row>
    <row r="43" ht="22.5" customHeight="1">
      <c r="A43" s="41" t="s">
        <v>8755</v>
      </c>
      <c r="B43" s="41" t="s">
        <v>8751</v>
      </c>
      <c r="C43" s="41" t="s">
        <v>8788</v>
      </c>
      <c r="D43" s="46" t="s">
        <v>8825</v>
      </c>
      <c r="E43" s="41" t="s">
        <v>8827</v>
      </c>
      <c r="F43" s="41" t="s">
        <v>8791</v>
      </c>
      <c r="G43" s="41"/>
      <c r="H43" s="41"/>
      <c r="I43" s="41"/>
      <c r="J43" s="41"/>
      <c r="K43" s="41"/>
      <c r="L43" s="41"/>
      <c r="M43" s="41"/>
      <c r="N43" s="41"/>
      <c r="O43" s="41"/>
      <c r="P43" s="41"/>
      <c r="Q43" s="41"/>
      <c r="R43" s="41"/>
      <c r="S43" s="41"/>
    </row>
    <row r="44" ht="22.5" customHeight="1">
      <c r="A44" s="41" t="s">
        <v>8750</v>
      </c>
      <c r="B44" s="41" t="s">
        <v>8828</v>
      </c>
      <c r="C44" s="41" t="s">
        <v>8829</v>
      </c>
      <c r="D44" s="46" t="s">
        <v>8830</v>
      </c>
      <c r="E44" s="41" t="s">
        <v>8831</v>
      </c>
      <c r="F44" s="41" t="s">
        <v>16</v>
      </c>
      <c r="G44" s="41"/>
      <c r="H44" s="41"/>
      <c r="I44" s="41"/>
      <c r="J44" s="41"/>
      <c r="K44" s="41"/>
      <c r="L44" s="41"/>
      <c r="M44" s="41"/>
      <c r="N44" s="41"/>
      <c r="O44" s="41"/>
      <c r="P44" s="41"/>
      <c r="Q44" s="41"/>
      <c r="R44" s="41"/>
      <c r="S44" s="41"/>
    </row>
    <row r="45" ht="22.5" customHeight="1">
      <c r="A45" s="41" t="s">
        <v>8755</v>
      </c>
      <c r="B45" s="41" t="s">
        <v>8828</v>
      </c>
      <c r="C45" s="41" t="s">
        <v>8829</v>
      </c>
      <c r="D45" s="46" t="s">
        <v>8830</v>
      </c>
      <c r="E45" s="41" t="s">
        <v>8832</v>
      </c>
      <c r="F45" s="41" t="s">
        <v>16</v>
      </c>
      <c r="G45" s="41"/>
      <c r="H45" s="41"/>
      <c r="I45" s="41"/>
      <c r="J45" s="41"/>
      <c r="K45" s="41"/>
      <c r="L45" s="41"/>
      <c r="M45" s="41"/>
      <c r="N45" s="41"/>
      <c r="O45" s="41"/>
      <c r="P45" s="41"/>
      <c r="Q45" s="41"/>
      <c r="R45" s="41"/>
      <c r="S45" s="41"/>
    </row>
    <row r="46" ht="22.5" customHeight="1">
      <c r="A46" s="41" t="s">
        <v>8750</v>
      </c>
      <c r="B46" s="41" t="s">
        <v>8783</v>
      </c>
      <c r="C46" s="41" t="s">
        <v>8784</v>
      </c>
      <c r="D46" s="46" t="s">
        <v>8833</v>
      </c>
      <c r="E46" s="41" t="s">
        <v>8834</v>
      </c>
      <c r="F46" s="41" t="s">
        <v>16</v>
      </c>
      <c r="G46" s="41"/>
      <c r="H46" s="41"/>
      <c r="I46" s="41"/>
      <c r="J46" s="41"/>
      <c r="K46" s="41"/>
      <c r="L46" s="41"/>
      <c r="M46" s="41"/>
      <c r="N46" s="41"/>
      <c r="O46" s="41"/>
      <c r="P46" s="41"/>
      <c r="Q46" s="41"/>
      <c r="R46" s="41"/>
      <c r="S46" s="41"/>
    </row>
    <row r="47" ht="22.5" customHeight="1">
      <c r="A47" s="41" t="s">
        <v>8755</v>
      </c>
      <c r="B47" s="41" t="s">
        <v>8783</v>
      </c>
      <c r="C47" s="41" t="s">
        <v>8784</v>
      </c>
      <c r="D47" s="46" t="s">
        <v>8833</v>
      </c>
      <c r="E47" s="41" t="s">
        <v>8835</v>
      </c>
      <c r="F47" s="41" t="s">
        <v>16</v>
      </c>
      <c r="G47" s="41"/>
      <c r="H47" s="41"/>
      <c r="I47" s="41"/>
      <c r="J47" s="41"/>
      <c r="K47" s="41"/>
      <c r="L47" s="41"/>
      <c r="M47" s="41"/>
      <c r="N47" s="41"/>
      <c r="O47" s="41"/>
      <c r="P47" s="41"/>
      <c r="Q47" s="41"/>
      <c r="R47" s="41"/>
      <c r="S47" s="41"/>
    </row>
    <row r="48" ht="22.5" customHeight="1">
      <c r="A48" s="41" t="s">
        <v>8750</v>
      </c>
      <c r="B48" s="41" t="s">
        <v>8764</v>
      </c>
      <c r="C48" s="41" t="s">
        <v>8784</v>
      </c>
      <c r="D48" s="46" t="s">
        <v>8836</v>
      </c>
      <c r="E48" s="41" t="s">
        <v>8837</v>
      </c>
      <c r="F48" s="41" t="s">
        <v>8838</v>
      </c>
      <c r="G48" s="41"/>
      <c r="H48" s="41"/>
      <c r="I48" s="41"/>
      <c r="J48" s="41"/>
      <c r="K48" s="41"/>
      <c r="L48" s="41"/>
      <c r="M48" s="41"/>
      <c r="N48" s="41"/>
      <c r="O48" s="41"/>
      <c r="P48" s="41"/>
      <c r="Q48" s="41"/>
      <c r="R48" s="41"/>
      <c r="S48" s="41"/>
    </row>
    <row r="49" ht="22.5" customHeight="1">
      <c r="A49" s="41" t="s">
        <v>8755</v>
      </c>
      <c r="B49" s="41" t="s">
        <v>8764</v>
      </c>
      <c r="C49" s="41" t="s">
        <v>8784</v>
      </c>
      <c r="D49" s="46" t="s">
        <v>8836</v>
      </c>
      <c r="E49" s="41" t="s">
        <v>8839</v>
      </c>
      <c r="F49" s="41" t="s">
        <v>8838</v>
      </c>
      <c r="G49" s="41"/>
      <c r="H49" s="41"/>
      <c r="I49" s="41"/>
      <c r="J49" s="41"/>
      <c r="K49" s="41"/>
      <c r="L49" s="41"/>
      <c r="M49" s="41"/>
      <c r="N49" s="41"/>
      <c r="O49" s="41"/>
      <c r="P49" s="41"/>
      <c r="Q49" s="41"/>
      <c r="R49" s="41"/>
      <c r="S49" s="41"/>
    </row>
    <row r="50" ht="22.5" customHeight="1">
      <c r="A50" s="41" t="s">
        <v>8750</v>
      </c>
      <c r="B50" s="41" t="s">
        <v>8764</v>
      </c>
      <c r="C50" s="41" t="s">
        <v>8769</v>
      </c>
      <c r="D50" s="46" t="s">
        <v>8840</v>
      </c>
      <c r="E50" s="41" t="s">
        <v>8841</v>
      </c>
      <c r="F50" s="41" t="s">
        <v>8795</v>
      </c>
      <c r="G50" s="41"/>
      <c r="H50" s="41"/>
      <c r="I50" s="41"/>
      <c r="J50" s="41"/>
      <c r="K50" s="41"/>
      <c r="L50" s="41"/>
      <c r="M50" s="41"/>
      <c r="N50" s="41"/>
      <c r="O50" s="41"/>
      <c r="P50" s="41"/>
      <c r="Q50" s="41"/>
      <c r="R50" s="41"/>
      <c r="S50" s="41"/>
    </row>
    <row r="51" ht="22.5" customHeight="1">
      <c r="A51" s="41" t="s">
        <v>8755</v>
      </c>
      <c r="B51" s="41" t="s">
        <v>8764</v>
      </c>
      <c r="C51" s="41" t="s">
        <v>8769</v>
      </c>
      <c r="D51" s="46" t="s">
        <v>8840</v>
      </c>
      <c r="E51" s="41" t="s">
        <v>8842</v>
      </c>
      <c r="F51" s="41" t="s">
        <v>8795</v>
      </c>
      <c r="G51" s="41"/>
      <c r="H51" s="41"/>
      <c r="I51" s="41"/>
      <c r="J51" s="41"/>
      <c r="K51" s="41"/>
      <c r="L51" s="41"/>
      <c r="M51" s="41"/>
      <c r="N51" s="41"/>
      <c r="O51" s="41"/>
      <c r="P51" s="41"/>
      <c r="Q51" s="41"/>
      <c r="R51" s="41"/>
      <c r="S51" s="41"/>
    </row>
    <row r="52" ht="22.5" customHeight="1">
      <c r="A52" s="41" t="s">
        <v>8750</v>
      </c>
      <c r="B52" s="41" t="s">
        <v>8764</v>
      </c>
      <c r="C52" s="41" t="s">
        <v>8773</v>
      </c>
      <c r="D52" s="46" t="s">
        <v>8843</v>
      </c>
      <c r="E52" s="41" t="s">
        <v>8844</v>
      </c>
      <c r="F52" s="41" t="s">
        <v>8845</v>
      </c>
      <c r="G52" s="41"/>
      <c r="H52" s="41"/>
      <c r="I52" s="41"/>
      <c r="J52" s="41"/>
      <c r="K52" s="41"/>
      <c r="L52" s="41"/>
      <c r="M52" s="41"/>
      <c r="N52" s="41"/>
      <c r="O52" s="41"/>
      <c r="P52" s="41"/>
      <c r="Q52" s="41"/>
      <c r="R52" s="41"/>
      <c r="S52" s="41"/>
    </row>
    <row r="53" ht="22.5" customHeight="1">
      <c r="A53" s="41" t="s">
        <v>8755</v>
      </c>
      <c r="B53" s="41" t="s">
        <v>8764</v>
      </c>
      <c r="C53" s="41" t="s">
        <v>8773</v>
      </c>
      <c r="D53" s="46" t="s">
        <v>8843</v>
      </c>
      <c r="E53" s="41" t="s">
        <v>8846</v>
      </c>
      <c r="F53" s="41" t="s">
        <v>8845</v>
      </c>
      <c r="G53" s="41"/>
      <c r="H53" s="41"/>
      <c r="I53" s="41"/>
      <c r="J53" s="41"/>
      <c r="K53" s="41"/>
      <c r="L53" s="41"/>
      <c r="M53" s="41"/>
      <c r="N53" s="41"/>
      <c r="O53" s="41"/>
      <c r="P53" s="41"/>
      <c r="Q53" s="41"/>
      <c r="R53" s="41"/>
      <c r="S53" s="41"/>
    </row>
    <row r="54" ht="22.5" customHeight="1">
      <c r="A54" s="41" t="s">
        <v>8750</v>
      </c>
      <c r="B54" s="41" t="s">
        <v>8764</v>
      </c>
      <c r="C54" s="41" t="s">
        <v>8773</v>
      </c>
      <c r="D54" s="46" t="s">
        <v>8847</v>
      </c>
      <c r="E54" s="41" t="s">
        <v>8848</v>
      </c>
      <c r="F54" s="41" t="s">
        <v>8849</v>
      </c>
      <c r="G54" s="41"/>
      <c r="H54" s="41"/>
      <c r="I54" s="41"/>
      <c r="J54" s="41"/>
      <c r="K54" s="41"/>
      <c r="L54" s="41"/>
      <c r="M54" s="41"/>
      <c r="N54" s="41"/>
      <c r="O54" s="41"/>
      <c r="P54" s="41"/>
      <c r="Q54" s="41"/>
      <c r="R54" s="41"/>
      <c r="S54" s="41"/>
    </row>
    <row r="55" ht="22.5" customHeight="1">
      <c r="A55" s="41" t="s">
        <v>8755</v>
      </c>
      <c r="B55" s="41" t="s">
        <v>8764</v>
      </c>
      <c r="C55" s="41" t="s">
        <v>8773</v>
      </c>
      <c r="D55" s="46" t="s">
        <v>8847</v>
      </c>
      <c r="E55" s="41" t="s">
        <v>8850</v>
      </c>
      <c r="F55" s="41" t="s">
        <v>8849</v>
      </c>
      <c r="G55" s="41"/>
      <c r="H55" s="41"/>
      <c r="I55" s="41"/>
      <c r="J55" s="41"/>
      <c r="K55" s="41"/>
      <c r="L55" s="41"/>
      <c r="M55" s="41"/>
      <c r="N55" s="41"/>
      <c r="O55" s="41"/>
      <c r="P55" s="41"/>
      <c r="Q55" s="41"/>
      <c r="R55" s="41"/>
      <c r="S55" s="41"/>
    </row>
    <row r="56" ht="22.5" customHeight="1">
      <c r="A56" s="41" t="s">
        <v>8750</v>
      </c>
      <c r="B56" s="41" t="s">
        <v>8764</v>
      </c>
      <c r="C56" s="41" t="s">
        <v>8773</v>
      </c>
      <c r="D56" s="46" t="s">
        <v>8851</v>
      </c>
      <c r="E56" s="41" t="s">
        <v>8852</v>
      </c>
      <c r="F56" s="41" t="s">
        <v>8776</v>
      </c>
      <c r="G56" s="41"/>
      <c r="H56" s="41"/>
      <c r="I56" s="41"/>
      <c r="J56" s="41"/>
      <c r="K56" s="41"/>
      <c r="L56" s="41"/>
      <c r="M56" s="41"/>
      <c r="N56" s="41"/>
      <c r="O56" s="41"/>
      <c r="P56" s="41"/>
      <c r="Q56" s="41"/>
      <c r="R56" s="41"/>
      <c r="S56" s="41"/>
    </row>
    <row r="57" ht="22.5" customHeight="1">
      <c r="A57" s="41" t="s">
        <v>8755</v>
      </c>
      <c r="B57" s="41" t="s">
        <v>8764</v>
      </c>
      <c r="C57" s="41" t="s">
        <v>8773</v>
      </c>
      <c r="D57" s="46" t="s">
        <v>8851</v>
      </c>
      <c r="E57" s="41" t="s">
        <v>8853</v>
      </c>
      <c r="F57" s="41" t="s">
        <v>8776</v>
      </c>
      <c r="G57" s="41"/>
      <c r="H57" s="41"/>
      <c r="I57" s="41"/>
      <c r="J57" s="41"/>
      <c r="K57" s="41"/>
      <c r="L57" s="41"/>
      <c r="M57" s="41"/>
      <c r="N57" s="41"/>
      <c r="O57" s="41"/>
      <c r="P57" s="41"/>
      <c r="Q57" s="41"/>
      <c r="R57" s="41"/>
      <c r="S57" s="41"/>
    </row>
    <row r="58" ht="22.5" customHeight="1">
      <c r="A58" s="41" t="s">
        <v>8750</v>
      </c>
      <c r="B58" s="41" t="s">
        <v>8783</v>
      </c>
      <c r="C58" s="41" t="s">
        <v>8854</v>
      </c>
      <c r="D58" s="46" t="s">
        <v>8855</v>
      </c>
      <c r="E58" s="41" t="s">
        <v>8856</v>
      </c>
      <c r="F58" s="41" t="s">
        <v>8776</v>
      </c>
      <c r="G58" s="41"/>
      <c r="H58" s="41"/>
      <c r="I58" s="41"/>
      <c r="J58" s="41"/>
      <c r="K58" s="41"/>
      <c r="L58" s="41"/>
      <c r="M58" s="41"/>
      <c r="N58" s="41"/>
      <c r="O58" s="41"/>
      <c r="P58" s="41"/>
      <c r="Q58" s="41"/>
      <c r="R58" s="41"/>
      <c r="S58" s="41"/>
    </row>
    <row r="59" ht="22.5" customHeight="1">
      <c r="A59" s="41" t="s">
        <v>8755</v>
      </c>
      <c r="B59" s="41" t="s">
        <v>8783</v>
      </c>
      <c r="C59" s="41" t="s">
        <v>8854</v>
      </c>
      <c r="D59" s="46" t="s">
        <v>8855</v>
      </c>
      <c r="E59" s="41" t="s">
        <v>8857</v>
      </c>
      <c r="F59" s="41" t="s">
        <v>8776</v>
      </c>
      <c r="G59" s="41"/>
      <c r="H59" s="41"/>
      <c r="I59" s="41"/>
      <c r="J59" s="41"/>
      <c r="K59" s="41"/>
      <c r="L59" s="41"/>
      <c r="M59" s="41"/>
      <c r="N59" s="41"/>
      <c r="O59" s="41"/>
      <c r="P59" s="41"/>
      <c r="Q59" s="41"/>
      <c r="R59" s="41"/>
      <c r="S59" s="41"/>
    </row>
    <row r="60" ht="22.5" customHeight="1">
      <c r="A60" s="41" t="s">
        <v>8750</v>
      </c>
      <c r="B60" s="41" t="s">
        <v>8764</v>
      </c>
      <c r="C60" s="41" t="s">
        <v>8769</v>
      </c>
      <c r="D60" s="46" t="s">
        <v>8858</v>
      </c>
      <c r="E60" s="41" t="s">
        <v>8859</v>
      </c>
      <c r="F60" s="41" t="s">
        <v>8795</v>
      </c>
      <c r="G60" s="41"/>
      <c r="H60" s="41"/>
      <c r="I60" s="41"/>
      <c r="J60" s="41"/>
      <c r="K60" s="41"/>
      <c r="L60" s="41"/>
      <c r="M60" s="41"/>
      <c r="N60" s="41"/>
      <c r="O60" s="41"/>
      <c r="P60" s="41"/>
      <c r="Q60" s="41"/>
      <c r="R60" s="41"/>
      <c r="S60" s="41"/>
    </row>
    <row r="61" ht="22.5" customHeight="1">
      <c r="A61" s="41" t="s">
        <v>8755</v>
      </c>
      <c r="B61" s="41" t="s">
        <v>8764</v>
      </c>
      <c r="C61" s="41" t="s">
        <v>8769</v>
      </c>
      <c r="D61" s="46" t="s">
        <v>8858</v>
      </c>
      <c r="E61" s="41" t="s">
        <v>8860</v>
      </c>
      <c r="F61" s="41" t="s">
        <v>8795</v>
      </c>
      <c r="G61" s="41"/>
      <c r="H61" s="41"/>
      <c r="I61" s="41"/>
      <c r="J61" s="41"/>
      <c r="K61" s="41"/>
      <c r="L61" s="41"/>
      <c r="M61" s="41"/>
      <c r="N61" s="41"/>
      <c r="O61" s="41"/>
      <c r="P61" s="41"/>
      <c r="Q61" s="41"/>
      <c r="R61" s="41"/>
      <c r="S61" s="41"/>
    </row>
    <row r="62" ht="22.5" customHeight="1">
      <c r="A62" s="41" t="s">
        <v>8750</v>
      </c>
      <c r="B62" s="41" t="s">
        <v>8861</v>
      </c>
      <c r="C62" s="41" t="s">
        <v>8773</v>
      </c>
      <c r="D62" s="46" t="s">
        <v>8862</v>
      </c>
      <c r="E62" s="41" t="s">
        <v>8863</v>
      </c>
      <c r="F62" s="41" t="s">
        <v>8795</v>
      </c>
      <c r="G62" s="41"/>
      <c r="H62" s="41"/>
      <c r="I62" s="41"/>
      <c r="J62" s="41"/>
      <c r="K62" s="41"/>
      <c r="L62" s="41"/>
      <c r="M62" s="41"/>
      <c r="N62" s="41"/>
      <c r="O62" s="41"/>
      <c r="P62" s="41"/>
      <c r="Q62" s="41"/>
      <c r="R62" s="41"/>
      <c r="S62" s="41"/>
    </row>
    <row r="63" ht="22.5" customHeight="1">
      <c r="A63" s="41" t="s">
        <v>8755</v>
      </c>
      <c r="B63" s="41" t="s">
        <v>8861</v>
      </c>
      <c r="C63" s="41" t="s">
        <v>8773</v>
      </c>
      <c r="D63" s="46" t="s">
        <v>8862</v>
      </c>
      <c r="E63" s="41" t="s">
        <v>8864</v>
      </c>
      <c r="F63" s="41" t="s">
        <v>8795</v>
      </c>
      <c r="G63" s="41"/>
      <c r="H63" s="41"/>
      <c r="I63" s="41"/>
      <c r="J63" s="41"/>
      <c r="K63" s="41"/>
      <c r="L63" s="41"/>
      <c r="M63" s="41"/>
      <c r="N63" s="41"/>
      <c r="O63" s="41"/>
      <c r="P63" s="41"/>
      <c r="Q63" s="41"/>
      <c r="R63" s="41"/>
      <c r="S63" s="41"/>
    </row>
    <row r="64" ht="22.5" customHeight="1">
      <c r="A64" s="41" t="s">
        <v>8750</v>
      </c>
      <c r="B64" s="41" t="s">
        <v>8764</v>
      </c>
      <c r="C64" s="41" t="s">
        <v>8773</v>
      </c>
      <c r="D64" s="46" t="s">
        <v>8865</v>
      </c>
      <c r="E64" s="41" t="s">
        <v>8866</v>
      </c>
      <c r="F64" s="41" t="s">
        <v>16</v>
      </c>
      <c r="G64" s="41"/>
      <c r="H64" s="41"/>
      <c r="I64" s="41"/>
      <c r="J64" s="41"/>
      <c r="K64" s="41"/>
      <c r="L64" s="41"/>
      <c r="M64" s="41"/>
      <c r="N64" s="41"/>
      <c r="O64" s="41"/>
      <c r="P64" s="41"/>
      <c r="Q64" s="41"/>
      <c r="R64" s="41"/>
      <c r="S64" s="41"/>
    </row>
    <row r="65" ht="22.5" customHeight="1">
      <c r="A65" s="41" t="s">
        <v>8755</v>
      </c>
      <c r="B65" s="41" t="s">
        <v>8764</v>
      </c>
      <c r="C65" s="41" t="s">
        <v>8773</v>
      </c>
      <c r="D65" s="46" t="s">
        <v>8865</v>
      </c>
      <c r="E65" s="41" t="s">
        <v>8867</v>
      </c>
      <c r="F65" s="41" t="s">
        <v>16</v>
      </c>
      <c r="G65" s="41"/>
      <c r="H65" s="41"/>
      <c r="I65" s="41"/>
      <c r="J65" s="41"/>
      <c r="K65" s="41"/>
      <c r="L65" s="41"/>
      <c r="M65" s="41"/>
      <c r="N65" s="41"/>
      <c r="O65" s="41"/>
      <c r="P65" s="41"/>
      <c r="Q65" s="41"/>
      <c r="R65" s="41"/>
      <c r="S65" s="41"/>
    </row>
    <row r="66" ht="22.5" customHeight="1">
      <c r="A66" s="41" t="s">
        <v>8750</v>
      </c>
      <c r="B66" s="41" t="s">
        <v>8783</v>
      </c>
      <c r="C66" s="41" t="s">
        <v>8868</v>
      </c>
      <c r="D66" s="46" t="s">
        <v>8869</v>
      </c>
      <c r="E66" s="41" t="s">
        <v>8870</v>
      </c>
      <c r="F66" s="41" t="s">
        <v>8762</v>
      </c>
      <c r="G66" s="41"/>
      <c r="H66" s="41"/>
      <c r="I66" s="41"/>
      <c r="J66" s="41"/>
      <c r="K66" s="41"/>
      <c r="L66" s="41"/>
      <c r="M66" s="41"/>
      <c r="N66" s="41"/>
      <c r="O66" s="41"/>
      <c r="P66" s="41"/>
      <c r="Q66" s="41"/>
      <c r="R66" s="41"/>
      <c r="S66" s="41"/>
    </row>
    <row r="67" ht="22.5" customHeight="1">
      <c r="A67" s="41" t="s">
        <v>8755</v>
      </c>
      <c r="B67" s="41" t="s">
        <v>8783</v>
      </c>
      <c r="C67" s="41" t="s">
        <v>8868</v>
      </c>
      <c r="D67" s="46" t="s">
        <v>8869</v>
      </c>
      <c r="E67" s="41" t="s">
        <v>8871</v>
      </c>
      <c r="F67" s="41" t="s">
        <v>8762</v>
      </c>
      <c r="G67" s="41"/>
      <c r="H67" s="41"/>
      <c r="I67" s="41"/>
      <c r="J67" s="41"/>
      <c r="K67" s="41"/>
      <c r="L67" s="41"/>
      <c r="M67" s="41"/>
      <c r="N67" s="41"/>
      <c r="O67" s="41"/>
      <c r="P67" s="41"/>
      <c r="Q67" s="41"/>
      <c r="R67" s="41"/>
      <c r="S67" s="41"/>
    </row>
    <row r="68" ht="22.5" customHeight="1">
      <c r="A68" s="41" t="s">
        <v>8750</v>
      </c>
      <c r="B68" s="41" t="s">
        <v>8783</v>
      </c>
      <c r="C68" s="41" t="s">
        <v>8868</v>
      </c>
      <c r="D68" s="46" t="s">
        <v>8872</v>
      </c>
      <c r="E68" s="41" t="s">
        <v>8873</v>
      </c>
      <c r="F68" s="41" t="s">
        <v>16</v>
      </c>
      <c r="G68" s="41"/>
      <c r="H68" s="41"/>
      <c r="I68" s="41"/>
      <c r="J68" s="41"/>
      <c r="K68" s="41"/>
      <c r="L68" s="41"/>
      <c r="M68" s="41"/>
      <c r="N68" s="41"/>
      <c r="O68" s="41"/>
      <c r="P68" s="41"/>
      <c r="Q68" s="41"/>
      <c r="R68" s="41"/>
      <c r="S68" s="41"/>
    </row>
    <row r="69" ht="22.5" customHeight="1">
      <c r="A69" s="41" t="s">
        <v>8755</v>
      </c>
      <c r="B69" s="41" t="s">
        <v>8783</v>
      </c>
      <c r="C69" s="41" t="s">
        <v>8868</v>
      </c>
      <c r="D69" s="46" t="s">
        <v>8872</v>
      </c>
      <c r="E69" s="41" t="s">
        <v>8874</v>
      </c>
      <c r="F69" s="41" t="s">
        <v>16</v>
      </c>
      <c r="G69" s="41"/>
      <c r="H69" s="41"/>
      <c r="I69" s="41"/>
      <c r="J69" s="41"/>
      <c r="K69" s="41"/>
      <c r="L69" s="41"/>
      <c r="M69" s="41"/>
      <c r="N69" s="41"/>
      <c r="O69" s="41"/>
      <c r="P69" s="41"/>
      <c r="Q69" s="41"/>
      <c r="R69" s="41"/>
      <c r="S69" s="41"/>
    </row>
    <row r="70" ht="22.5" customHeight="1">
      <c r="A70" s="41" t="s">
        <v>8750</v>
      </c>
      <c r="B70" s="41" t="s">
        <v>8783</v>
      </c>
      <c r="C70" s="41" t="s">
        <v>8854</v>
      </c>
      <c r="D70" s="46" t="s">
        <v>8875</v>
      </c>
      <c r="E70" s="41" t="s">
        <v>8876</v>
      </c>
      <c r="F70" s="41" t="s">
        <v>8776</v>
      </c>
      <c r="G70" s="41"/>
      <c r="H70" s="41"/>
      <c r="I70" s="41"/>
      <c r="J70" s="41"/>
      <c r="K70" s="41"/>
      <c r="L70" s="41"/>
      <c r="M70" s="41"/>
      <c r="N70" s="41"/>
      <c r="O70" s="41"/>
      <c r="P70" s="41"/>
      <c r="Q70" s="41"/>
      <c r="R70" s="41"/>
      <c r="S70" s="41"/>
    </row>
    <row r="71" ht="22.5" customHeight="1">
      <c r="A71" s="41" t="s">
        <v>8755</v>
      </c>
      <c r="B71" s="41" t="s">
        <v>8783</v>
      </c>
      <c r="C71" s="41" t="s">
        <v>8854</v>
      </c>
      <c r="D71" s="46" t="s">
        <v>8875</v>
      </c>
      <c r="E71" s="41" t="s">
        <v>8877</v>
      </c>
      <c r="F71" s="41" t="s">
        <v>8776</v>
      </c>
      <c r="G71" s="41"/>
      <c r="H71" s="41"/>
      <c r="I71" s="41"/>
      <c r="J71" s="41"/>
      <c r="K71" s="41"/>
      <c r="L71" s="41"/>
      <c r="M71" s="41"/>
      <c r="N71" s="41"/>
      <c r="O71" s="41"/>
      <c r="P71" s="41"/>
      <c r="Q71" s="41"/>
      <c r="R71" s="41"/>
      <c r="S71" s="41"/>
    </row>
    <row r="72" ht="22.5" customHeight="1">
      <c r="A72" s="41" t="s">
        <v>8750</v>
      </c>
      <c r="B72" s="41" t="s">
        <v>8828</v>
      </c>
      <c r="C72" s="41" t="s">
        <v>8829</v>
      </c>
      <c r="D72" s="46" t="s">
        <v>8878</v>
      </c>
      <c r="E72" s="41" t="s">
        <v>8879</v>
      </c>
      <c r="F72" s="41" t="s">
        <v>16</v>
      </c>
      <c r="G72" s="41"/>
      <c r="H72" s="41"/>
      <c r="I72" s="41"/>
      <c r="J72" s="41"/>
      <c r="K72" s="41"/>
      <c r="L72" s="41"/>
      <c r="M72" s="41"/>
      <c r="N72" s="41"/>
      <c r="O72" s="41"/>
      <c r="P72" s="41"/>
      <c r="Q72" s="41"/>
      <c r="R72" s="41"/>
      <c r="S72" s="41"/>
    </row>
    <row r="73" ht="22.5" customHeight="1">
      <c r="A73" s="41" t="s">
        <v>8755</v>
      </c>
      <c r="B73" s="41" t="s">
        <v>8828</v>
      </c>
      <c r="C73" s="41" t="s">
        <v>8829</v>
      </c>
      <c r="D73" s="46" t="s">
        <v>8878</v>
      </c>
      <c r="E73" s="41" t="s">
        <v>8880</v>
      </c>
      <c r="F73" s="41" t="s">
        <v>16</v>
      </c>
      <c r="G73" s="41"/>
      <c r="H73" s="41"/>
      <c r="I73" s="41"/>
      <c r="J73" s="41"/>
      <c r="K73" s="41"/>
      <c r="L73" s="41"/>
      <c r="M73" s="41"/>
      <c r="N73" s="41"/>
      <c r="O73" s="41"/>
      <c r="P73" s="41"/>
      <c r="Q73" s="41"/>
      <c r="R73" s="41"/>
      <c r="S73" s="41"/>
    </row>
    <row r="74" ht="22.5" customHeight="1">
      <c r="A74" s="41" t="s">
        <v>8750</v>
      </c>
      <c r="B74" s="41" t="s">
        <v>8828</v>
      </c>
      <c r="C74" s="41" t="s">
        <v>8829</v>
      </c>
      <c r="D74" s="46" t="s">
        <v>8881</v>
      </c>
      <c r="E74" s="41" t="s">
        <v>8882</v>
      </c>
      <c r="F74" s="41" t="s">
        <v>8883</v>
      </c>
      <c r="G74" s="41"/>
      <c r="H74" s="41"/>
      <c r="I74" s="41"/>
      <c r="J74" s="41"/>
      <c r="K74" s="41"/>
      <c r="L74" s="41"/>
      <c r="M74" s="41"/>
      <c r="N74" s="41"/>
      <c r="O74" s="41"/>
      <c r="P74" s="41"/>
      <c r="Q74" s="41"/>
      <c r="R74" s="41"/>
      <c r="S74" s="41"/>
    </row>
    <row r="75" ht="22.5" customHeight="1">
      <c r="A75" s="41" t="s">
        <v>8755</v>
      </c>
      <c r="B75" s="41" t="s">
        <v>8828</v>
      </c>
      <c r="C75" s="41" t="s">
        <v>8829</v>
      </c>
      <c r="D75" s="46" t="s">
        <v>8881</v>
      </c>
      <c r="E75" s="41" t="s">
        <v>8884</v>
      </c>
      <c r="F75" s="41" t="s">
        <v>8883</v>
      </c>
      <c r="G75" s="41"/>
      <c r="H75" s="41"/>
      <c r="I75" s="41"/>
      <c r="J75" s="41"/>
      <c r="K75" s="41"/>
      <c r="L75" s="41"/>
      <c r="M75" s="41"/>
      <c r="N75" s="41"/>
      <c r="O75" s="41"/>
      <c r="P75" s="41"/>
      <c r="Q75" s="41"/>
      <c r="R75" s="41"/>
      <c r="S75" s="41"/>
    </row>
    <row r="76" ht="22.5" customHeight="1">
      <c r="A76" s="41" t="s">
        <v>8750</v>
      </c>
      <c r="B76" s="41" t="s">
        <v>8861</v>
      </c>
      <c r="C76" s="41" t="s">
        <v>8765</v>
      </c>
      <c r="D76" s="46" t="s">
        <v>8885</v>
      </c>
      <c r="E76" s="41" t="s">
        <v>8886</v>
      </c>
      <c r="F76" s="41" t="s">
        <v>8795</v>
      </c>
      <c r="G76" s="41"/>
      <c r="H76" s="41"/>
      <c r="I76" s="41"/>
      <c r="J76" s="41"/>
      <c r="K76" s="41"/>
      <c r="L76" s="41"/>
      <c r="M76" s="41"/>
      <c r="N76" s="41"/>
      <c r="O76" s="41"/>
      <c r="P76" s="41"/>
      <c r="Q76" s="41"/>
      <c r="R76" s="41"/>
      <c r="S76" s="41"/>
    </row>
    <row r="77" ht="22.5" customHeight="1">
      <c r="A77" s="41" t="s">
        <v>8755</v>
      </c>
      <c r="B77" s="41" t="s">
        <v>8861</v>
      </c>
      <c r="C77" s="41" t="s">
        <v>8765</v>
      </c>
      <c r="D77" s="46" t="s">
        <v>8885</v>
      </c>
      <c r="E77" s="41" t="s">
        <v>8887</v>
      </c>
      <c r="F77" s="41" t="s">
        <v>8795</v>
      </c>
      <c r="G77" s="41"/>
      <c r="H77" s="41"/>
      <c r="I77" s="41"/>
      <c r="J77" s="41"/>
      <c r="K77" s="41"/>
      <c r="L77" s="41"/>
      <c r="M77" s="41"/>
      <c r="N77" s="41"/>
      <c r="O77" s="41"/>
      <c r="P77" s="41"/>
      <c r="Q77" s="41"/>
      <c r="R77" s="41"/>
      <c r="S77" s="41"/>
    </row>
    <row r="78" ht="22.5" customHeight="1">
      <c r="A78" s="41" t="s">
        <v>8750</v>
      </c>
      <c r="B78" s="41" t="s">
        <v>8783</v>
      </c>
      <c r="C78" s="41" t="s">
        <v>8854</v>
      </c>
      <c r="D78" s="46" t="s">
        <v>8888</v>
      </c>
      <c r="E78" s="41" t="s">
        <v>8889</v>
      </c>
      <c r="F78" s="41" t="s">
        <v>8795</v>
      </c>
      <c r="G78" s="41"/>
      <c r="H78" s="41"/>
      <c r="I78" s="41"/>
      <c r="J78" s="41"/>
      <c r="K78" s="41"/>
      <c r="L78" s="41"/>
      <c r="M78" s="41"/>
      <c r="N78" s="41"/>
      <c r="O78" s="41"/>
      <c r="P78" s="41"/>
      <c r="Q78" s="41"/>
      <c r="R78" s="41"/>
      <c r="S78" s="41"/>
    </row>
    <row r="79" ht="22.5" customHeight="1">
      <c r="A79" s="41" t="s">
        <v>8755</v>
      </c>
      <c r="B79" s="41" t="s">
        <v>8783</v>
      </c>
      <c r="C79" s="41" t="s">
        <v>8854</v>
      </c>
      <c r="D79" s="46" t="s">
        <v>8888</v>
      </c>
      <c r="E79" s="41" t="s">
        <v>8890</v>
      </c>
      <c r="F79" s="41" t="s">
        <v>8795</v>
      </c>
      <c r="G79" s="41"/>
      <c r="H79" s="41"/>
      <c r="I79" s="41"/>
      <c r="J79" s="41"/>
      <c r="K79" s="41"/>
      <c r="L79" s="41"/>
      <c r="M79" s="41"/>
      <c r="N79" s="41"/>
      <c r="O79" s="41"/>
      <c r="P79" s="41"/>
      <c r="Q79" s="41"/>
      <c r="R79" s="41"/>
      <c r="S79" s="41"/>
    </row>
    <row r="80" ht="22.5" customHeight="1">
      <c r="A80" s="41" t="s">
        <v>8750</v>
      </c>
      <c r="B80" s="41" t="s">
        <v>8783</v>
      </c>
      <c r="C80" s="41" t="s">
        <v>8784</v>
      </c>
      <c r="D80" s="46" t="s">
        <v>8891</v>
      </c>
      <c r="E80" s="41" t="s">
        <v>8892</v>
      </c>
      <c r="F80" s="41" t="s">
        <v>8893</v>
      </c>
      <c r="G80" s="41"/>
      <c r="H80" s="41"/>
      <c r="I80" s="41"/>
      <c r="J80" s="41"/>
      <c r="K80" s="41"/>
      <c r="L80" s="41"/>
      <c r="M80" s="41"/>
      <c r="N80" s="41"/>
      <c r="O80" s="41"/>
      <c r="P80" s="41"/>
      <c r="Q80" s="41"/>
      <c r="R80" s="41"/>
      <c r="S80" s="41"/>
    </row>
    <row r="81" ht="22.5" customHeight="1">
      <c r="A81" s="41" t="s">
        <v>8755</v>
      </c>
      <c r="B81" s="41" t="s">
        <v>8783</v>
      </c>
      <c r="C81" s="41" t="s">
        <v>8784</v>
      </c>
      <c r="D81" s="46" t="s">
        <v>8891</v>
      </c>
      <c r="E81" s="41" t="s">
        <v>8894</v>
      </c>
      <c r="F81" s="41" t="s">
        <v>8893</v>
      </c>
      <c r="G81" s="41"/>
      <c r="H81" s="41"/>
      <c r="I81" s="41"/>
      <c r="J81" s="41"/>
      <c r="K81" s="41"/>
      <c r="L81" s="41"/>
      <c r="M81" s="41"/>
      <c r="N81" s="41"/>
      <c r="O81" s="41"/>
      <c r="P81" s="41"/>
      <c r="Q81" s="41"/>
      <c r="R81" s="41"/>
      <c r="S81" s="41"/>
    </row>
    <row r="82" ht="22.5" customHeight="1">
      <c r="A82" s="41" t="s">
        <v>8750</v>
      </c>
      <c r="B82" s="41" t="s">
        <v>8764</v>
      </c>
      <c r="C82" s="41" t="s">
        <v>8773</v>
      </c>
      <c r="D82" s="46" t="s">
        <v>8895</v>
      </c>
      <c r="E82" s="41" t="s">
        <v>8896</v>
      </c>
      <c r="F82" s="41" t="s">
        <v>16</v>
      </c>
      <c r="G82" s="41"/>
      <c r="H82" s="41"/>
      <c r="I82" s="41"/>
      <c r="J82" s="41"/>
      <c r="K82" s="41"/>
      <c r="L82" s="41"/>
      <c r="M82" s="41"/>
      <c r="N82" s="41"/>
      <c r="O82" s="41"/>
      <c r="P82" s="41"/>
      <c r="Q82" s="41"/>
      <c r="R82" s="41"/>
      <c r="S82" s="41"/>
    </row>
    <row r="83" ht="22.5" customHeight="1">
      <c r="A83" s="41" t="s">
        <v>8755</v>
      </c>
      <c r="B83" s="41" t="s">
        <v>8764</v>
      </c>
      <c r="C83" s="41" t="s">
        <v>8773</v>
      </c>
      <c r="D83" s="46" t="s">
        <v>8895</v>
      </c>
      <c r="E83" s="41" t="s">
        <v>8897</v>
      </c>
      <c r="F83" s="41" t="s">
        <v>16</v>
      </c>
      <c r="G83" s="41"/>
      <c r="H83" s="41"/>
      <c r="I83" s="41"/>
      <c r="J83" s="41"/>
      <c r="K83" s="41"/>
      <c r="L83" s="41"/>
      <c r="M83" s="41"/>
      <c r="N83" s="41"/>
      <c r="O83" s="41"/>
      <c r="P83" s="41"/>
      <c r="Q83" s="41"/>
      <c r="R83" s="41"/>
      <c r="S83" s="41"/>
    </row>
    <row r="84" ht="22.5" customHeight="1">
      <c r="A84" s="41" t="s">
        <v>8750</v>
      </c>
      <c r="B84" s="41" t="s">
        <v>8861</v>
      </c>
      <c r="C84" s="41" t="s">
        <v>8773</v>
      </c>
      <c r="D84" s="46" t="s">
        <v>8898</v>
      </c>
      <c r="E84" s="41" t="s">
        <v>8899</v>
      </c>
      <c r="F84" s="41" t="s">
        <v>8795</v>
      </c>
      <c r="G84" s="41"/>
      <c r="H84" s="41"/>
      <c r="I84" s="41"/>
      <c r="J84" s="41"/>
      <c r="K84" s="41"/>
      <c r="L84" s="41"/>
      <c r="M84" s="41"/>
      <c r="N84" s="41"/>
      <c r="O84" s="41"/>
      <c r="P84" s="41"/>
      <c r="Q84" s="41"/>
      <c r="R84" s="41"/>
      <c r="S84" s="41"/>
    </row>
    <row r="85" ht="22.5" customHeight="1">
      <c r="A85" s="41" t="s">
        <v>8755</v>
      </c>
      <c r="B85" s="41" t="s">
        <v>8861</v>
      </c>
      <c r="C85" s="41" t="s">
        <v>8773</v>
      </c>
      <c r="D85" s="46" t="s">
        <v>8898</v>
      </c>
      <c r="E85" s="41" t="s">
        <v>8900</v>
      </c>
      <c r="F85" s="41" t="s">
        <v>8795</v>
      </c>
      <c r="G85" s="41"/>
      <c r="H85" s="41"/>
      <c r="I85" s="41"/>
      <c r="J85" s="41"/>
      <c r="K85" s="41"/>
      <c r="L85" s="41"/>
      <c r="M85" s="41"/>
      <c r="N85" s="41"/>
      <c r="O85" s="41"/>
      <c r="P85" s="41"/>
      <c r="Q85" s="41"/>
      <c r="R85" s="41"/>
      <c r="S85" s="41"/>
    </row>
    <row r="86" ht="22.5" customHeight="1">
      <c r="A86" s="41" t="s">
        <v>8750</v>
      </c>
      <c r="B86" s="41" t="s">
        <v>8764</v>
      </c>
      <c r="C86" s="41" t="s">
        <v>8773</v>
      </c>
      <c r="D86" s="46" t="s">
        <v>8901</v>
      </c>
      <c r="E86" s="41" t="s">
        <v>8902</v>
      </c>
      <c r="F86" s="41" t="s">
        <v>16</v>
      </c>
      <c r="G86" s="41"/>
      <c r="H86" s="41"/>
      <c r="I86" s="41"/>
      <c r="J86" s="41"/>
      <c r="K86" s="41"/>
      <c r="L86" s="41"/>
      <c r="M86" s="41"/>
      <c r="N86" s="41"/>
      <c r="O86" s="41"/>
      <c r="P86" s="41"/>
      <c r="Q86" s="41"/>
      <c r="R86" s="41"/>
      <c r="S86" s="41"/>
    </row>
    <row r="87" ht="22.5" customHeight="1">
      <c r="A87" s="41" t="s">
        <v>8755</v>
      </c>
      <c r="B87" s="41" t="s">
        <v>8764</v>
      </c>
      <c r="C87" s="41" t="s">
        <v>8773</v>
      </c>
      <c r="D87" s="46" t="s">
        <v>8901</v>
      </c>
      <c r="E87" s="41" t="s">
        <v>8903</v>
      </c>
      <c r="F87" s="41" t="s">
        <v>16</v>
      </c>
      <c r="G87" s="41"/>
      <c r="H87" s="41"/>
      <c r="I87" s="41"/>
      <c r="J87" s="41"/>
      <c r="K87" s="41"/>
      <c r="L87" s="41"/>
      <c r="M87" s="41"/>
      <c r="N87" s="41"/>
      <c r="O87" s="41"/>
      <c r="P87" s="41"/>
      <c r="Q87" s="41"/>
      <c r="R87" s="41"/>
      <c r="S87" s="41"/>
    </row>
    <row r="88" ht="22.5" customHeight="1">
      <c r="A88" s="41" t="s">
        <v>8750</v>
      </c>
      <c r="B88" s="41" t="s">
        <v>8764</v>
      </c>
      <c r="C88" s="41" t="s">
        <v>8773</v>
      </c>
      <c r="D88" s="46" t="s">
        <v>8904</v>
      </c>
      <c r="E88" s="41" t="s">
        <v>8905</v>
      </c>
      <c r="F88" s="41" t="s">
        <v>8795</v>
      </c>
      <c r="G88" s="41"/>
      <c r="H88" s="41"/>
      <c r="I88" s="41"/>
      <c r="J88" s="41"/>
      <c r="K88" s="41"/>
      <c r="L88" s="41"/>
      <c r="M88" s="41"/>
      <c r="N88" s="41"/>
      <c r="O88" s="41"/>
      <c r="P88" s="41"/>
      <c r="Q88" s="41"/>
      <c r="R88" s="41"/>
      <c r="S88" s="41"/>
    </row>
    <row r="89" ht="22.5" customHeight="1">
      <c r="A89" s="41" t="s">
        <v>8755</v>
      </c>
      <c r="B89" s="41" t="s">
        <v>8764</v>
      </c>
      <c r="C89" s="41" t="s">
        <v>8773</v>
      </c>
      <c r="D89" s="46" t="s">
        <v>8904</v>
      </c>
      <c r="E89" s="41" t="s">
        <v>8906</v>
      </c>
      <c r="F89" s="41" t="s">
        <v>8795</v>
      </c>
      <c r="G89" s="41"/>
      <c r="H89" s="41"/>
      <c r="I89" s="41"/>
      <c r="J89" s="41"/>
      <c r="K89" s="41"/>
      <c r="L89" s="41"/>
      <c r="M89" s="41"/>
      <c r="N89" s="41"/>
      <c r="O89" s="41"/>
      <c r="P89" s="41"/>
      <c r="Q89" s="41"/>
      <c r="R89" s="41"/>
      <c r="S89" s="41"/>
    </row>
    <row r="90" ht="22.5" customHeight="1">
      <c r="A90" s="41" t="s">
        <v>8750</v>
      </c>
      <c r="B90" s="41" t="s">
        <v>8828</v>
      </c>
      <c r="C90" s="41" t="s">
        <v>8907</v>
      </c>
      <c r="D90" s="46" t="s">
        <v>8908</v>
      </c>
      <c r="E90" s="41" t="s">
        <v>8909</v>
      </c>
      <c r="F90" s="41" t="s">
        <v>16</v>
      </c>
      <c r="G90" s="41"/>
      <c r="H90" s="41"/>
      <c r="I90" s="41"/>
      <c r="J90" s="41"/>
      <c r="K90" s="41"/>
      <c r="L90" s="41"/>
      <c r="M90" s="41"/>
      <c r="N90" s="41"/>
      <c r="O90" s="41"/>
      <c r="P90" s="41"/>
      <c r="Q90" s="41"/>
      <c r="R90" s="41"/>
      <c r="S90" s="41"/>
    </row>
    <row r="91" ht="22.5" customHeight="1">
      <c r="A91" s="41" t="s">
        <v>8755</v>
      </c>
      <c r="B91" s="41" t="s">
        <v>8828</v>
      </c>
      <c r="C91" s="41" t="s">
        <v>8907</v>
      </c>
      <c r="D91" s="46" t="s">
        <v>8908</v>
      </c>
      <c r="E91" s="41" t="s">
        <v>8910</v>
      </c>
      <c r="F91" s="41" t="s">
        <v>16</v>
      </c>
      <c r="G91" s="41"/>
      <c r="H91" s="41"/>
      <c r="I91" s="41"/>
      <c r="J91" s="41"/>
      <c r="K91" s="41"/>
      <c r="L91" s="41"/>
      <c r="M91" s="41"/>
      <c r="N91" s="41"/>
      <c r="O91" s="41"/>
      <c r="P91" s="41"/>
      <c r="Q91" s="41"/>
      <c r="R91" s="41"/>
      <c r="S91" s="41"/>
    </row>
    <row r="92" ht="22.5" customHeight="1">
      <c r="A92" s="41" t="s">
        <v>8750</v>
      </c>
      <c r="B92" s="41" t="s">
        <v>8828</v>
      </c>
      <c r="C92" s="41" t="s">
        <v>8829</v>
      </c>
      <c r="D92" s="46" t="s">
        <v>8911</v>
      </c>
      <c r="E92" s="41" t="s">
        <v>8912</v>
      </c>
      <c r="F92" s="41" t="s">
        <v>8776</v>
      </c>
      <c r="G92" s="41"/>
      <c r="H92" s="41"/>
      <c r="I92" s="41"/>
      <c r="J92" s="41"/>
      <c r="K92" s="41"/>
      <c r="L92" s="41"/>
      <c r="M92" s="41"/>
      <c r="N92" s="41"/>
      <c r="O92" s="41"/>
      <c r="P92" s="41"/>
      <c r="Q92" s="41"/>
      <c r="R92" s="41"/>
      <c r="S92" s="41"/>
    </row>
    <row r="93" ht="22.5" customHeight="1">
      <c r="A93" s="41" t="s">
        <v>8755</v>
      </c>
      <c r="B93" s="41" t="s">
        <v>8828</v>
      </c>
      <c r="C93" s="41" t="s">
        <v>8829</v>
      </c>
      <c r="D93" s="46" t="s">
        <v>8911</v>
      </c>
      <c r="E93" s="41" t="s">
        <v>8913</v>
      </c>
      <c r="F93" s="41" t="s">
        <v>8776</v>
      </c>
      <c r="G93" s="41"/>
      <c r="H93" s="41"/>
      <c r="I93" s="41"/>
      <c r="J93" s="41"/>
      <c r="K93" s="41"/>
      <c r="L93" s="41"/>
      <c r="M93" s="41"/>
      <c r="N93" s="41"/>
      <c r="O93" s="41"/>
      <c r="P93" s="41"/>
      <c r="Q93" s="41"/>
      <c r="R93" s="41"/>
      <c r="S93" s="41"/>
    </row>
    <row r="94" ht="22.5" customHeight="1">
      <c r="A94" s="41" t="s">
        <v>8750</v>
      </c>
      <c r="B94" s="41" t="s">
        <v>8828</v>
      </c>
      <c r="C94" s="41" t="s">
        <v>8829</v>
      </c>
      <c r="D94" s="46" t="s">
        <v>8914</v>
      </c>
      <c r="E94" s="41" t="s">
        <v>8915</v>
      </c>
      <c r="F94" s="41" t="s">
        <v>8795</v>
      </c>
      <c r="G94" s="41"/>
      <c r="H94" s="41"/>
      <c r="I94" s="41"/>
      <c r="J94" s="41"/>
      <c r="K94" s="41"/>
      <c r="L94" s="41"/>
      <c r="M94" s="41"/>
      <c r="N94" s="41"/>
      <c r="O94" s="41"/>
      <c r="P94" s="41"/>
      <c r="Q94" s="41"/>
      <c r="R94" s="41"/>
      <c r="S94" s="41"/>
    </row>
    <row r="95" ht="22.5" customHeight="1">
      <c r="A95" s="41" t="s">
        <v>8755</v>
      </c>
      <c r="B95" s="41" t="s">
        <v>8828</v>
      </c>
      <c r="C95" s="41" t="s">
        <v>8829</v>
      </c>
      <c r="D95" s="46" t="s">
        <v>8914</v>
      </c>
      <c r="E95" s="41" t="s">
        <v>8916</v>
      </c>
      <c r="F95" s="41" t="s">
        <v>8795</v>
      </c>
      <c r="G95" s="41"/>
      <c r="H95" s="41"/>
      <c r="I95" s="41"/>
      <c r="J95" s="41"/>
      <c r="K95" s="41"/>
      <c r="L95" s="41"/>
      <c r="M95" s="41"/>
      <c r="N95" s="41"/>
      <c r="O95" s="41"/>
      <c r="P95" s="41"/>
      <c r="Q95" s="41"/>
      <c r="R95" s="41"/>
      <c r="S95" s="41"/>
    </row>
    <row r="96" ht="22.5" customHeight="1">
      <c r="A96" s="41" t="s">
        <v>8750</v>
      </c>
      <c r="B96" s="41" t="s">
        <v>8828</v>
      </c>
      <c r="C96" s="41" t="s">
        <v>8829</v>
      </c>
      <c r="D96" s="46" t="s">
        <v>8917</v>
      </c>
      <c r="E96" s="41" t="s">
        <v>8918</v>
      </c>
      <c r="F96" s="41" t="s">
        <v>16</v>
      </c>
      <c r="G96" s="41"/>
      <c r="H96" s="41"/>
      <c r="I96" s="41"/>
      <c r="J96" s="41"/>
      <c r="K96" s="41"/>
      <c r="L96" s="41"/>
      <c r="M96" s="41"/>
      <c r="N96" s="41"/>
      <c r="O96" s="41"/>
      <c r="P96" s="41"/>
      <c r="Q96" s="41"/>
      <c r="R96" s="41"/>
      <c r="S96" s="41"/>
    </row>
    <row r="97" ht="22.5" customHeight="1">
      <c r="A97" s="41" t="s">
        <v>8755</v>
      </c>
      <c r="B97" s="41" t="s">
        <v>8828</v>
      </c>
      <c r="C97" s="41" t="s">
        <v>8829</v>
      </c>
      <c r="D97" s="46" t="s">
        <v>8917</v>
      </c>
      <c r="E97" s="41" t="s">
        <v>8919</v>
      </c>
      <c r="F97" s="41" t="s">
        <v>16</v>
      </c>
      <c r="G97" s="41"/>
      <c r="H97" s="41"/>
      <c r="I97" s="41"/>
      <c r="J97" s="41"/>
      <c r="K97" s="41"/>
      <c r="L97" s="41"/>
      <c r="M97" s="41"/>
      <c r="N97" s="41"/>
      <c r="O97" s="41"/>
      <c r="P97" s="41"/>
      <c r="Q97" s="41"/>
      <c r="R97" s="41"/>
      <c r="S97" s="41"/>
    </row>
    <row r="98" ht="22.5" customHeight="1">
      <c r="A98" s="41" t="s">
        <v>8750</v>
      </c>
      <c r="B98" s="41" t="s">
        <v>8828</v>
      </c>
      <c r="C98" s="41" t="s">
        <v>8829</v>
      </c>
      <c r="D98" s="46" t="s">
        <v>8920</v>
      </c>
      <c r="E98" s="41" t="s">
        <v>8921</v>
      </c>
      <c r="F98" s="41" t="s">
        <v>16</v>
      </c>
      <c r="G98" s="41"/>
      <c r="H98" s="41"/>
      <c r="I98" s="41"/>
      <c r="J98" s="41"/>
      <c r="K98" s="41"/>
      <c r="L98" s="41"/>
      <c r="M98" s="41"/>
      <c r="N98" s="41"/>
      <c r="O98" s="41"/>
      <c r="P98" s="41"/>
      <c r="Q98" s="41"/>
      <c r="R98" s="41"/>
      <c r="S98" s="41"/>
    </row>
    <row r="99" ht="22.5" customHeight="1">
      <c r="A99" s="41" t="s">
        <v>8755</v>
      </c>
      <c r="B99" s="41" t="s">
        <v>8828</v>
      </c>
      <c r="C99" s="41" t="s">
        <v>8829</v>
      </c>
      <c r="D99" s="46" t="s">
        <v>8920</v>
      </c>
      <c r="E99" s="41" t="s">
        <v>8922</v>
      </c>
      <c r="F99" s="41" t="s">
        <v>16</v>
      </c>
      <c r="G99" s="41"/>
      <c r="H99" s="41"/>
      <c r="I99" s="41"/>
      <c r="J99" s="41"/>
      <c r="K99" s="41"/>
      <c r="L99" s="41"/>
      <c r="M99" s="41"/>
      <c r="N99" s="41"/>
      <c r="O99" s="41"/>
      <c r="P99" s="41"/>
      <c r="Q99" s="41"/>
      <c r="R99" s="41"/>
      <c r="S99" s="41"/>
    </row>
    <row r="100" ht="22.5" customHeight="1">
      <c r="A100" s="41" t="s">
        <v>8750</v>
      </c>
      <c r="B100" s="41" t="s">
        <v>8764</v>
      </c>
      <c r="C100" s="41" t="s">
        <v>8773</v>
      </c>
      <c r="D100" s="46" t="s">
        <v>8923</v>
      </c>
      <c r="E100" s="41" t="s">
        <v>8924</v>
      </c>
      <c r="F100" s="41" t="s">
        <v>16</v>
      </c>
      <c r="G100" s="41"/>
      <c r="H100" s="41"/>
      <c r="I100" s="41"/>
      <c r="J100" s="41"/>
      <c r="K100" s="41"/>
      <c r="L100" s="41"/>
      <c r="M100" s="41"/>
      <c r="N100" s="41"/>
      <c r="O100" s="41"/>
      <c r="P100" s="41"/>
      <c r="Q100" s="41"/>
      <c r="R100" s="41"/>
      <c r="S100" s="41"/>
    </row>
    <row r="101" ht="22.5" customHeight="1">
      <c r="A101" s="41" t="s">
        <v>8755</v>
      </c>
      <c r="B101" s="41" t="s">
        <v>8764</v>
      </c>
      <c r="C101" s="41" t="s">
        <v>8773</v>
      </c>
      <c r="D101" s="46" t="s">
        <v>8923</v>
      </c>
      <c r="E101" s="41" t="s">
        <v>8925</v>
      </c>
      <c r="F101" s="41" t="s">
        <v>16</v>
      </c>
      <c r="G101" s="41"/>
      <c r="H101" s="41"/>
      <c r="I101" s="41"/>
      <c r="J101" s="41"/>
      <c r="K101" s="41"/>
      <c r="L101" s="41"/>
      <c r="M101" s="41"/>
      <c r="N101" s="41"/>
      <c r="O101" s="41"/>
      <c r="P101" s="41"/>
      <c r="Q101" s="41"/>
      <c r="R101" s="41"/>
      <c r="S101" s="41"/>
    </row>
    <row r="102" ht="22.5" customHeight="1">
      <c r="A102" s="41" t="s">
        <v>8750</v>
      </c>
      <c r="B102" s="41" t="s">
        <v>8828</v>
      </c>
      <c r="C102" s="41" t="s">
        <v>8829</v>
      </c>
      <c r="D102" s="46" t="s">
        <v>8926</v>
      </c>
      <c r="E102" s="41" t="s">
        <v>8927</v>
      </c>
      <c r="F102" s="41" t="s">
        <v>8795</v>
      </c>
      <c r="G102" s="41"/>
      <c r="H102" s="41"/>
      <c r="I102" s="41"/>
      <c r="J102" s="41"/>
      <c r="K102" s="41"/>
      <c r="L102" s="41"/>
      <c r="M102" s="41"/>
      <c r="N102" s="41"/>
      <c r="O102" s="41"/>
      <c r="P102" s="41"/>
      <c r="Q102" s="41"/>
      <c r="R102" s="41"/>
      <c r="S102" s="41"/>
    </row>
    <row r="103" ht="22.5" customHeight="1">
      <c r="A103" s="41" t="s">
        <v>8755</v>
      </c>
      <c r="B103" s="41" t="s">
        <v>8828</v>
      </c>
      <c r="C103" s="41" t="s">
        <v>8829</v>
      </c>
      <c r="D103" s="46" t="s">
        <v>8926</v>
      </c>
      <c r="E103" s="41" t="s">
        <v>8928</v>
      </c>
      <c r="F103" s="41" t="s">
        <v>8795</v>
      </c>
      <c r="G103" s="41"/>
      <c r="H103" s="41"/>
      <c r="I103" s="41"/>
      <c r="J103" s="41"/>
      <c r="K103" s="41"/>
      <c r="L103" s="41"/>
      <c r="M103" s="41"/>
      <c r="N103" s="41"/>
      <c r="O103" s="41"/>
      <c r="P103" s="41"/>
      <c r="Q103" s="41"/>
      <c r="R103" s="41"/>
      <c r="S103" s="41"/>
    </row>
    <row r="104" ht="22.5" customHeight="1">
      <c r="A104" s="41" t="s">
        <v>8750</v>
      </c>
      <c r="B104" s="41" t="s">
        <v>8783</v>
      </c>
      <c r="C104" s="41" t="s">
        <v>8854</v>
      </c>
      <c r="D104" s="46" t="s">
        <v>8929</v>
      </c>
      <c r="E104" s="41" t="s">
        <v>8930</v>
      </c>
      <c r="F104" s="41" t="s">
        <v>8845</v>
      </c>
      <c r="G104" s="41"/>
      <c r="H104" s="41"/>
      <c r="I104" s="41"/>
      <c r="J104" s="41"/>
      <c r="K104" s="41"/>
      <c r="L104" s="41"/>
      <c r="M104" s="41"/>
      <c r="N104" s="41"/>
      <c r="O104" s="41"/>
      <c r="P104" s="41"/>
      <c r="Q104" s="41"/>
      <c r="R104" s="41"/>
      <c r="S104" s="41"/>
    </row>
    <row r="105" ht="22.5" customHeight="1">
      <c r="A105" s="41" t="s">
        <v>8755</v>
      </c>
      <c r="B105" s="41" t="s">
        <v>8783</v>
      </c>
      <c r="C105" s="41" t="s">
        <v>8854</v>
      </c>
      <c r="D105" s="46" t="s">
        <v>8929</v>
      </c>
      <c r="E105" s="41" t="s">
        <v>8931</v>
      </c>
      <c r="F105" s="41" t="s">
        <v>8845</v>
      </c>
      <c r="G105" s="41"/>
      <c r="H105" s="41"/>
      <c r="I105" s="41"/>
      <c r="J105" s="41"/>
      <c r="K105" s="41"/>
      <c r="L105" s="41"/>
      <c r="M105" s="41"/>
      <c r="N105" s="41"/>
      <c r="O105" s="41"/>
      <c r="P105" s="41"/>
      <c r="Q105" s="41"/>
      <c r="R105" s="41"/>
      <c r="S105" s="41"/>
    </row>
    <row r="106" ht="22.5" customHeight="1">
      <c r="A106" s="41" t="s">
        <v>8750</v>
      </c>
      <c r="B106" s="41" t="s">
        <v>8783</v>
      </c>
      <c r="C106" s="41" t="s">
        <v>8854</v>
      </c>
      <c r="D106" s="46" t="s">
        <v>8932</v>
      </c>
      <c r="E106" s="41" t="s">
        <v>8933</v>
      </c>
      <c r="F106" s="41" t="s">
        <v>8795</v>
      </c>
      <c r="G106" s="41"/>
      <c r="H106" s="41"/>
      <c r="I106" s="41"/>
      <c r="J106" s="41"/>
      <c r="K106" s="41"/>
      <c r="L106" s="41"/>
      <c r="M106" s="41"/>
      <c r="N106" s="41"/>
      <c r="O106" s="41"/>
      <c r="P106" s="41"/>
      <c r="Q106" s="41"/>
      <c r="R106" s="41"/>
      <c r="S106" s="41"/>
    </row>
    <row r="107" ht="22.5" customHeight="1">
      <c r="A107" s="41" t="s">
        <v>8755</v>
      </c>
      <c r="B107" s="41" t="s">
        <v>8783</v>
      </c>
      <c r="C107" s="41" t="s">
        <v>8854</v>
      </c>
      <c r="D107" s="46" t="s">
        <v>8932</v>
      </c>
      <c r="E107" s="41" t="s">
        <v>8934</v>
      </c>
      <c r="F107" s="41" t="s">
        <v>8795</v>
      </c>
      <c r="G107" s="41"/>
      <c r="H107" s="41"/>
      <c r="I107" s="41"/>
      <c r="J107" s="41"/>
      <c r="K107" s="41"/>
      <c r="L107" s="41"/>
      <c r="M107" s="41"/>
      <c r="N107" s="41"/>
      <c r="O107" s="41"/>
      <c r="P107" s="41"/>
      <c r="Q107" s="41"/>
      <c r="R107" s="41"/>
      <c r="S107" s="41"/>
    </row>
    <row r="108" ht="22.5" customHeight="1">
      <c r="A108" s="41" t="s">
        <v>8750</v>
      </c>
      <c r="B108" s="41" t="s">
        <v>8783</v>
      </c>
      <c r="C108" s="41" t="s">
        <v>8935</v>
      </c>
      <c r="D108" s="46" t="s">
        <v>8936</v>
      </c>
      <c r="E108" s="41" t="s">
        <v>8937</v>
      </c>
      <c r="F108" s="41" t="s">
        <v>8795</v>
      </c>
      <c r="G108" s="41"/>
      <c r="H108" s="41"/>
      <c r="I108" s="41"/>
      <c r="J108" s="41"/>
      <c r="K108" s="41"/>
      <c r="L108" s="41"/>
      <c r="M108" s="41"/>
      <c r="N108" s="41"/>
      <c r="O108" s="41"/>
      <c r="P108" s="41"/>
      <c r="Q108" s="41"/>
      <c r="R108" s="41"/>
      <c r="S108" s="41"/>
    </row>
    <row r="109" ht="22.5" customHeight="1">
      <c r="A109" s="41" t="s">
        <v>8755</v>
      </c>
      <c r="B109" s="41" t="s">
        <v>8783</v>
      </c>
      <c r="C109" s="41" t="s">
        <v>8935</v>
      </c>
      <c r="D109" s="46" t="s">
        <v>8936</v>
      </c>
      <c r="E109" s="41" t="s">
        <v>8938</v>
      </c>
      <c r="F109" s="41" t="s">
        <v>8795</v>
      </c>
      <c r="G109" s="41"/>
      <c r="H109" s="41"/>
      <c r="I109" s="41"/>
      <c r="J109" s="41"/>
      <c r="K109" s="41"/>
      <c r="L109" s="41"/>
      <c r="M109" s="41"/>
      <c r="N109" s="41"/>
      <c r="O109" s="41"/>
      <c r="P109" s="41"/>
      <c r="Q109" s="41"/>
      <c r="R109" s="41"/>
      <c r="S109" s="41"/>
    </row>
    <row r="110" ht="22.5" customHeight="1">
      <c r="A110" s="41" t="s">
        <v>8750</v>
      </c>
      <c r="B110" s="41" t="s">
        <v>8783</v>
      </c>
      <c r="C110" s="41" t="s">
        <v>8935</v>
      </c>
      <c r="D110" s="46" t="s">
        <v>8939</v>
      </c>
      <c r="E110" s="41" t="s">
        <v>8940</v>
      </c>
      <c r="F110" s="41" t="s">
        <v>16</v>
      </c>
      <c r="G110" s="41"/>
      <c r="H110" s="41"/>
      <c r="I110" s="41"/>
      <c r="J110" s="41"/>
      <c r="K110" s="41"/>
      <c r="L110" s="41"/>
      <c r="M110" s="41"/>
      <c r="N110" s="41"/>
      <c r="O110" s="41"/>
      <c r="P110" s="41"/>
      <c r="Q110" s="41"/>
      <c r="R110" s="41"/>
      <c r="S110" s="41"/>
    </row>
    <row r="111" ht="22.5" customHeight="1">
      <c r="A111" s="41" t="s">
        <v>8755</v>
      </c>
      <c r="B111" s="41" t="s">
        <v>8783</v>
      </c>
      <c r="C111" s="41" t="s">
        <v>8935</v>
      </c>
      <c r="D111" s="46" t="s">
        <v>8939</v>
      </c>
      <c r="E111" s="41" t="s">
        <v>8941</v>
      </c>
      <c r="F111" s="41" t="s">
        <v>16</v>
      </c>
      <c r="G111" s="41"/>
      <c r="H111" s="41"/>
      <c r="I111" s="41"/>
      <c r="J111" s="41"/>
      <c r="K111" s="41"/>
      <c r="L111" s="41"/>
      <c r="M111" s="41"/>
      <c r="N111" s="41"/>
      <c r="O111" s="41"/>
      <c r="P111" s="41"/>
      <c r="Q111" s="41"/>
      <c r="R111" s="41"/>
      <c r="S111" s="41"/>
    </row>
    <row r="112" ht="22.5" customHeight="1">
      <c r="A112" s="41" t="s">
        <v>8750</v>
      </c>
      <c r="B112" s="41" t="s">
        <v>8783</v>
      </c>
      <c r="C112" s="41" t="s">
        <v>8854</v>
      </c>
      <c r="D112" s="46" t="s">
        <v>8942</v>
      </c>
      <c r="E112" s="41" t="s">
        <v>8943</v>
      </c>
      <c r="F112" s="41" t="s">
        <v>16</v>
      </c>
      <c r="G112" s="41"/>
      <c r="H112" s="41"/>
      <c r="I112" s="41"/>
      <c r="J112" s="41"/>
      <c r="K112" s="41"/>
      <c r="L112" s="41"/>
      <c r="M112" s="41"/>
      <c r="N112" s="41"/>
      <c r="O112" s="41"/>
      <c r="P112" s="41"/>
      <c r="Q112" s="41"/>
      <c r="R112" s="41"/>
      <c r="S112" s="41"/>
    </row>
    <row r="113" ht="22.5" customHeight="1">
      <c r="A113" s="41" t="s">
        <v>8755</v>
      </c>
      <c r="B113" s="41" t="s">
        <v>8783</v>
      </c>
      <c r="C113" s="41" t="s">
        <v>8854</v>
      </c>
      <c r="D113" s="46" t="s">
        <v>8942</v>
      </c>
      <c r="E113" s="41" t="s">
        <v>8944</v>
      </c>
      <c r="F113" s="41" t="s">
        <v>16</v>
      </c>
      <c r="G113" s="41"/>
      <c r="H113" s="41"/>
      <c r="I113" s="41"/>
      <c r="J113" s="41"/>
      <c r="K113" s="41"/>
      <c r="L113" s="41"/>
      <c r="M113" s="41"/>
      <c r="N113" s="41"/>
      <c r="O113" s="41"/>
      <c r="P113" s="41"/>
      <c r="Q113" s="41"/>
      <c r="R113" s="41"/>
      <c r="S113" s="41"/>
    </row>
    <row r="114" ht="22.5" customHeight="1">
      <c r="A114" s="41" t="s">
        <v>8750</v>
      </c>
      <c r="B114" s="41" t="s">
        <v>8783</v>
      </c>
      <c r="C114" s="41" t="s">
        <v>8854</v>
      </c>
      <c r="D114" s="46" t="s">
        <v>8945</v>
      </c>
      <c r="E114" s="41" t="s">
        <v>8946</v>
      </c>
      <c r="F114" s="41" t="s">
        <v>8776</v>
      </c>
      <c r="G114" s="41"/>
      <c r="H114" s="41"/>
      <c r="I114" s="41"/>
      <c r="J114" s="41"/>
      <c r="K114" s="41"/>
      <c r="L114" s="41"/>
      <c r="M114" s="41"/>
      <c r="N114" s="41"/>
      <c r="O114" s="41"/>
      <c r="P114" s="41"/>
      <c r="Q114" s="41"/>
      <c r="R114" s="41"/>
      <c r="S114" s="41"/>
    </row>
    <row r="115" ht="22.5" customHeight="1">
      <c r="A115" s="41" t="s">
        <v>8755</v>
      </c>
      <c r="B115" s="41" t="s">
        <v>8783</v>
      </c>
      <c r="C115" s="41" t="s">
        <v>8854</v>
      </c>
      <c r="D115" s="46" t="s">
        <v>8945</v>
      </c>
      <c r="E115" s="41" t="s">
        <v>8947</v>
      </c>
      <c r="F115" s="41" t="s">
        <v>8776</v>
      </c>
      <c r="G115" s="41"/>
      <c r="H115" s="41"/>
      <c r="I115" s="41"/>
      <c r="J115" s="41"/>
      <c r="K115" s="41"/>
      <c r="L115" s="41"/>
      <c r="M115" s="41"/>
      <c r="N115" s="41"/>
      <c r="O115" s="41"/>
      <c r="P115" s="41"/>
      <c r="Q115" s="41"/>
      <c r="R115" s="41"/>
      <c r="S115" s="41"/>
    </row>
    <row r="116" ht="22.5" customHeight="1">
      <c r="A116" s="41" t="s">
        <v>8750</v>
      </c>
      <c r="B116" s="41" t="s">
        <v>8783</v>
      </c>
      <c r="C116" s="41" t="s">
        <v>8784</v>
      </c>
      <c r="D116" s="46" t="s">
        <v>8948</v>
      </c>
      <c r="E116" s="41" t="s">
        <v>8949</v>
      </c>
      <c r="F116" s="41" t="s">
        <v>8795</v>
      </c>
      <c r="G116" s="41"/>
      <c r="H116" s="41"/>
      <c r="I116" s="41"/>
      <c r="J116" s="41"/>
      <c r="K116" s="41"/>
      <c r="L116" s="41"/>
      <c r="M116" s="41"/>
      <c r="N116" s="41"/>
      <c r="O116" s="41"/>
      <c r="P116" s="41"/>
      <c r="Q116" s="41"/>
      <c r="R116" s="41"/>
      <c r="S116" s="41"/>
    </row>
    <row r="117" ht="22.5" customHeight="1">
      <c r="A117" s="41" t="s">
        <v>8755</v>
      </c>
      <c r="B117" s="41" t="s">
        <v>8783</v>
      </c>
      <c r="C117" s="41" t="s">
        <v>8784</v>
      </c>
      <c r="D117" s="46" t="s">
        <v>8948</v>
      </c>
      <c r="E117" s="41" t="s">
        <v>8950</v>
      </c>
      <c r="F117" s="41" t="s">
        <v>8795</v>
      </c>
      <c r="G117" s="41"/>
      <c r="H117" s="41"/>
      <c r="I117" s="41"/>
      <c r="J117" s="41"/>
      <c r="K117" s="41"/>
      <c r="L117" s="41"/>
      <c r="M117" s="41"/>
      <c r="N117" s="41"/>
      <c r="O117" s="41"/>
      <c r="P117" s="41"/>
      <c r="Q117" s="41"/>
      <c r="R117" s="41"/>
      <c r="S117" s="41"/>
    </row>
    <row r="118" ht="22.5" customHeight="1">
      <c r="A118" s="41" t="s">
        <v>8750</v>
      </c>
      <c r="B118" s="41" t="s">
        <v>8783</v>
      </c>
      <c r="C118" s="41" t="s">
        <v>8784</v>
      </c>
      <c r="D118" s="46" t="s">
        <v>8951</v>
      </c>
      <c r="E118" s="41" t="s">
        <v>8952</v>
      </c>
      <c r="F118" s="41" t="s">
        <v>8795</v>
      </c>
      <c r="G118" s="41"/>
      <c r="H118" s="41"/>
      <c r="I118" s="41"/>
      <c r="J118" s="41"/>
      <c r="K118" s="41"/>
      <c r="L118" s="41"/>
      <c r="M118" s="41"/>
      <c r="N118" s="41"/>
      <c r="O118" s="41"/>
      <c r="P118" s="41"/>
      <c r="Q118" s="41"/>
      <c r="R118" s="41"/>
      <c r="S118" s="41"/>
    </row>
    <row r="119" ht="22.5" customHeight="1">
      <c r="A119" s="41" t="s">
        <v>8755</v>
      </c>
      <c r="B119" s="41" t="s">
        <v>8783</v>
      </c>
      <c r="C119" s="41" t="s">
        <v>8784</v>
      </c>
      <c r="D119" s="46" t="s">
        <v>8951</v>
      </c>
      <c r="E119" s="41" t="s">
        <v>8953</v>
      </c>
      <c r="F119" s="41" t="s">
        <v>8795</v>
      </c>
      <c r="G119" s="41"/>
      <c r="H119" s="41"/>
      <c r="I119" s="41"/>
      <c r="J119" s="41"/>
      <c r="K119" s="41"/>
      <c r="L119" s="41"/>
      <c r="M119" s="41"/>
      <c r="N119" s="41"/>
      <c r="O119" s="41"/>
      <c r="P119" s="41"/>
      <c r="Q119" s="41"/>
      <c r="R119" s="41"/>
      <c r="S119" s="41"/>
    </row>
    <row r="120" ht="22.5" customHeight="1">
      <c r="A120" s="41" t="s">
        <v>8750</v>
      </c>
      <c r="B120" s="41" t="s">
        <v>8828</v>
      </c>
      <c r="C120" s="41" t="s">
        <v>8907</v>
      </c>
      <c r="D120" s="46" t="s">
        <v>8954</v>
      </c>
      <c r="E120" s="41" t="s">
        <v>8955</v>
      </c>
      <c r="F120" s="41" t="s">
        <v>16</v>
      </c>
      <c r="G120" s="41"/>
      <c r="H120" s="41"/>
      <c r="I120" s="41"/>
      <c r="J120" s="41"/>
      <c r="K120" s="41"/>
      <c r="L120" s="41"/>
      <c r="M120" s="41"/>
      <c r="N120" s="41"/>
      <c r="O120" s="41"/>
      <c r="P120" s="41"/>
      <c r="Q120" s="41"/>
      <c r="R120" s="41"/>
      <c r="S120" s="41"/>
    </row>
    <row r="121" ht="22.5" customHeight="1">
      <c r="A121" s="41" t="s">
        <v>8755</v>
      </c>
      <c r="B121" s="41" t="s">
        <v>8828</v>
      </c>
      <c r="C121" s="41" t="s">
        <v>8907</v>
      </c>
      <c r="D121" s="46" t="s">
        <v>8954</v>
      </c>
      <c r="E121" s="41" t="s">
        <v>8956</v>
      </c>
      <c r="F121" s="41" t="s">
        <v>16</v>
      </c>
      <c r="G121" s="41"/>
      <c r="H121" s="41"/>
      <c r="I121" s="41"/>
      <c r="J121" s="41"/>
      <c r="K121" s="41"/>
      <c r="L121" s="41"/>
      <c r="M121" s="41"/>
      <c r="N121" s="41"/>
      <c r="O121" s="41"/>
      <c r="P121" s="41"/>
      <c r="Q121" s="41"/>
      <c r="R121" s="41"/>
      <c r="S121" s="41"/>
    </row>
    <row r="122" ht="22.5" customHeight="1">
      <c r="A122" s="41" t="s">
        <v>8750</v>
      </c>
      <c r="B122" s="41" t="s">
        <v>8783</v>
      </c>
      <c r="C122" s="41" t="s">
        <v>8935</v>
      </c>
      <c r="D122" s="46" t="s">
        <v>8957</v>
      </c>
      <c r="E122" s="41" t="s">
        <v>8958</v>
      </c>
      <c r="F122" s="41" t="s">
        <v>8795</v>
      </c>
      <c r="G122" s="41"/>
      <c r="H122" s="41"/>
      <c r="I122" s="41"/>
      <c r="J122" s="41"/>
      <c r="K122" s="41"/>
      <c r="L122" s="41"/>
      <c r="M122" s="41"/>
      <c r="N122" s="41"/>
      <c r="O122" s="41"/>
      <c r="P122" s="41"/>
      <c r="Q122" s="41"/>
      <c r="R122" s="41"/>
      <c r="S122" s="41"/>
    </row>
    <row r="123" ht="22.5" customHeight="1">
      <c r="A123" s="41" t="s">
        <v>8755</v>
      </c>
      <c r="B123" s="41" t="s">
        <v>8783</v>
      </c>
      <c r="C123" s="41" t="s">
        <v>8935</v>
      </c>
      <c r="D123" s="46" t="s">
        <v>8957</v>
      </c>
      <c r="E123" s="41" t="s">
        <v>8959</v>
      </c>
      <c r="F123" s="41" t="s">
        <v>8795</v>
      </c>
      <c r="G123" s="41"/>
      <c r="H123" s="41"/>
      <c r="I123" s="41"/>
      <c r="J123" s="41"/>
      <c r="K123" s="41"/>
      <c r="L123" s="41"/>
      <c r="M123" s="41"/>
      <c r="N123" s="41"/>
      <c r="O123" s="41"/>
      <c r="P123" s="41"/>
      <c r="Q123" s="41"/>
      <c r="R123" s="41"/>
      <c r="S123" s="41"/>
    </row>
    <row r="124" ht="22.5" customHeight="1">
      <c r="A124" s="41" t="s">
        <v>8750</v>
      </c>
      <c r="B124" s="41" t="s">
        <v>8783</v>
      </c>
      <c r="C124" s="41" t="s">
        <v>8935</v>
      </c>
      <c r="D124" s="46" t="s">
        <v>8960</v>
      </c>
      <c r="E124" s="41" t="s">
        <v>8961</v>
      </c>
      <c r="F124" s="41" t="s">
        <v>8893</v>
      </c>
      <c r="G124" s="41"/>
      <c r="H124" s="41"/>
      <c r="I124" s="41"/>
      <c r="J124" s="41"/>
      <c r="K124" s="41"/>
      <c r="L124" s="41"/>
      <c r="M124" s="41"/>
      <c r="N124" s="41"/>
      <c r="O124" s="41"/>
      <c r="P124" s="41"/>
      <c r="Q124" s="41"/>
      <c r="R124" s="41"/>
      <c r="S124" s="41"/>
    </row>
    <row r="125" ht="22.5" customHeight="1">
      <c r="A125" s="41" t="s">
        <v>8755</v>
      </c>
      <c r="B125" s="41" t="s">
        <v>8783</v>
      </c>
      <c r="C125" s="41" t="s">
        <v>8935</v>
      </c>
      <c r="D125" s="46" t="s">
        <v>8960</v>
      </c>
      <c r="E125" s="41" t="s">
        <v>8962</v>
      </c>
      <c r="F125" s="41" t="s">
        <v>8893</v>
      </c>
      <c r="G125" s="41"/>
      <c r="H125" s="41"/>
      <c r="I125" s="41"/>
      <c r="J125" s="41"/>
      <c r="K125" s="41"/>
      <c r="L125" s="41"/>
      <c r="M125" s="41"/>
      <c r="N125" s="41"/>
      <c r="O125" s="41"/>
      <c r="P125" s="41"/>
      <c r="Q125" s="41"/>
      <c r="R125" s="41"/>
      <c r="S125" s="41"/>
    </row>
    <row r="126" ht="22.5" customHeight="1">
      <c r="A126" s="41" t="s">
        <v>8750</v>
      </c>
      <c r="B126" s="41" t="s">
        <v>8783</v>
      </c>
      <c r="C126" s="41" t="s">
        <v>8935</v>
      </c>
      <c r="D126" s="46" t="s">
        <v>8960</v>
      </c>
      <c r="E126" s="41" t="s">
        <v>8963</v>
      </c>
      <c r="F126" s="41" t="s">
        <v>8776</v>
      </c>
      <c r="G126" s="41"/>
      <c r="H126" s="41"/>
      <c r="I126" s="41"/>
      <c r="J126" s="41"/>
      <c r="K126" s="41"/>
      <c r="L126" s="41"/>
      <c r="M126" s="41"/>
      <c r="N126" s="41"/>
      <c r="O126" s="41"/>
      <c r="P126" s="41"/>
      <c r="Q126" s="41"/>
      <c r="R126" s="41"/>
      <c r="S126" s="41"/>
    </row>
    <row r="127" ht="22.5" customHeight="1">
      <c r="A127" s="41" t="s">
        <v>8755</v>
      </c>
      <c r="B127" s="41" t="s">
        <v>8783</v>
      </c>
      <c r="C127" s="41" t="s">
        <v>8935</v>
      </c>
      <c r="D127" s="46" t="s">
        <v>8960</v>
      </c>
      <c r="E127" s="41" t="s">
        <v>8964</v>
      </c>
      <c r="F127" s="41" t="s">
        <v>8776</v>
      </c>
      <c r="G127" s="41"/>
      <c r="H127" s="41"/>
      <c r="I127" s="41"/>
      <c r="J127" s="41"/>
      <c r="K127" s="41"/>
      <c r="L127" s="41"/>
      <c r="M127" s="41"/>
      <c r="N127" s="41"/>
      <c r="O127" s="41"/>
      <c r="P127" s="41"/>
      <c r="Q127" s="41"/>
      <c r="R127" s="41"/>
      <c r="S127" s="41"/>
    </row>
    <row r="128" ht="22.5" customHeight="1">
      <c r="A128" s="41" t="s">
        <v>8750</v>
      </c>
      <c r="B128" s="41" t="s">
        <v>8861</v>
      </c>
      <c r="C128" s="41" t="s">
        <v>8773</v>
      </c>
      <c r="D128" s="46" t="s">
        <v>8965</v>
      </c>
      <c r="E128" s="41" t="s">
        <v>8966</v>
      </c>
      <c r="F128" s="41" t="s">
        <v>8893</v>
      </c>
      <c r="G128" s="41"/>
      <c r="H128" s="41"/>
      <c r="I128" s="41"/>
      <c r="J128" s="41"/>
      <c r="K128" s="41"/>
      <c r="L128" s="41"/>
      <c r="M128" s="41"/>
      <c r="N128" s="41"/>
      <c r="O128" s="41"/>
      <c r="P128" s="41"/>
      <c r="Q128" s="41"/>
      <c r="R128" s="41"/>
      <c r="S128" s="41"/>
    </row>
    <row r="129" ht="22.5" customHeight="1">
      <c r="A129" s="41" t="s">
        <v>8755</v>
      </c>
      <c r="B129" s="41" t="s">
        <v>8861</v>
      </c>
      <c r="C129" s="41" t="s">
        <v>8773</v>
      </c>
      <c r="D129" s="46" t="s">
        <v>8965</v>
      </c>
      <c r="E129" s="41" t="s">
        <v>8967</v>
      </c>
      <c r="F129" s="41" t="s">
        <v>8893</v>
      </c>
      <c r="G129" s="41"/>
      <c r="H129" s="41"/>
      <c r="I129" s="41"/>
      <c r="J129" s="41"/>
      <c r="K129" s="41"/>
      <c r="L129" s="41"/>
      <c r="M129" s="41"/>
      <c r="N129" s="41"/>
      <c r="O129" s="41"/>
      <c r="P129" s="41"/>
      <c r="Q129" s="41"/>
      <c r="R129" s="41"/>
      <c r="S129" s="41"/>
    </row>
    <row r="130" ht="22.5" customHeight="1">
      <c r="A130" s="41" t="s">
        <v>8750</v>
      </c>
      <c r="B130" s="41" t="s">
        <v>8861</v>
      </c>
      <c r="C130" s="41" t="s">
        <v>8773</v>
      </c>
      <c r="D130" s="46" t="s">
        <v>8968</v>
      </c>
      <c r="E130" s="41" t="s">
        <v>8969</v>
      </c>
      <c r="F130" s="41" t="s">
        <v>16</v>
      </c>
      <c r="G130" s="41"/>
      <c r="H130" s="41"/>
      <c r="I130" s="41"/>
      <c r="J130" s="41"/>
      <c r="K130" s="41"/>
      <c r="L130" s="41"/>
      <c r="M130" s="41"/>
      <c r="N130" s="41"/>
      <c r="O130" s="41"/>
      <c r="P130" s="41"/>
      <c r="Q130" s="41"/>
      <c r="R130" s="41"/>
      <c r="S130" s="41"/>
    </row>
    <row r="131" ht="22.5" customHeight="1">
      <c r="A131" s="41" t="s">
        <v>8755</v>
      </c>
      <c r="B131" s="41" t="s">
        <v>8861</v>
      </c>
      <c r="C131" s="41" t="s">
        <v>8773</v>
      </c>
      <c r="D131" s="46" t="s">
        <v>8968</v>
      </c>
      <c r="E131" s="41" t="s">
        <v>8970</v>
      </c>
      <c r="F131" s="41" t="s">
        <v>16</v>
      </c>
      <c r="G131" s="41"/>
      <c r="H131" s="41"/>
      <c r="I131" s="41"/>
      <c r="J131" s="41"/>
      <c r="K131" s="41"/>
      <c r="L131" s="41"/>
      <c r="M131" s="41"/>
      <c r="N131" s="41"/>
      <c r="O131" s="41"/>
      <c r="P131" s="41"/>
      <c r="Q131" s="41"/>
      <c r="R131" s="41"/>
      <c r="S131" s="41"/>
    </row>
    <row r="132" ht="22.5" customHeight="1">
      <c r="A132" s="41" t="s">
        <v>8750</v>
      </c>
      <c r="B132" s="41" t="s">
        <v>8783</v>
      </c>
      <c r="C132" s="41" t="s">
        <v>8854</v>
      </c>
      <c r="D132" s="46" t="s">
        <v>8971</v>
      </c>
      <c r="E132" s="41" t="s">
        <v>8972</v>
      </c>
      <c r="F132" s="41" t="s">
        <v>16</v>
      </c>
      <c r="G132" s="41"/>
      <c r="H132" s="41"/>
      <c r="I132" s="41"/>
      <c r="J132" s="41"/>
      <c r="K132" s="41"/>
      <c r="L132" s="41"/>
      <c r="M132" s="41"/>
      <c r="N132" s="41"/>
      <c r="O132" s="41"/>
      <c r="P132" s="41"/>
      <c r="Q132" s="41"/>
      <c r="R132" s="41"/>
      <c r="S132" s="41"/>
    </row>
    <row r="133" ht="22.5" customHeight="1">
      <c r="A133" s="41" t="s">
        <v>8755</v>
      </c>
      <c r="B133" s="41" t="s">
        <v>8783</v>
      </c>
      <c r="C133" s="41" t="s">
        <v>8854</v>
      </c>
      <c r="D133" s="46" t="s">
        <v>8971</v>
      </c>
      <c r="E133" s="41" t="s">
        <v>8973</v>
      </c>
      <c r="F133" s="41" t="s">
        <v>16</v>
      </c>
      <c r="G133" s="41"/>
      <c r="H133" s="41"/>
      <c r="I133" s="41"/>
      <c r="J133" s="41"/>
      <c r="K133" s="41"/>
      <c r="L133" s="41"/>
      <c r="M133" s="41"/>
      <c r="N133" s="41"/>
      <c r="O133" s="41"/>
      <c r="P133" s="41"/>
      <c r="Q133" s="41"/>
      <c r="R133" s="41"/>
      <c r="S133" s="41"/>
    </row>
    <row r="134" ht="22.5" customHeight="1">
      <c r="A134" s="41" t="s">
        <v>8750</v>
      </c>
      <c r="B134" s="41" t="s">
        <v>8783</v>
      </c>
      <c r="C134" s="41" t="s">
        <v>8935</v>
      </c>
      <c r="D134" s="46" t="s">
        <v>8974</v>
      </c>
      <c r="E134" s="41" t="s">
        <v>8975</v>
      </c>
      <c r="F134" s="41" t="s">
        <v>8776</v>
      </c>
      <c r="G134" s="41"/>
      <c r="H134" s="41"/>
      <c r="I134" s="41"/>
      <c r="J134" s="41"/>
      <c r="K134" s="41"/>
      <c r="L134" s="41"/>
      <c r="M134" s="41"/>
      <c r="N134" s="41"/>
      <c r="O134" s="41"/>
      <c r="P134" s="41"/>
      <c r="Q134" s="41"/>
      <c r="R134" s="41"/>
      <c r="S134" s="41"/>
    </row>
    <row r="135" ht="22.5" customHeight="1">
      <c r="A135" s="41" t="s">
        <v>8755</v>
      </c>
      <c r="B135" s="41" t="s">
        <v>8783</v>
      </c>
      <c r="C135" s="41" t="s">
        <v>8935</v>
      </c>
      <c r="D135" s="46" t="s">
        <v>8974</v>
      </c>
      <c r="E135" s="41" t="s">
        <v>8976</v>
      </c>
      <c r="F135" s="41" t="s">
        <v>8776</v>
      </c>
      <c r="G135" s="41"/>
      <c r="H135" s="41"/>
      <c r="I135" s="41"/>
      <c r="J135" s="41"/>
      <c r="K135" s="41"/>
      <c r="L135" s="41"/>
      <c r="M135" s="41"/>
      <c r="N135" s="41"/>
      <c r="O135" s="41"/>
      <c r="P135" s="41"/>
      <c r="Q135" s="41"/>
      <c r="R135" s="41"/>
      <c r="S135" s="41"/>
    </row>
    <row r="136" ht="22.5" customHeight="1">
      <c r="A136" s="41" t="s">
        <v>8750</v>
      </c>
      <c r="B136" s="41" t="s">
        <v>8783</v>
      </c>
      <c r="C136" s="41" t="s">
        <v>8935</v>
      </c>
      <c r="D136" s="46" t="s">
        <v>8977</v>
      </c>
      <c r="E136" s="41" t="s">
        <v>8978</v>
      </c>
      <c r="F136" s="41" t="s">
        <v>16</v>
      </c>
      <c r="G136" s="41"/>
      <c r="H136" s="41"/>
      <c r="I136" s="41"/>
      <c r="J136" s="41"/>
      <c r="K136" s="41"/>
      <c r="L136" s="41"/>
      <c r="M136" s="41"/>
      <c r="N136" s="41"/>
      <c r="O136" s="41"/>
      <c r="P136" s="41"/>
      <c r="Q136" s="41"/>
      <c r="R136" s="41"/>
      <c r="S136" s="41"/>
    </row>
    <row r="137" ht="22.5" customHeight="1">
      <c r="A137" s="41" t="s">
        <v>8755</v>
      </c>
      <c r="B137" s="41" t="s">
        <v>8783</v>
      </c>
      <c r="C137" s="41" t="s">
        <v>8935</v>
      </c>
      <c r="D137" s="46" t="s">
        <v>8977</v>
      </c>
      <c r="E137" s="41" t="s">
        <v>8979</v>
      </c>
      <c r="F137" s="41" t="s">
        <v>16</v>
      </c>
      <c r="G137" s="41"/>
      <c r="H137" s="41"/>
      <c r="I137" s="41"/>
      <c r="J137" s="41"/>
      <c r="K137" s="41"/>
      <c r="L137" s="41"/>
      <c r="M137" s="41"/>
      <c r="N137" s="41"/>
      <c r="O137" s="41"/>
      <c r="P137" s="41"/>
      <c r="Q137" s="41"/>
      <c r="R137" s="41"/>
      <c r="S137" s="41"/>
    </row>
    <row r="138" ht="22.5" customHeight="1">
      <c r="A138" s="41" t="s">
        <v>8750</v>
      </c>
      <c r="B138" s="41" t="s">
        <v>8861</v>
      </c>
      <c r="C138" s="41" t="s">
        <v>8773</v>
      </c>
      <c r="D138" s="46" t="s">
        <v>8980</v>
      </c>
      <c r="E138" s="41" t="s">
        <v>8981</v>
      </c>
      <c r="F138" s="41" t="s">
        <v>8795</v>
      </c>
      <c r="G138" s="41"/>
      <c r="H138" s="41"/>
      <c r="I138" s="41"/>
      <c r="J138" s="41"/>
      <c r="K138" s="41"/>
      <c r="L138" s="41"/>
      <c r="M138" s="41"/>
      <c r="N138" s="41"/>
      <c r="O138" s="41"/>
      <c r="P138" s="41"/>
      <c r="Q138" s="41"/>
      <c r="R138" s="41"/>
      <c r="S138" s="41"/>
    </row>
    <row r="139" ht="22.5" customHeight="1">
      <c r="A139" s="41" t="s">
        <v>8755</v>
      </c>
      <c r="B139" s="41" t="s">
        <v>8861</v>
      </c>
      <c r="C139" s="41" t="s">
        <v>8773</v>
      </c>
      <c r="D139" s="46" t="s">
        <v>8980</v>
      </c>
      <c r="E139" s="41" t="s">
        <v>8982</v>
      </c>
      <c r="F139" s="41" t="s">
        <v>8795</v>
      </c>
      <c r="G139" s="41"/>
      <c r="H139" s="41"/>
      <c r="I139" s="41"/>
      <c r="J139" s="41"/>
      <c r="K139" s="41"/>
      <c r="L139" s="41"/>
      <c r="M139" s="41"/>
      <c r="N139" s="41"/>
      <c r="O139" s="41"/>
      <c r="P139" s="41"/>
      <c r="Q139" s="41"/>
      <c r="R139" s="41"/>
      <c r="S139" s="41"/>
    </row>
    <row r="140" ht="22.5" customHeight="1">
      <c r="A140" s="41" t="s">
        <v>8750</v>
      </c>
      <c r="B140" s="41" t="s">
        <v>8783</v>
      </c>
      <c r="C140" s="41" t="s">
        <v>8935</v>
      </c>
      <c r="D140" s="46" t="s">
        <v>8983</v>
      </c>
      <c r="E140" s="41" t="s">
        <v>8984</v>
      </c>
      <c r="F140" s="41" t="s">
        <v>16</v>
      </c>
      <c r="G140" s="41"/>
      <c r="H140" s="41"/>
      <c r="I140" s="41"/>
      <c r="J140" s="41"/>
      <c r="K140" s="41"/>
      <c r="L140" s="41"/>
      <c r="M140" s="41"/>
      <c r="N140" s="41"/>
      <c r="O140" s="41"/>
      <c r="P140" s="41"/>
      <c r="Q140" s="41"/>
      <c r="R140" s="41"/>
      <c r="S140" s="41"/>
    </row>
    <row r="141" ht="22.5" customHeight="1">
      <c r="A141" s="41" t="s">
        <v>8755</v>
      </c>
      <c r="B141" s="41" t="s">
        <v>8783</v>
      </c>
      <c r="C141" s="41" t="s">
        <v>8935</v>
      </c>
      <c r="D141" s="46" t="s">
        <v>8983</v>
      </c>
      <c r="E141" s="41" t="s">
        <v>8985</v>
      </c>
      <c r="F141" s="41" t="s">
        <v>16</v>
      </c>
      <c r="G141" s="41"/>
      <c r="H141" s="41"/>
      <c r="I141" s="41"/>
      <c r="J141" s="41"/>
      <c r="K141" s="41"/>
      <c r="L141" s="41"/>
      <c r="M141" s="41"/>
      <c r="N141" s="41"/>
      <c r="O141" s="41"/>
      <c r="P141" s="41"/>
      <c r="Q141" s="41"/>
      <c r="R141" s="41"/>
      <c r="S141" s="41"/>
    </row>
    <row r="142" ht="22.5" customHeight="1">
      <c r="A142" s="41" t="s">
        <v>8750</v>
      </c>
      <c r="B142" s="41" t="s">
        <v>8783</v>
      </c>
      <c r="C142" s="41" t="s">
        <v>8935</v>
      </c>
      <c r="D142" s="46" t="s">
        <v>8986</v>
      </c>
      <c r="E142" s="41" t="s">
        <v>8987</v>
      </c>
      <c r="F142" s="41" t="s">
        <v>8795</v>
      </c>
      <c r="G142" s="41"/>
      <c r="H142" s="41"/>
      <c r="I142" s="41"/>
      <c r="J142" s="41"/>
      <c r="K142" s="41"/>
      <c r="L142" s="41"/>
      <c r="M142" s="41"/>
      <c r="N142" s="41"/>
      <c r="O142" s="41"/>
      <c r="P142" s="41"/>
      <c r="Q142" s="41"/>
      <c r="R142" s="41"/>
      <c r="S142" s="41"/>
    </row>
    <row r="143" ht="22.5" customHeight="1">
      <c r="A143" s="41" t="s">
        <v>8755</v>
      </c>
      <c r="B143" s="41" t="s">
        <v>8783</v>
      </c>
      <c r="C143" s="41" t="s">
        <v>8935</v>
      </c>
      <c r="D143" s="46" t="s">
        <v>8986</v>
      </c>
      <c r="E143" s="41" t="s">
        <v>8988</v>
      </c>
      <c r="F143" s="41" t="s">
        <v>8795</v>
      </c>
      <c r="G143" s="41"/>
      <c r="H143" s="41"/>
      <c r="I143" s="41"/>
      <c r="J143" s="41"/>
      <c r="K143" s="41"/>
      <c r="L143" s="41"/>
      <c r="M143" s="41"/>
      <c r="N143" s="41"/>
      <c r="O143" s="41"/>
      <c r="P143" s="41"/>
      <c r="Q143" s="41"/>
      <c r="R143" s="41"/>
      <c r="S143" s="41"/>
    </row>
    <row r="144" ht="22.5" customHeight="1">
      <c r="A144" s="41" t="s">
        <v>8750</v>
      </c>
      <c r="B144" s="41" t="s">
        <v>8783</v>
      </c>
      <c r="C144" s="41" t="s">
        <v>8935</v>
      </c>
      <c r="D144" s="46" t="s">
        <v>8989</v>
      </c>
      <c r="E144" s="41" t="s">
        <v>8990</v>
      </c>
      <c r="F144" s="41" t="s">
        <v>8795</v>
      </c>
      <c r="G144" s="41"/>
      <c r="H144" s="41"/>
      <c r="I144" s="41"/>
      <c r="J144" s="41"/>
      <c r="K144" s="41"/>
      <c r="L144" s="41"/>
      <c r="M144" s="41"/>
      <c r="N144" s="41"/>
      <c r="O144" s="41"/>
      <c r="P144" s="41"/>
      <c r="Q144" s="41"/>
      <c r="R144" s="41"/>
      <c r="S144" s="41"/>
    </row>
    <row r="145" ht="22.5" customHeight="1">
      <c r="A145" s="41" t="s">
        <v>8755</v>
      </c>
      <c r="B145" s="41" t="s">
        <v>8783</v>
      </c>
      <c r="C145" s="41" t="s">
        <v>8935</v>
      </c>
      <c r="D145" s="46" t="s">
        <v>8989</v>
      </c>
      <c r="E145" s="41" t="s">
        <v>8991</v>
      </c>
      <c r="F145" s="41" t="s">
        <v>8795</v>
      </c>
      <c r="G145" s="41"/>
      <c r="H145" s="41"/>
      <c r="I145" s="41"/>
      <c r="J145" s="41"/>
      <c r="K145" s="41"/>
      <c r="L145" s="41"/>
      <c r="M145" s="41"/>
      <c r="N145" s="41"/>
      <c r="O145" s="41"/>
      <c r="P145" s="41"/>
      <c r="Q145" s="41"/>
      <c r="R145" s="41"/>
      <c r="S145" s="41"/>
    </row>
    <row r="146" ht="22.5" customHeight="1">
      <c r="A146" s="41" t="s">
        <v>8750</v>
      </c>
      <c r="B146" s="41" t="s">
        <v>8783</v>
      </c>
      <c r="C146" s="41" t="s">
        <v>8935</v>
      </c>
      <c r="D146" s="46" t="s">
        <v>8992</v>
      </c>
      <c r="E146" s="41" t="s">
        <v>8993</v>
      </c>
      <c r="F146" s="41" t="s">
        <v>16</v>
      </c>
      <c r="G146" s="41"/>
      <c r="H146" s="41"/>
      <c r="I146" s="41"/>
      <c r="J146" s="41"/>
      <c r="K146" s="41"/>
      <c r="L146" s="41"/>
      <c r="M146" s="41"/>
      <c r="N146" s="41"/>
      <c r="O146" s="41"/>
      <c r="P146" s="41"/>
      <c r="Q146" s="41"/>
      <c r="R146" s="41"/>
      <c r="S146" s="41"/>
    </row>
    <row r="147" ht="22.5" customHeight="1">
      <c r="A147" s="41" t="s">
        <v>8755</v>
      </c>
      <c r="B147" s="41" t="s">
        <v>8783</v>
      </c>
      <c r="C147" s="41" t="s">
        <v>8935</v>
      </c>
      <c r="D147" s="46" t="s">
        <v>8992</v>
      </c>
      <c r="E147" s="41" t="s">
        <v>8994</v>
      </c>
      <c r="F147" s="41" t="s">
        <v>16</v>
      </c>
      <c r="G147" s="41"/>
      <c r="H147" s="41"/>
      <c r="I147" s="41"/>
      <c r="J147" s="41"/>
      <c r="K147" s="41"/>
      <c r="L147" s="41"/>
      <c r="M147" s="41"/>
      <c r="N147" s="41"/>
      <c r="O147" s="41"/>
      <c r="P147" s="41"/>
      <c r="Q147" s="41"/>
      <c r="R147" s="41"/>
      <c r="S147" s="41"/>
    </row>
    <row r="148" ht="22.5" customHeight="1">
      <c r="A148" s="41" t="s">
        <v>8750</v>
      </c>
      <c r="B148" s="41" t="s">
        <v>8995</v>
      </c>
      <c r="C148" s="41" t="s">
        <v>8996</v>
      </c>
      <c r="D148" s="46" t="s">
        <v>8997</v>
      </c>
      <c r="E148" s="41" t="s">
        <v>8998</v>
      </c>
      <c r="F148" s="41" t="s">
        <v>8795</v>
      </c>
      <c r="G148" s="41"/>
      <c r="H148" s="41"/>
      <c r="I148" s="41"/>
      <c r="J148" s="41"/>
      <c r="K148" s="41"/>
      <c r="L148" s="41"/>
      <c r="M148" s="41"/>
      <c r="N148" s="41"/>
      <c r="O148" s="41"/>
      <c r="P148" s="41"/>
      <c r="Q148" s="41"/>
      <c r="R148" s="41"/>
      <c r="S148" s="41"/>
    </row>
    <row r="149" ht="22.5" customHeight="1">
      <c r="A149" s="41" t="s">
        <v>8755</v>
      </c>
      <c r="B149" s="41" t="s">
        <v>8995</v>
      </c>
      <c r="C149" s="41" t="s">
        <v>8996</v>
      </c>
      <c r="D149" s="46" t="s">
        <v>8997</v>
      </c>
      <c r="E149" s="41" t="s">
        <v>8999</v>
      </c>
      <c r="F149" s="41" t="s">
        <v>8795</v>
      </c>
      <c r="G149" s="41"/>
      <c r="H149" s="41"/>
      <c r="I149" s="41"/>
      <c r="J149" s="41"/>
      <c r="K149" s="41"/>
      <c r="L149" s="41"/>
      <c r="M149" s="41"/>
      <c r="N149" s="41"/>
      <c r="O149" s="41"/>
      <c r="P149" s="41"/>
      <c r="Q149" s="41"/>
      <c r="R149" s="41"/>
      <c r="S149" s="41"/>
    </row>
    <row r="150" ht="22.5" customHeight="1">
      <c r="A150" s="41" t="s">
        <v>8750</v>
      </c>
      <c r="B150" s="41" t="s">
        <v>8995</v>
      </c>
      <c r="C150" s="41" t="s">
        <v>8996</v>
      </c>
      <c r="D150" s="46" t="s">
        <v>9000</v>
      </c>
      <c r="E150" s="41" t="s">
        <v>9001</v>
      </c>
      <c r="F150" s="41" t="s">
        <v>16</v>
      </c>
      <c r="G150" s="41"/>
      <c r="H150" s="41"/>
      <c r="I150" s="41"/>
      <c r="J150" s="41"/>
      <c r="K150" s="41"/>
      <c r="L150" s="41"/>
      <c r="M150" s="41"/>
      <c r="N150" s="41"/>
      <c r="O150" s="41"/>
      <c r="P150" s="41"/>
      <c r="Q150" s="41"/>
      <c r="R150" s="41"/>
      <c r="S150" s="41"/>
    </row>
    <row r="151" ht="22.5" customHeight="1">
      <c r="A151" s="41" t="s">
        <v>8755</v>
      </c>
      <c r="B151" s="41" t="s">
        <v>8995</v>
      </c>
      <c r="C151" s="41" t="s">
        <v>8996</v>
      </c>
      <c r="D151" s="46" t="s">
        <v>9000</v>
      </c>
      <c r="E151" s="41" t="s">
        <v>9002</v>
      </c>
      <c r="F151" s="41" t="s">
        <v>16</v>
      </c>
      <c r="G151" s="41"/>
      <c r="H151" s="41"/>
      <c r="I151" s="41"/>
      <c r="J151" s="41"/>
      <c r="K151" s="41"/>
      <c r="L151" s="41"/>
      <c r="M151" s="41"/>
      <c r="N151" s="41"/>
      <c r="O151" s="41"/>
      <c r="P151" s="41"/>
      <c r="Q151" s="41"/>
      <c r="R151" s="41"/>
      <c r="S151" s="41"/>
    </row>
    <row r="152" ht="22.5" customHeight="1">
      <c r="A152" s="41" t="s">
        <v>8750</v>
      </c>
      <c r="B152" s="41" t="s">
        <v>8783</v>
      </c>
      <c r="C152" s="41" t="s">
        <v>8935</v>
      </c>
      <c r="D152" s="46" t="s">
        <v>9003</v>
      </c>
      <c r="E152" s="41" t="s">
        <v>9004</v>
      </c>
      <c r="F152" s="41" t="s">
        <v>16</v>
      </c>
      <c r="G152" s="41"/>
      <c r="H152" s="41"/>
      <c r="I152" s="41"/>
      <c r="J152" s="41"/>
      <c r="K152" s="41"/>
      <c r="L152" s="41"/>
      <c r="M152" s="41"/>
      <c r="N152" s="41"/>
      <c r="O152" s="41"/>
      <c r="P152" s="41"/>
      <c r="Q152" s="41"/>
      <c r="R152" s="41"/>
      <c r="S152" s="41"/>
    </row>
    <row r="153" ht="22.5" customHeight="1">
      <c r="A153" s="41" t="s">
        <v>8755</v>
      </c>
      <c r="B153" s="41" t="s">
        <v>8783</v>
      </c>
      <c r="C153" s="41" t="s">
        <v>8935</v>
      </c>
      <c r="D153" s="46" t="s">
        <v>9003</v>
      </c>
      <c r="E153" s="41" t="s">
        <v>9005</v>
      </c>
      <c r="F153" s="41" t="s">
        <v>16</v>
      </c>
      <c r="G153" s="41"/>
      <c r="H153" s="41"/>
      <c r="I153" s="41"/>
      <c r="J153" s="41"/>
      <c r="K153" s="41"/>
      <c r="L153" s="41"/>
      <c r="M153" s="41"/>
      <c r="N153" s="41"/>
      <c r="O153" s="41"/>
      <c r="P153" s="41"/>
      <c r="Q153" s="41"/>
      <c r="R153" s="41"/>
      <c r="S153" s="41"/>
    </row>
    <row r="154" ht="22.5" customHeight="1">
      <c r="A154" s="41" t="s">
        <v>8750</v>
      </c>
      <c r="B154" s="41" t="s">
        <v>8995</v>
      </c>
      <c r="C154" s="41" t="s">
        <v>8996</v>
      </c>
      <c r="D154" s="46" t="s">
        <v>9006</v>
      </c>
      <c r="E154" s="41" t="s">
        <v>9007</v>
      </c>
      <c r="F154" s="41" t="s">
        <v>8795</v>
      </c>
      <c r="G154" s="41"/>
      <c r="H154" s="41"/>
      <c r="I154" s="41"/>
      <c r="J154" s="41"/>
      <c r="K154" s="41"/>
      <c r="L154" s="41"/>
      <c r="M154" s="41"/>
      <c r="N154" s="41"/>
      <c r="O154" s="41"/>
      <c r="P154" s="41"/>
      <c r="Q154" s="41"/>
      <c r="R154" s="41"/>
      <c r="S154" s="41"/>
    </row>
    <row r="155" ht="22.5" customHeight="1">
      <c r="A155" s="41" t="s">
        <v>8755</v>
      </c>
      <c r="B155" s="41" t="s">
        <v>8995</v>
      </c>
      <c r="C155" s="41" t="s">
        <v>8996</v>
      </c>
      <c r="D155" s="46" t="s">
        <v>9006</v>
      </c>
      <c r="E155" s="41" t="s">
        <v>9008</v>
      </c>
      <c r="F155" s="41" t="s">
        <v>8795</v>
      </c>
      <c r="G155" s="41"/>
      <c r="H155" s="41"/>
      <c r="I155" s="41"/>
      <c r="J155" s="41"/>
      <c r="K155" s="41"/>
      <c r="L155" s="41"/>
      <c r="M155" s="41"/>
      <c r="N155" s="41"/>
      <c r="O155" s="41"/>
      <c r="P155" s="41"/>
      <c r="Q155" s="41"/>
      <c r="R155" s="41"/>
      <c r="S155" s="41"/>
    </row>
    <row r="156" ht="22.5" customHeight="1">
      <c r="A156" s="41" t="s">
        <v>8750</v>
      </c>
      <c r="B156" s="41" t="s">
        <v>8861</v>
      </c>
      <c r="C156" s="41" t="s">
        <v>4633</v>
      </c>
      <c r="D156" s="46" t="s">
        <v>9009</v>
      </c>
      <c r="E156" s="41" t="s">
        <v>9010</v>
      </c>
      <c r="F156" s="41" t="s">
        <v>8795</v>
      </c>
      <c r="G156" s="41"/>
      <c r="H156" s="41"/>
      <c r="I156" s="41"/>
      <c r="J156" s="41"/>
      <c r="K156" s="41"/>
      <c r="L156" s="41"/>
      <c r="M156" s="41"/>
      <c r="N156" s="41"/>
      <c r="O156" s="41"/>
      <c r="P156" s="41"/>
      <c r="Q156" s="41"/>
      <c r="R156" s="41"/>
      <c r="S156" s="41"/>
    </row>
    <row r="157" ht="22.5" customHeight="1">
      <c r="A157" s="41" t="s">
        <v>8755</v>
      </c>
      <c r="B157" s="41" t="s">
        <v>8861</v>
      </c>
      <c r="C157" s="41" t="s">
        <v>4633</v>
      </c>
      <c r="D157" s="46" t="s">
        <v>9009</v>
      </c>
      <c r="E157" s="41" t="s">
        <v>9011</v>
      </c>
      <c r="F157" s="41" t="s">
        <v>8795</v>
      </c>
      <c r="G157" s="41"/>
      <c r="H157" s="41"/>
      <c r="I157" s="41"/>
      <c r="J157" s="41"/>
      <c r="K157" s="41"/>
      <c r="L157" s="41"/>
      <c r="M157" s="41"/>
      <c r="N157" s="41"/>
      <c r="O157" s="41"/>
      <c r="P157" s="41"/>
      <c r="Q157" s="41"/>
      <c r="R157" s="41"/>
      <c r="S157" s="41"/>
    </row>
    <row r="158" ht="22.5" customHeight="1">
      <c r="A158" s="41" t="s">
        <v>8750</v>
      </c>
      <c r="B158" s="41" t="s">
        <v>8783</v>
      </c>
      <c r="C158" s="41" t="s">
        <v>8935</v>
      </c>
      <c r="D158" s="46" t="s">
        <v>9012</v>
      </c>
      <c r="E158" s="41" t="s">
        <v>9013</v>
      </c>
      <c r="F158" s="41" t="s">
        <v>8795</v>
      </c>
      <c r="G158" s="41"/>
      <c r="H158" s="41"/>
      <c r="I158" s="41"/>
      <c r="J158" s="41"/>
      <c r="K158" s="41"/>
      <c r="L158" s="41"/>
      <c r="M158" s="41"/>
      <c r="N158" s="41"/>
      <c r="O158" s="41"/>
      <c r="P158" s="41"/>
      <c r="Q158" s="41"/>
      <c r="R158" s="41"/>
      <c r="S158" s="41"/>
    </row>
    <row r="159" ht="22.5" customHeight="1">
      <c r="A159" s="41" t="s">
        <v>8755</v>
      </c>
      <c r="B159" s="41" t="s">
        <v>8783</v>
      </c>
      <c r="C159" s="41" t="s">
        <v>8935</v>
      </c>
      <c r="D159" s="46" t="s">
        <v>9012</v>
      </c>
      <c r="E159" s="41" t="s">
        <v>9014</v>
      </c>
      <c r="F159" s="41" t="s">
        <v>8795</v>
      </c>
      <c r="G159" s="41"/>
      <c r="H159" s="41"/>
      <c r="I159" s="41"/>
      <c r="J159" s="41"/>
      <c r="K159" s="41"/>
      <c r="L159" s="41"/>
      <c r="M159" s="41"/>
      <c r="N159" s="41"/>
      <c r="O159" s="41"/>
      <c r="P159" s="41"/>
      <c r="Q159" s="41"/>
      <c r="R159" s="41"/>
      <c r="S159" s="41"/>
    </row>
    <row r="160" ht="22.5" customHeight="1">
      <c r="A160" s="41" t="s">
        <v>8750</v>
      </c>
      <c r="B160" s="41" t="s">
        <v>8995</v>
      </c>
      <c r="C160" s="41" t="s">
        <v>9015</v>
      </c>
      <c r="D160" s="46" t="s">
        <v>9016</v>
      </c>
      <c r="E160" s="41" t="s">
        <v>9017</v>
      </c>
      <c r="F160" s="41" t="s">
        <v>16</v>
      </c>
      <c r="G160" s="41"/>
      <c r="H160" s="41"/>
      <c r="I160" s="41"/>
      <c r="J160" s="41"/>
      <c r="K160" s="41"/>
      <c r="L160" s="41"/>
      <c r="M160" s="41"/>
      <c r="N160" s="41"/>
      <c r="O160" s="41"/>
      <c r="P160" s="41"/>
      <c r="Q160" s="41"/>
      <c r="R160" s="41"/>
      <c r="S160" s="41"/>
    </row>
    <row r="161" ht="22.5" customHeight="1">
      <c r="A161" s="41" t="s">
        <v>8755</v>
      </c>
      <c r="B161" s="41" t="s">
        <v>8995</v>
      </c>
      <c r="C161" s="41" t="s">
        <v>9015</v>
      </c>
      <c r="D161" s="46" t="s">
        <v>9016</v>
      </c>
      <c r="E161" s="41" t="s">
        <v>9018</v>
      </c>
      <c r="F161" s="41" t="s">
        <v>16</v>
      </c>
      <c r="G161" s="41"/>
      <c r="H161" s="41"/>
      <c r="I161" s="41"/>
      <c r="J161" s="41"/>
      <c r="K161" s="41"/>
      <c r="L161" s="41"/>
      <c r="M161" s="41"/>
      <c r="N161" s="41"/>
      <c r="O161" s="41"/>
      <c r="P161" s="41"/>
      <c r="Q161" s="41"/>
      <c r="R161" s="41"/>
      <c r="S161" s="41"/>
    </row>
    <row r="162" ht="22.5" customHeight="1">
      <c r="A162" s="41" t="s">
        <v>8750</v>
      </c>
      <c r="B162" s="41" t="s">
        <v>8783</v>
      </c>
      <c r="C162" s="41" t="s">
        <v>8935</v>
      </c>
      <c r="D162" s="46" t="s">
        <v>9019</v>
      </c>
      <c r="E162" s="41" t="s">
        <v>9020</v>
      </c>
      <c r="F162" s="41" t="s">
        <v>16</v>
      </c>
      <c r="G162" s="41"/>
      <c r="H162" s="41"/>
      <c r="I162" s="41"/>
      <c r="J162" s="41"/>
      <c r="K162" s="41"/>
      <c r="L162" s="41"/>
      <c r="M162" s="41"/>
      <c r="N162" s="41"/>
      <c r="O162" s="41"/>
      <c r="P162" s="41"/>
      <c r="Q162" s="41"/>
      <c r="R162" s="41"/>
      <c r="S162" s="41"/>
    </row>
    <row r="163" ht="22.5" customHeight="1">
      <c r="A163" s="41" t="s">
        <v>8755</v>
      </c>
      <c r="B163" s="41" t="s">
        <v>8783</v>
      </c>
      <c r="C163" s="41" t="s">
        <v>8935</v>
      </c>
      <c r="D163" s="46" t="s">
        <v>9019</v>
      </c>
      <c r="E163" s="41" t="s">
        <v>9021</v>
      </c>
      <c r="F163" s="41" t="s">
        <v>16</v>
      </c>
      <c r="G163" s="41"/>
      <c r="H163" s="41"/>
      <c r="I163" s="41"/>
      <c r="J163" s="41"/>
      <c r="K163" s="41"/>
      <c r="L163" s="41"/>
      <c r="M163" s="41"/>
      <c r="N163" s="41"/>
      <c r="O163" s="41"/>
      <c r="P163" s="41"/>
      <c r="Q163" s="41"/>
      <c r="R163" s="41"/>
      <c r="S163" s="41"/>
    </row>
    <row r="164" ht="22.5" customHeight="1">
      <c r="A164" s="41" t="s">
        <v>8750</v>
      </c>
      <c r="B164" s="41" t="s">
        <v>8783</v>
      </c>
      <c r="C164" s="41" t="s">
        <v>8935</v>
      </c>
      <c r="D164" s="46" t="s">
        <v>9022</v>
      </c>
      <c r="E164" s="41" t="s">
        <v>9023</v>
      </c>
      <c r="F164" s="41" t="s">
        <v>8795</v>
      </c>
      <c r="G164" s="41"/>
      <c r="H164" s="41"/>
      <c r="I164" s="41"/>
      <c r="J164" s="41"/>
      <c r="K164" s="41"/>
      <c r="L164" s="41"/>
      <c r="M164" s="41"/>
      <c r="N164" s="41"/>
      <c r="O164" s="41"/>
      <c r="P164" s="41"/>
      <c r="Q164" s="41"/>
      <c r="R164" s="41"/>
      <c r="S164" s="41"/>
    </row>
    <row r="165" ht="22.5" customHeight="1">
      <c r="A165" s="41" t="s">
        <v>8755</v>
      </c>
      <c r="B165" s="41" t="s">
        <v>8783</v>
      </c>
      <c r="C165" s="41" t="s">
        <v>8935</v>
      </c>
      <c r="D165" s="46" t="s">
        <v>9022</v>
      </c>
      <c r="E165" s="41" t="s">
        <v>9024</v>
      </c>
      <c r="F165" s="41" t="s">
        <v>8795</v>
      </c>
      <c r="G165" s="41"/>
      <c r="H165" s="41"/>
      <c r="I165" s="41"/>
      <c r="J165" s="41"/>
      <c r="K165" s="41"/>
      <c r="L165" s="41"/>
      <c r="M165" s="41"/>
      <c r="N165" s="41"/>
      <c r="O165" s="41"/>
      <c r="P165" s="41"/>
      <c r="Q165" s="41"/>
      <c r="R165" s="41"/>
      <c r="S165" s="41"/>
    </row>
    <row r="166" ht="22.5" customHeight="1">
      <c r="A166" s="41" t="s">
        <v>8750</v>
      </c>
      <c r="B166" s="41" t="s">
        <v>8861</v>
      </c>
      <c r="C166" s="41" t="s">
        <v>8773</v>
      </c>
      <c r="D166" s="46" t="s">
        <v>9025</v>
      </c>
      <c r="E166" s="41" t="s">
        <v>9026</v>
      </c>
      <c r="F166" s="41" t="s">
        <v>8795</v>
      </c>
      <c r="G166" s="41"/>
      <c r="H166" s="41"/>
      <c r="I166" s="41"/>
      <c r="J166" s="41"/>
      <c r="K166" s="41"/>
      <c r="L166" s="41"/>
      <c r="M166" s="41"/>
      <c r="N166" s="41"/>
      <c r="O166" s="41"/>
      <c r="P166" s="41"/>
      <c r="Q166" s="41"/>
      <c r="R166" s="41"/>
      <c r="S166" s="41"/>
    </row>
    <row r="167" ht="22.5" customHeight="1">
      <c r="A167" s="41" t="s">
        <v>8755</v>
      </c>
      <c r="B167" s="41" t="s">
        <v>8861</v>
      </c>
      <c r="C167" s="41" t="s">
        <v>8773</v>
      </c>
      <c r="D167" s="46" t="s">
        <v>9025</v>
      </c>
      <c r="E167" s="41" t="s">
        <v>9027</v>
      </c>
      <c r="F167" s="41" t="s">
        <v>8795</v>
      </c>
      <c r="G167" s="41"/>
      <c r="H167" s="41"/>
      <c r="I167" s="41"/>
      <c r="J167" s="41"/>
      <c r="K167" s="41"/>
      <c r="L167" s="41"/>
      <c r="M167" s="41"/>
      <c r="N167" s="41"/>
      <c r="O167" s="41"/>
      <c r="P167" s="41"/>
      <c r="Q167" s="41"/>
      <c r="R167" s="41"/>
      <c r="S167" s="41"/>
    </row>
    <row r="168" ht="22.5" customHeight="1">
      <c r="A168" s="41" t="s">
        <v>8750</v>
      </c>
      <c r="B168" s="41" t="s">
        <v>8995</v>
      </c>
      <c r="C168" s="41" t="s">
        <v>9015</v>
      </c>
      <c r="D168" s="46" t="s">
        <v>9028</v>
      </c>
      <c r="E168" s="41" t="s">
        <v>9029</v>
      </c>
      <c r="F168" s="41" t="s">
        <v>9030</v>
      </c>
      <c r="G168" s="41"/>
      <c r="H168" s="41"/>
      <c r="I168" s="41"/>
      <c r="J168" s="41"/>
      <c r="K168" s="41"/>
      <c r="L168" s="41"/>
      <c r="M168" s="41"/>
      <c r="N168" s="41"/>
      <c r="O168" s="41"/>
      <c r="P168" s="41"/>
      <c r="Q168" s="41"/>
      <c r="R168" s="41"/>
      <c r="S168" s="41"/>
    </row>
    <row r="169" ht="22.5" customHeight="1">
      <c r="A169" s="41" t="s">
        <v>8755</v>
      </c>
      <c r="B169" s="41" t="s">
        <v>8995</v>
      </c>
      <c r="C169" s="41" t="s">
        <v>9015</v>
      </c>
      <c r="D169" s="46" t="s">
        <v>9028</v>
      </c>
      <c r="E169" s="41" t="s">
        <v>9031</v>
      </c>
      <c r="F169" s="41" t="s">
        <v>9030</v>
      </c>
      <c r="G169" s="41"/>
      <c r="H169" s="41"/>
      <c r="I169" s="41"/>
      <c r="J169" s="41"/>
      <c r="K169" s="41"/>
      <c r="L169" s="41"/>
      <c r="M169" s="41"/>
      <c r="N169" s="41"/>
      <c r="O169" s="41"/>
      <c r="P169" s="41"/>
      <c r="Q169" s="41"/>
      <c r="R169" s="41"/>
      <c r="S169" s="41"/>
    </row>
    <row r="170" ht="22.5" customHeight="1">
      <c r="A170" s="41" t="s">
        <v>8750</v>
      </c>
      <c r="B170" s="41" t="s">
        <v>8995</v>
      </c>
      <c r="C170" s="41" t="s">
        <v>9015</v>
      </c>
      <c r="D170" s="46" t="s">
        <v>9032</v>
      </c>
      <c r="E170" s="41" t="s">
        <v>9033</v>
      </c>
      <c r="F170" s="41" t="s">
        <v>16</v>
      </c>
      <c r="G170" s="41"/>
      <c r="H170" s="41"/>
      <c r="I170" s="41"/>
      <c r="J170" s="41"/>
      <c r="K170" s="41"/>
      <c r="L170" s="41"/>
      <c r="M170" s="41"/>
      <c r="N170" s="41"/>
      <c r="O170" s="41"/>
      <c r="P170" s="41"/>
      <c r="Q170" s="41"/>
      <c r="R170" s="41"/>
      <c r="S170" s="41"/>
    </row>
    <row r="171" ht="22.5" customHeight="1">
      <c r="A171" s="41" t="s">
        <v>8755</v>
      </c>
      <c r="B171" s="41" t="s">
        <v>8995</v>
      </c>
      <c r="C171" s="41" t="s">
        <v>9015</v>
      </c>
      <c r="D171" s="46" t="s">
        <v>9032</v>
      </c>
      <c r="E171" s="41" t="s">
        <v>9034</v>
      </c>
      <c r="F171" s="41" t="s">
        <v>16</v>
      </c>
      <c r="G171" s="41"/>
      <c r="H171" s="41"/>
      <c r="I171" s="41"/>
      <c r="J171" s="41"/>
      <c r="K171" s="41"/>
      <c r="L171" s="41"/>
      <c r="M171" s="41"/>
      <c r="N171" s="41"/>
      <c r="O171" s="41"/>
      <c r="P171" s="41"/>
      <c r="Q171" s="41"/>
      <c r="R171" s="41"/>
      <c r="S171" s="41"/>
    </row>
    <row r="172" ht="22.5" customHeight="1">
      <c r="A172" s="19" t="s">
        <v>9035</v>
      </c>
      <c r="B172" s="19" t="s">
        <v>8783</v>
      </c>
      <c r="C172" s="19" t="s">
        <v>9015</v>
      </c>
      <c r="D172" s="47" t="s">
        <v>9036</v>
      </c>
      <c r="E172" s="19" t="s">
        <v>9037</v>
      </c>
      <c r="F172" s="19" t="s">
        <v>9038</v>
      </c>
      <c r="G172" s="41"/>
      <c r="H172" s="41"/>
      <c r="I172" s="41"/>
      <c r="J172" s="41"/>
      <c r="K172" s="41"/>
      <c r="L172" s="41"/>
      <c r="M172" s="41"/>
      <c r="N172" s="41"/>
      <c r="O172" s="41"/>
      <c r="P172" s="41"/>
      <c r="Q172" s="41"/>
      <c r="R172" s="41"/>
      <c r="S172" s="41"/>
    </row>
    <row r="173" ht="22.5" customHeight="1">
      <c r="A173" s="19" t="s">
        <v>9039</v>
      </c>
      <c r="B173" s="19" t="s">
        <v>8783</v>
      </c>
      <c r="C173" s="19" t="s">
        <v>9015</v>
      </c>
      <c r="D173" s="47" t="s">
        <v>9036</v>
      </c>
      <c r="E173" s="19" t="s">
        <v>9040</v>
      </c>
      <c r="F173" s="19" t="s">
        <v>9038</v>
      </c>
      <c r="G173" s="41"/>
      <c r="H173" s="41"/>
      <c r="I173" s="41"/>
      <c r="J173" s="41"/>
      <c r="K173" s="41"/>
      <c r="L173" s="41"/>
      <c r="M173" s="41"/>
      <c r="N173" s="41"/>
      <c r="O173" s="41"/>
      <c r="P173" s="41"/>
      <c r="Q173" s="41"/>
      <c r="R173" s="41"/>
      <c r="S173" s="41"/>
    </row>
    <row r="174" ht="22.5" customHeight="1">
      <c r="A174" s="19" t="s">
        <v>9035</v>
      </c>
      <c r="B174" s="19" t="s">
        <v>8751</v>
      </c>
      <c r="C174" s="19" t="s">
        <v>8812</v>
      </c>
      <c r="D174" s="47" t="s">
        <v>9041</v>
      </c>
      <c r="E174" s="19" t="s">
        <v>9042</v>
      </c>
      <c r="F174" s="19" t="s">
        <v>9038</v>
      </c>
      <c r="G174" s="41"/>
      <c r="H174" s="41"/>
      <c r="I174" s="41"/>
      <c r="J174" s="41"/>
      <c r="K174" s="41"/>
      <c r="L174" s="41"/>
      <c r="M174" s="41"/>
      <c r="N174" s="41"/>
      <c r="O174" s="41"/>
      <c r="P174" s="41"/>
      <c r="Q174" s="41"/>
      <c r="R174" s="41"/>
      <c r="S174" s="41"/>
    </row>
    <row r="175" ht="22.5" customHeight="1">
      <c r="A175" s="19" t="s">
        <v>9039</v>
      </c>
      <c r="B175" s="19" t="s">
        <v>8751</v>
      </c>
      <c r="C175" s="19" t="s">
        <v>8812</v>
      </c>
      <c r="D175" s="47" t="s">
        <v>9041</v>
      </c>
      <c r="E175" s="19" t="s">
        <v>9043</v>
      </c>
      <c r="F175" s="19" t="s">
        <v>9038</v>
      </c>
      <c r="G175" s="41"/>
      <c r="H175" s="41"/>
      <c r="I175" s="41"/>
      <c r="J175" s="41"/>
      <c r="K175" s="41"/>
      <c r="L175" s="41"/>
      <c r="M175" s="41"/>
      <c r="N175" s="41"/>
      <c r="O175" s="41"/>
      <c r="P175" s="41"/>
      <c r="Q175" s="41"/>
      <c r="R175" s="41"/>
      <c r="S175" s="41"/>
    </row>
    <row r="176" ht="22.5" customHeight="1">
      <c r="A176" s="19" t="s">
        <v>9035</v>
      </c>
      <c r="B176" s="19" t="s">
        <v>8751</v>
      </c>
      <c r="C176" s="19" t="s">
        <v>8812</v>
      </c>
      <c r="D176" s="47" t="s">
        <v>9044</v>
      </c>
      <c r="E176" s="19" t="s">
        <v>9045</v>
      </c>
      <c r="F176" s="19" t="s">
        <v>9038</v>
      </c>
      <c r="G176" s="41"/>
      <c r="H176" s="41"/>
      <c r="I176" s="41"/>
      <c r="J176" s="41"/>
      <c r="K176" s="41"/>
      <c r="L176" s="41"/>
      <c r="M176" s="41"/>
      <c r="N176" s="41"/>
      <c r="O176" s="41"/>
      <c r="P176" s="41"/>
      <c r="Q176" s="41"/>
      <c r="R176" s="41"/>
      <c r="S176" s="41"/>
    </row>
    <row r="177" ht="22.5" customHeight="1">
      <c r="A177" s="19" t="s">
        <v>9039</v>
      </c>
      <c r="B177" s="19" t="s">
        <v>8751</v>
      </c>
      <c r="C177" s="19" t="s">
        <v>8812</v>
      </c>
      <c r="D177" s="47" t="s">
        <v>9044</v>
      </c>
      <c r="E177" s="19" t="s">
        <v>9046</v>
      </c>
      <c r="F177" s="19" t="s">
        <v>9038</v>
      </c>
      <c r="G177" s="41"/>
      <c r="H177" s="41"/>
      <c r="I177" s="41"/>
      <c r="J177" s="41"/>
      <c r="K177" s="41"/>
      <c r="L177" s="41"/>
      <c r="M177" s="41"/>
      <c r="N177" s="41"/>
      <c r="O177" s="41"/>
      <c r="P177" s="41"/>
      <c r="Q177" s="41"/>
      <c r="R177" s="41"/>
      <c r="S177" s="41"/>
    </row>
    <row r="178" ht="22.5" customHeight="1">
      <c r="A178" s="19" t="s">
        <v>9035</v>
      </c>
      <c r="B178" s="19" t="s">
        <v>8751</v>
      </c>
      <c r="C178" s="19" t="s">
        <v>8812</v>
      </c>
      <c r="D178" s="47" t="s">
        <v>9047</v>
      </c>
      <c r="E178" s="19" t="s">
        <v>9048</v>
      </c>
      <c r="F178" s="19" t="s">
        <v>9038</v>
      </c>
      <c r="G178" s="41"/>
      <c r="H178" s="41"/>
      <c r="I178" s="41"/>
      <c r="J178" s="41"/>
      <c r="K178" s="41"/>
      <c r="L178" s="41"/>
      <c r="M178" s="41"/>
      <c r="N178" s="41"/>
      <c r="O178" s="41"/>
      <c r="P178" s="41"/>
      <c r="Q178" s="41"/>
      <c r="R178" s="41"/>
      <c r="S178" s="41"/>
    </row>
    <row r="179" ht="22.5" customHeight="1">
      <c r="A179" s="19" t="s">
        <v>9039</v>
      </c>
      <c r="B179" s="19" t="s">
        <v>8751</v>
      </c>
      <c r="C179" s="19" t="s">
        <v>8812</v>
      </c>
      <c r="D179" s="47" t="s">
        <v>9047</v>
      </c>
      <c r="E179" s="19" t="s">
        <v>9049</v>
      </c>
      <c r="F179" s="19" t="s">
        <v>9038</v>
      </c>
      <c r="G179" s="41"/>
      <c r="H179" s="41"/>
      <c r="I179" s="41"/>
      <c r="J179" s="41"/>
      <c r="K179" s="41"/>
      <c r="L179" s="41"/>
      <c r="M179" s="41"/>
      <c r="N179" s="41"/>
      <c r="O179" s="41"/>
      <c r="P179" s="41"/>
      <c r="Q179" s="41"/>
      <c r="R179" s="41"/>
      <c r="S179" s="41"/>
    </row>
    <row r="180" ht="22.5" customHeight="1">
      <c r="A180" s="19" t="s">
        <v>9035</v>
      </c>
      <c r="B180" s="19" t="s">
        <v>8751</v>
      </c>
      <c r="C180" s="19" t="s">
        <v>8812</v>
      </c>
      <c r="D180" s="47" t="s">
        <v>9050</v>
      </c>
      <c r="E180" s="19" t="s">
        <v>9051</v>
      </c>
      <c r="F180" s="19" t="s">
        <v>9038</v>
      </c>
      <c r="G180" s="41"/>
      <c r="H180" s="41"/>
      <c r="I180" s="41"/>
      <c r="J180" s="41"/>
      <c r="K180" s="41"/>
      <c r="L180" s="41"/>
      <c r="M180" s="41"/>
      <c r="N180" s="41"/>
      <c r="O180" s="41"/>
      <c r="P180" s="41"/>
      <c r="Q180" s="41"/>
      <c r="R180" s="41"/>
      <c r="S180" s="41"/>
    </row>
    <row r="181" ht="22.5" customHeight="1">
      <c r="A181" s="19" t="s">
        <v>9039</v>
      </c>
      <c r="B181" s="19" t="s">
        <v>8751</v>
      </c>
      <c r="C181" s="19" t="s">
        <v>8812</v>
      </c>
      <c r="D181" s="47" t="s">
        <v>9050</v>
      </c>
      <c r="E181" s="19" t="s">
        <v>9052</v>
      </c>
      <c r="F181" s="19" t="s">
        <v>9038</v>
      </c>
      <c r="G181" s="41"/>
      <c r="H181" s="41"/>
      <c r="I181" s="41"/>
      <c r="J181" s="41"/>
      <c r="K181" s="41"/>
      <c r="L181" s="41"/>
      <c r="M181" s="41"/>
      <c r="N181" s="41"/>
      <c r="O181" s="41"/>
      <c r="P181" s="41"/>
      <c r="Q181" s="41"/>
      <c r="R181" s="41"/>
      <c r="S181" s="41"/>
    </row>
    <row r="182" ht="22.5" customHeight="1">
      <c r="A182" s="19" t="s">
        <v>9035</v>
      </c>
      <c r="B182" s="19" t="s">
        <v>8751</v>
      </c>
      <c r="C182" s="19" t="s">
        <v>8812</v>
      </c>
      <c r="D182" s="47" t="s">
        <v>9053</v>
      </c>
      <c r="E182" s="19" t="s">
        <v>9054</v>
      </c>
      <c r="F182" s="19" t="s">
        <v>9038</v>
      </c>
      <c r="G182" s="41"/>
      <c r="H182" s="41"/>
      <c r="I182" s="41"/>
      <c r="J182" s="41"/>
      <c r="K182" s="41"/>
      <c r="L182" s="41"/>
      <c r="M182" s="41"/>
      <c r="N182" s="41"/>
      <c r="O182" s="41"/>
      <c r="P182" s="41"/>
      <c r="Q182" s="41"/>
      <c r="R182" s="41"/>
      <c r="S182" s="41"/>
    </row>
    <row r="183" ht="22.5" customHeight="1">
      <c r="A183" s="19" t="s">
        <v>9039</v>
      </c>
      <c r="B183" s="19" t="s">
        <v>8751</v>
      </c>
      <c r="C183" s="19" t="s">
        <v>8812</v>
      </c>
      <c r="D183" s="47" t="s">
        <v>9053</v>
      </c>
      <c r="E183" s="19" t="s">
        <v>9055</v>
      </c>
      <c r="F183" s="19" t="s">
        <v>9038</v>
      </c>
      <c r="G183" s="41"/>
      <c r="H183" s="41"/>
      <c r="I183" s="41"/>
      <c r="J183" s="41"/>
      <c r="K183" s="41"/>
      <c r="L183" s="41"/>
      <c r="M183" s="41"/>
      <c r="N183" s="41"/>
      <c r="O183" s="41"/>
      <c r="P183" s="41"/>
      <c r="Q183" s="41"/>
      <c r="R183" s="41"/>
      <c r="S183" s="41"/>
    </row>
    <row r="184" ht="22.5" customHeight="1">
      <c r="A184" s="19" t="s">
        <v>9035</v>
      </c>
      <c r="B184" s="19" t="s">
        <v>8751</v>
      </c>
      <c r="C184" s="19" t="s">
        <v>8812</v>
      </c>
      <c r="D184" s="47" t="s">
        <v>9056</v>
      </c>
      <c r="E184" s="19" t="s">
        <v>9057</v>
      </c>
      <c r="F184" s="19" t="s">
        <v>9038</v>
      </c>
      <c r="G184" s="41"/>
      <c r="H184" s="41"/>
      <c r="I184" s="41"/>
      <c r="J184" s="41"/>
      <c r="K184" s="41"/>
      <c r="L184" s="41"/>
      <c r="M184" s="41"/>
      <c r="N184" s="41"/>
      <c r="O184" s="41"/>
      <c r="P184" s="41"/>
      <c r="Q184" s="41"/>
      <c r="R184" s="41"/>
      <c r="S184" s="41"/>
    </row>
    <row r="185" ht="22.5" customHeight="1">
      <c r="A185" s="19" t="s">
        <v>9039</v>
      </c>
      <c r="B185" s="19" t="s">
        <v>8751</v>
      </c>
      <c r="C185" s="19" t="s">
        <v>8812</v>
      </c>
      <c r="D185" s="47" t="s">
        <v>9056</v>
      </c>
      <c r="E185" s="19" t="s">
        <v>9058</v>
      </c>
      <c r="F185" s="19" t="s">
        <v>9038</v>
      </c>
      <c r="G185" s="41"/>
      <c r="H185" s="41"/>
      <c r="I185" s="41"/>
      <c r="J185" s="41"/>
      <c r="K185" s="41"/>
      <c r="L185" s="41"/>
      <c r="M185" s="41"/>
      <c r="N185" s="41"/>
      <c r="O185" s="41"/>
      <c r="P185" s="41"/>
      <c r="Q185" s="41"/>
      <c r="R185" s="41"/>
      <c r="S185" s="41"/>
    </row>
    <row r="186" ht="22.5" customHeight="1">
      <c r="A186" s="19" t="s">
        <v>9035</v>
      </c>
      <c r="B186" s="19" t="s">
        <v>8751</v>
      </c>
      <c r="C186" s="19" t="s">
        <v>8812</v>
      </c>
      <c r="D186" s="47" t="s">
        <v>9059</v>
      </c>
      <c r="E186" s="19" t="s">
        <v>9060</v>
      </c>
      <c r="F186" s="19" t="s">
        <v>9038</v>
      </c>
      <c r="G186" s="41"/>
      <c r="H186" s="41"/>
      <c r="I186" s="41"/>
      <c r="J186" s="41"/>
      <c r="K186" s="41"/>
      <c r="L186" s="41"/>
      <c r="M186" s="41"/>
      <c r="N186" s="41"/>
      <c r="O186" s="41"/>
      <c r="P186" s="41"/>
      <c r="Q186" s="41"/>
      <c r="R186" s="41"/>
      <c r="S186" s="41"/>
    </row>
    <row r="187" ht="22.5" customHeight="1">
      <c r="A187" s="19" t="s">
        <v>9039</v>
      </c>
      <c r="B187" s="19" t="s">
        <v>8751</v>
      </c>
      <c r="C187" s="19" t="s">
        <v>8812</v>
      </c>
      <c r="D187" s="47" t="s">
        <v>9059</v>
      </c>
      <c r="E187" s="19" t="s">
        <v>9061</v>
      </c>
      <c r="F187" s="19" t="s">
        <v>9038</v>
      </c>
      <c r="G187" s="41"/>
      <c r="H187" s="41"/>
      <c r="I187" s="41"/>
      <c r="J187" s="41"/>
      <c r="K187" s="41"/>
      <c r="L187" s="41"/>
      <c r="M187" s="41"/>
      <c r="N187" s="41"/>
      <c r="O187" s="41"/>
      <c r="P187" s="41"/>
      <c r="Q187" s="41"/>
      <c r="R187" s="41"/>
      <c r="S187" s="41"/>
    </row>
    <row r="188" ht="22.5" customHeight="1">
      <c r="A188" s="19" t="s">
        <v>9035</v>
      </c>
      <c r="B188" s="19" t="s">
        <v>8751</v>
      </c>
      <c r="C188" s="19" t="s">
        <v>8812</v>
      </c>
      <c r="D188" s="47" t="s">
        <v>9062</v>
      </c>
      <c r="E188" s="19" t="s">
        <v>9063</v>
      </c>
      <c r="F188" s="19" t="s">
        <v>9038</v>
      </c>
      <c r="G188" s="41"/>
      <c r="H188" s="41"/>
      <c r="I188" s="41"/>
      <c r="J188" s="41"/>
      <c r="K188" s="41"/>
      <c r="L188" s="41"/>
      <c r="M188" s="41"/>
      <c r="N188" s="41"/>
      <c r="O188" s="41"/>
      <c r="P188" s="41"/>
      <c r="Q188" s="41"/>
      <c r="R188" s="41"/>
      <c r="S188" s="41"/>
    </row>
    <row r="189" ht="22.5" customHeight="1">
      <c r="A189" s="19" t="s">
        <v>9039</v>
      </c>
      <c r="B189" s="19" t="s">
        <v>8751</v>
      </c>
      <c r="C189" s="19" t="s">
        <v>8812</v>
      </c>
      <c r="D189" s="47" t="s">
        <v>9062</v>
      </c>
      <c r="E189" s="19" t="s">
        <v>9064</v>
      </c>
      <c r="F189" s="19" t="s">
        <v>9038</v>
      </c>
      <c r="G189" s="41"/>
      <c r="H189" s="41"/>
      <c r="I189" s="41"/>
      <c r="J189" s="41"/>
      <c r="K189" s="41"/>
      <c r="L189" s="41"/>
      <c r="M189" s="41"/>
      <c r="N189" s="41"/>
      <c r="O189" s="41"/>
      <c r="P189" s="41"/>
      <c r="Q189" s="41"/>
      <c r="R189" s="41"/>
      <c r="S189" s="41"/>
    </row>
    <row r="190" ht="22.5" customHeight="1">
      <c r="A190" s="19" t="s">
        <v>9035</v>
      </c>
      <c r="B190" s="19" t="s">
        <v>8751</v>
      </c>
      <c r="C190" s="19" t="s">
        <v>8812</v>
      </c>
      <c r="D190" s="47" t="s">
        <v>9065</v>
      </c>
      <c r="E190" s="19" t="s">
        <v>9066</v>
      </c>
      <c r="F190" s="19" t="s">
        <v>9038</v>
      </c>
      <c r="G190" s="41"/>
      <c r="H190" s="41"/>
      <c r="I190" s="41"/>
      <c r="J190" s="41"/>
      <c r="K190" s="41"/>
      <c r="L190" s="41"/>
      <c r="M190" s="41"/>
      <c r="N190" s="41"/>
      <c r="O190" s="41"/>
      <c r="P190" s="41"/>
      <c r="Q190" s="41"/>
      <c r="R190" s="41"/>
      <c r="S190" s="41"/>
    </row>
    <row r="191" ht="22.5" customHeight="1">
      <c r="A191" s="19" t="s">
        <v>9039</v>
      </c>
      <c r="B191" s="19" t="s">
        <v>8751</v>
      </c>
      <c r="C191" s="19" t="s">
        <v>8812</v>
      </c>
      <c r="D191" s="47" t="s">
        <v>9065</v>
      </c>
      <c r="E191" s="19" t="s">
        <v>9067</v>
      </c>
      <c r="F191" s="19" t="s">
        <v>9038</v>
      </c>
      <c r="G191" s="41"/>
      <c r="H191" s="41"/>
      <c r="I191" s="41"/>
      <c r="J191" s="41"/>
      <c r="K191" s="41"/>
      <c r="L191" s="41"/>
      <c r="M191" s="41"/>
      <c r="N191" s="41"/>
      <c r="O191" s="41"/>
      <c r="P191" s="41"/>
      <c r="Q191" s="41"/>
      <c r="R191" s="41"/>
      <c r="S191" s="41"/>
    </row>
    <row r="192" ht="22.5" customHeight="1">
      <c r="A192" s="19" t="s">
        <v>9035</v>
      </c>
      <c r="B192" s="19" t="s">
        <v>8751</v>
      </c>
      <c r="C192" s="19" t="s">
        <v>8812</v>
      </c>
      <c r="D192" s="47" t="s">
        <v>9068</v>
      </c>
      <c r="E192" s="19" t="s">
        <v>9069</v>
      </c>
      <c r="F192" s="19" t="s">
        <v>9038</v>
      </c>
      <c r="G192" s="41"/>
      <c r="H192" s="41"/>
      <c r="I192" s="41"/>
      <c r="J192" s="41"/>
      <c r="K192" s="41"/>
      <c r="L192" s="41"/>
      <c r="M192" s="41"/>
      <c r="N192" s="41"/>
      <c r="O192" s="41"/>
      <c r="P192" s="41"/>
      <c r="Q192" s="41"/>
      <c r="R192" s="41"/>
      <c r="S192" s="41"/>
    </row>
    <row r="193" ht="22.5" customHeight="1">
      <c r="A193" s="19" t="s">
        <v>9039</v>
      </c>
      <c r="B193" s="19" t="s">
        <v>8751</v>
      </c>
      <c r="C193" s="19" t="s">
        <v>8812</v>
      </c>
      <c r="D193" s="47" t="s">
        <v>9068</v>
      </c>
      <c r="E193" s="19" t="s">
        <v>9070</v>
      </c>
      <c r="F193" s="19" t="s">
        <v>9038</v>
      </c>
      <c r="G193" s="41"/>
      <c r="H193" s="41"/>
      <c r="I193" s="41"/>
      <c r="J193" s="41"/>
      <c r="K193" s="41"/>
      <c r="L193" s="41"/>
      <c r="M193" s="41"/>
      <c r="N193" s="41"/>
      <c r="O193" s="41"/>
      <c r="P193" s="41"/>
      <c r="Q193" s="41"/>
      <c r="R193" s="41"/>
      <c r="S193" s="41"/>
    </row>
    <row r="194" ht="22.5" customHeight="1">
      <c r="A194" s="19" t="s">
        <v>9035</v>
      </c>
      <c r="B194" s="19" t="s">
        <v>8751</v>
      </c>
      <c r="C194" s="19" t="s">
        <v>8812</v>
      </c>
      <c r="D194" s="47" t="s">
        <v>9071</v>
      </c>
      <c r="E194" s="19" t="s">
        <v>9072</v>
      </c>
      <c r="F194" s="19" t="s">
        <v>9038</v>
      </c>
      <c r="G194" s="41"/>
      <c r="H194" s="41"/>
      <c r="I194" s="41"/>
      <c r="J194" s="41"/>
      <c r="K194" s="41"/>
      <c r="L194" s="41"/>
      <c r="M194" s="41"/>
      <c r="N194" s="41"/>
      <c r="O194" s="41"/>
      <c r="P194" s="41"/>
      <c r="Q194" s="41"/>
      <c r="R194" s="41"/>
      <c r="S194" s="41"/>
    </row>
    <row r="195" ht="22.5" customHeight="1">
      <c r="A195" s="19" t="s">
        <v>9039</v>
      </c>
      <c r="B195" s="19" t="s">
        <v>8751</v>
      </c>
      <c r="C195" s="19" t="s">
        <v>8812</v>
      </c>
      <c r="D195" s="47" t="s">
        <v>9071</v>
      </c>
      <c r="E195" s="19" t="s">
        <v>9073</v>
      </c>
      <c r="F195" s="19" t="s">
        <v>9038</v>
      </c>
      <c r="G195" s="41"/>
      <c r="H195" s="41"/>
      <c r="I195" s="41"/>
      <c r="J195" s="41"/>
      <c r="K195" s="41"/>
      <c r="L195" s="41"/>
      <c r="M195" s="41"/>
      <c r="N195" s="41"/>
      <c r="O195" s="41"/>
      <c r="P195" s="41"/>
      <c r="Q195" s="41"/>
      <c r="R195" s="41"/>
      <c r="S195" s="41"/>
    </row>
    <row r="196" ht="22.5" customHeight="1">
      <c r="A196" s="19" t="s">
        <v>9035</v>
      </c>
      <c r="B196" s="19" t="s">
        <v>8751</v>
      </c>
      <c r="C196" s="19" t="s">
        <v>8812</v>
      </c>
      <c r="D196" s="47" t="s">
        <v>9074</v>
      </c>
      <c r="E196" s="19" t="s">
        <v>9075</v>
      </c>
      <c r="F196" s="19" t="s">
        <v>9038</v>
      </c>
      <c r="G196" s="41"/>
      <c r="H196" s="41"/>
      <c r="I196" s="41"/>
      <c r="J196" s="41"/>
      <c r="K196" s="41"/>
      <c r="L196" s="41"/>
      <c r="M196" s="41"/>
      <c r="N196" s="41"/>
      <c r="O196" s="41"/>
      <c r="P196" s="41"/>
      <c r="Q196" s="41"/>
      <c r="R196" s="41"/>
      <c r="S196" s="41"/>
    </row>
    <row r="197" ht="22.5" customHeight="1">
      <c r="A197" s="19" t="s">
        <v>9039</v>
      </c>
      <c r="B197" s="19" t="s">
        <v>8751</v>
      </c>
      <c r="C197" s="19" t="s">
        <v>8812</v>
      </c>
      <c r="D197" s="47" t="s">
        <v>9074</v>
      </c>
      <c r="E197" s="19" t="s">
        <v>9076</v>
      </c>
      <c r="F197" s="19" t="s">
        <v>9038</v>
      </c>
      <c r="G197" s="41"/>
      <c r="H197" s="41"/>
      <c r="I197" s="41"/>
      <c r="J197" s="41"/>
      <c r="K197" s="41"/>
      <c r="L197" s="41"/>
      <c r="M197" s="41"/>
      <c r="N197" s="41"/>
      <c r="O197" s="41"/>
      <c r="P197" s="41"/>
      <c r="Q197" s="41"/>
      <c r="R197" s="41"/>
      <c r="S197" s="41"/>
    </row>
    <row r="198" ht="22.5" customHeight="1">
      <c r="A198" s="19" t="s">
        <v>9035</v>
      </c>
      <c r="B198" s="19" t="s">
        <v>8751</v>
      </c>
      <c r="C198" s="19" t="s">
        <v>8812</v>
      </c>
      <c r="D198" s="47" t="s">
        <v>9077</v>
      </c>
      <c r="E198" s="19" t="s">
        <v>9078</v>
      </c>
      <c r="F198" s="19" t="s">
        <v>9038</v>
      </c>
      <c r="G198" s="41"/>
      <c r="H198" s="41"/>
      <c r="I198" s="41"/>
      <c r="J198" s="41"/>
      <c r="K198" s="41"/>
      <c r="L198" s="41"/>
      <c r="M198" s="41"/>
      <c r="N198" s="41"/>
      <c r="O198" s="41"/>
      <c r="P198" s="41"/>
      <c r="Q198" s="41"/>
      <c r="R198" s="41"/>
      <c r="S198" s="41"/>
    </row>
    <row r="199" ht="22.5" customHeight="1">
      <c r="A199" s="19" t="s">
        <v>9039</v>
      </c>
      <c r="B199" s="19" t="s">
        <v>8751</v>
      </c>
      <c r="C199" s="19" t="s">
        <v>8812</v>
      </c>
      <c r="D199" s="47" t="s">
        <v>9077</v>
      </c>
      <c r="E199" s="19" t="s">
        <v>9079</v>
      </c>
      <c r="F199" s="19" t="s">
        <v>9038</v>
      </c>
      <c r="G199" s="41"/>
      <c r="H199" s="41"/>
      <c r="I199" s="41"/>
      <c r="J199" s="41"/>
      <c r="K199" s="41"/>
      <c r="L199" s="41"/>
      <c r="M199" s="41"/>
      <c r="N199" s="41"/>
      <c r="O199" s="41"/>
      <c r="P199" s="41"/>
      <c r="Q199" s="41"/>
      <c r="R199" s="41"/>
      <c r="S199" s="41"/>
    </row>
    <row r="200" ht="22.5" customHeight="1">
      <c r="A200" s="19" t="s">
        <v>9035</v>
      </c>
      <c r="B200" s="19" t="s">
        <v>8751</v>
      </c>
      <c r="C200" s="19" t="s">
        <v>8812</v>
      </c>
      <c r="D200" s="47" t="s">
        <v>9080</v>
      </c>
      <c r="E200" s="19" t="s">
        <v>9081</v>
      </c>
      <c r="F200" s="19" t="s">
        <v>9038</v>
      </c>
      <c r="G200" s="41"/>
      <c r="H200" s="41"/>
      <c r="I200" s="41"/>
      <c r="J200" s="41"/>
      <c r="K200" s="41"/>
      <c r="L200" s="41"/>
      <c r="M200" s="41"/>
      <c r="N200" s="41"/>
      <c r="O200" s="41"/>
      <c r="P200" s="41"/>
      <c r="Q200" s="41"/>
      <c r="R200" s="41"/>
      <c r="S200" s="41"/>
    </row>
    <row r="201" ht="22.5" customHeight="1">
      <c r="A201" s="19" t="s">
        <v>9039</v>
      </c>
      <c r="B201" s="19" t="s">
        <v>8751</v>
      </c>
      <c r="C201" s="19" t="s">
        <v>8812</v>
      </c>
      <c r="D201" s="47" t="s">
        <v>9080</v>
      </c>
      <c r="E201" s="19" t="s">
        <v>9082</v>
      </c>
      <c r="F201" s="19" t="s">
        <v>9038</v>
      </c>
      <c r="G201" s="41"/>
      <c r="H201" s="41"/>
      <c r="I201" s="41"/>
      <c r="J201" s="41"/>
      <c r="K201" s="41"/>
      <c r="L201" s="41"/>
      <c r="M201" s="41"/>
      <c r="N201" s="41"/>
      <c r="O201" s="41"/>
      <c r="P201" s="41"/>
      <c r="Q201" s="41"/>
      <c r="R201" s="41"/>
      <c r="S201" s="41"/>
    </row>
    <row r="202" ht="22.5" customHeight="1">
      <c r="A202" s="19" t="s">
        <v>9035</v>
      </c>
      <c r="B202" s="19" t="s">
        <v>8751</v>
      </c>
      <c r="C202" s="19" t="s">
        <v>8812</v>
      </c>
      <c r="D202" s="47" t="s">
        <v>9083</v>
      </c>
      <c r="E202" s="19" t="s">
        <v>9084</v>
      </c>
      <c r="F202" s="19" t="s">
        <v>9038</v>
      </c>
      <c r="G202" s="41"/>
      <c r="H202" s="41"/>
      <c r="I202" s="41"/>
      <c r="J202" s="41"/>
      <c r="K202" s="41"/>
      <c r="L202" s="41"/>
      <c r="M202" s="41"/>
      <c r="N202" s="41"/>
      <c r="O202" s="41"/>
      <c r="P202" s="41"/>
      <c r="Q202" s="41"/>
      <c r="R202" s="41"/>
      <c r="S202" s="41"/>
    </row>
    <row r="203" ht="22.5" customHeight="1">
      <c r="A203" s="19" t="s">
        <v>9039</v>
      </c>
      <c r="B203" s="19" t="s">
        <v>8751</v>
      </c>
      <c r="C203" s="19" t="s">
        <v>8812</v>
      </c>
      <c r="D203" s="47" t="s">
        <v>9083</v>
      </c>
      <c r="E203" s="19" t="s">
        <v>9085</v>
      </c>
      <c r="F203" s="19" t="s">
        <v>9038</v>
      </c>
      <c r="G203" s="41"/>
      <c r="H203" s="41"/>
      <c r="I203" s="41"/>
      <c r="J203" s="41"/>
      <c r="K203" s="41"/>
      <c r="L203" s="41"/>
      <c r="M203" s="41"/>
      <c r="N203" s="41"/>
      <c r="O203" s="41"/>
      <c r="P203" s="41"/>
      <c r="Q203" s="41"/>
      <c r="R203" s="41"/>
      <c r="S203" s="41"/>
    </row>
    <row r="204" ht="22.5" customHeight="1">
      <c r="A204" s="19" t="s">
        <v>9035</v>
      </c>
      <c r="B204" s="19" t="s">
        <v>8751</v>
      </c>
      <c r="C204" s="19" t="s">
        <v>8812</v>
      </c>
      <c r="D204" s="47" t="s">
        <v>9086</v>
      </c>
      <c r="E204" s="19" t="s">
        <v>9087</v>
      </c>
      <c r="F204" s="19" t="s">
        <v>9038</v>
      </c>
      <c r="G204" s="41"/>
      <c r="H204" s="41"/>
      <c r="I204" s="41"/>
      <c r="J204" s="41"/>
      <c r="K204" s="41"/>
      <c r="L204" s="41"/>
      <c r="M204" s="41"/>
      <c r="N204" s="41"/>
      <c r="O204" s="41"/>
      <c r="P204" s="41"/>
      <c r="Q204" s="41"/>
      <c r="R204" s="41"/>
      <c r="S204" s="41"/>
    </row>
    <row r="205" ht="22.5" customHeight="1">
      <c r="A205" s="19" t="s">
        <v>9039</v>
      </c>
      <c r="B205" s="19" t="s">
        <v>8751</v>
      </c>
      <c r="C205" s="19" t="s">
        <v>8812</v>
      </c>
      <c r="D205" s="47" t="s">
        <v>9086</v>
      </c>
      <c r="E205" s="19" t="s">
        <v>9088</v>
      </c>
      <c r="F205" s="19" t="s">
        <v>9038</v>
      </c>
      <c r="G205" s="41"/>
      <c r="H205" s="41"/>
      <c r="I205" s="41"/>
      <c r="J205" s="41"/>
      <c r="K205" s="41"/>
      <c r="L205" s="41"/>
      <c r="M205" s="41"/>
      <c r="N205" s="41"/>
      <c r="O205" s="41"/>
      <c r="P205" s="41"/>
      <c r="Q205" s="41"/>
      <c r="R205" s="41"/>
      <c r="S205" s="41"/>
    </row>
    <row r="206" ht="22.5" customHeight="1">
      <c r="A206" s="19" t="s">
        <v>9035</v>
      </c>
      <c r="B206" s="19" t="s">
        <v>8861</v>
      </c>
      <c r="C206" s="19" t="s">
        <v>9089</v>
      </c>
      <c r="D206" s="47" t="s">
        <v>9090</v>
      </c>
      <c r="E206" s="19" t="s">
        <v>9091</v>
      </c>
      <c r="F206" s="19" t="s">
        <v>9038</v>
      </c>
      <c r="G206" s="41"/>
      <c r="H206" s="41"/>
      <c r="I206" s="41"/>
      <c r="J206" s="41"/>
      <c r="K206" s="41"/>
      <c r="L206" s="41"/>
      <c r="M206" s="41"/>
      <c r="N206" s="41"/>
      <c r="O206" s="41"/>
      <c r="P206" s="41"/>
      <c r="Q206" s="41"/>
      <c r="R206" s="41"/>
      <c r="S206" s="41"/>
    </row>
    <row r="207" ht="22.5" customHeight="1">
      <c r="A207" s="19" t="s">
        <v>9039</v>
      </c>
      <c r="B207" s="19" t="s">
        <v>8861</v>
      </c>
      <c r="C207" s="19" t="s">
        <v>9089</v>
      </c>
      <c r="D207" s="47" t="s">
        <v>9090</v>
      </c>
      <c r="E207" s="19" t="s">
        <v>9092</v>
      </c>
      <c r="F207" s="19" t="s">
        <v>9038</v>
      </c>
      <c r="G207" s="41"/>
      <c r="H207" s="41"/>
      <c r="I207" s="41"/>
      <c r="J207" s="41"/>
      <c r="K207" s="41"/>
      <c r="L207" s="41"/>
      <c r="M207" s="41"/>
      <c r="N207" s="41"/>
      <c r="O207" s="41"/>
      <c r="P207" s="41"/>
      <c r="Q207" s="41"/>
      <c r="R207" s="41"/>
      <c r="S207" s="41"/>
    </row>
    <row r="208" ht="22.5" customHeight="1">
      <c r="A208" s="19" t="s">
        <v>9035</v>
      </c>
      <c r="B208" s="19" t="s">
        <v>8783</v>
      </c>
      <c r="C208" s="19" t="s">
        <v>8812</v>
      </c>
      <c r="D208" s="47" t="s">
        <v>9093</v>
      </c>
      <c r="E208" s="19" t="s">
        <v>9094</v>
      </c>
      <c r="F208" s="19" t="s">
        <v>9038</v>
      </c>
      <c r="G208" s="41"/>
      <c r="H208" s="41"/>
      <c r="I208" s="41"/>
      <c r="J208" s="41"/>
      <c r="K208" s="41"/>
      <c r="L208" s="41"/>
      <c r="M208" s="41"/>
      <c r="N208" s="41"/>
      <c r="O208" s="41"/>
      <c r="P208" s="41"/>
      <c r="Q208" s="41"/>
      <c r="R208" s="41"/>
      <c r="S208" s="41"/>
    </row>
    <row r="209" ht="22.5" customHeight="1">
      <c r="A209" s="19" t="s">
        <v>9039</v>
      </c>
      <c r="B209" s="19" t="s">
        <v>8783</v>
      </c>
      <c r="C209" s="19" t="s">
        <v>8812</v>
      </c>
      <c r="D209" s="47" t="s">
        <v>9093</v>
      </c>
      <c r="E209" s="19" t="s">
        <v>9095</v>
      </c>
      <c r="F209" s="19" t="s">
        <v>9038</v>
      </c>
      <c r="G209" s="41"/>
      <c r="H209" s="41"/>
      <c r="I209" s="41"/>
      <c r="J209" s="41"/>
      <c r="K209" s="41"/>
      <c r="L209" s="41"/>
      <c r="M209" s="41"/>
      <c r="N209" s="41"/>
      <c r="O209" s="41"/>
      <c r="P209" s="41"/>
      <c r="Q209" s="41"/>
      <c r="R209" s="41"/>
      <c r="S209" s="41"/>
    </row>
  </sheetData>
  <customSheetViews>
    <customSheetView guid="{5A59F9EA-B2F3-408C-B3A9-DCA2D232261E}" filter="1" showAutoFilter="1">
      <autoFilter ref="$A$1:$S$209">
        <sortState ref="A1:S209">
          <sortCondition ref="D1:D209"/>
          <sortCondition ref="C1:C209"/>
          <sortCondition ref="B1:B209"/>
        </sortState>
      </autoFilter>
    </customSheetView>
  </customSheetView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D1D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48.5"/>
    <col customWidth="1" min="3" max="3" width="66.5"/>
    <col customWidth="1" min="4" max="4" width="16.25"/>
    <col customWidth="1" min="5" max="5" width="22.38"/>
    <col customWidth="1" min="6" max="6" width="45.63"/>
  </cols>
  <sheetData>
    <row r="1" ht="30.0" customHeight="1">
      <c r="A1" s="5" t="s">
        <v>1781</v>
      </c>
      <c r="B1" s="6" t="s">
        <v>7</v>
      </c>
      <c r="C1" s="5" t="s">
        <v>2212</v>
      </c>
      <c r="D1" s="5" t="s">
        <v>9096</v>
      </c>
      <c r="E1" s="5" t="s">
        <v>9097</v>
      </c>
      <c r="F1" s="5" t="s">
        <v>9098</v>
      </c>
    </row>
    <row r="2" ht="22.5" customHeight="1">
      <c r="A2" s="7" t="s">
        <v>9099</v>
      </c>
      <c r="B2" s="8" t="s">
        <v>9100</v>
      </c>
      <c r="C2" s="7" t="s">
        <v>9101</v>
      </c>
      <c r="D2" s="7" t="s">
        <v>9102</v>
      </c>
      <c r="E2" s="7" t="s">
        <v>9103</v>
      </c>
    </row>
    <row r="3" ht="22.5" customHeight="1">
      <c r="A3" s="7" t="s">
        <v>9099</v>
      </c>
      <c r="B3" s="8" t="s">
        <v>9104</v>
      </c>
      <c r="C3" s="7" t="s">
        <v>9105</v>
      </c>
      <c r="D3" s="7" t="s">
        <v>9106</v>
      </c>
      <c r="E3" s="7" t="s">
        <v>9107</v>
      </c>
    </row>
    <row r="4" ht="22.5" customHeight="1">
      <c r="A4" s="7" t="s">
        <v>9099</v>
      </c>
      <c r="B4" s="8" t="s">
        <v>9108</v>
      </c>
      <c r="C4" s="7" t="s">
        <v>9109</v>
      </c>
      <c r="D4" s="7" t="s">
        <v>9102</v>
      </c>
      <c r="E4" s="7" t="s">
        <v>9110</v>
      </c>
    </row>
    <row r="5" ht="22.5" customHeight="1">
      <c r="A5" s="7" t="s">
        <v>9099</v>
      </c>
      <c r="B5" s="8" t="s">
        <v>9111</v>
      </c>
      <c r="C5" s="7" t="s">
        <v>9112</v>
      </c>
      <c r="D5" s="7" t="s">
        <v>9113</v>
      </c>
      <c r="E5" s="7" t="s">
        <v>9114</v>
      </c>
    </row>
    <row r="6" ht="22.5" customHeight="1">
      <c r="A6" s="7" t="s">
        <v>9099</v>
      </c>
      <c r="B6" s="8" t="s">
        <v>9115</v>
      </c>
      <c r="C6" s="7" t="s">
        <v>9116</v>
      </c>
      <c r="D6" s="7" t="s">
        <v>9117</v>
      </c>
      <c r="E6" s="7" t="s">
        <v>9118</v>
      </c>
    </row>
    <row r="7" ht="22.5" customHeight="1">
      <c r="A7" s="7" t="s">
        <v>9099</v>
      </c>
      <c r="B7" s="8" t="s">
        <v>9119</v>
      </c>
      <c r="C7" s="7" t="s">
        <v>9120</v>
      </c>
      <c r="D7" s="7" t="s">
        <v>9121</v>
      </c>
      <c r="E7" s="7" t="s">
        <v>9122</v>
      </c>
    </row>
    <row r="8" ht="22.5" customHeight="1">
      <c r="A8" s="7" t="s">
        <v>9099</v>
      </c>
      <c r="B8" s="8" t="s">
        <v>9123</v>
      </c>
      <c r="C8" s="7" t="s">
        <v>9124</v>
      </c>
      <c r="D8" s="7" t="s">
        <v>9102</v>
      </c>
      <c r="E8" s="7" t="s">
        <v>9103</v>
      </c>
    </row>
    <row r="9" ht="22.5" customHeight="1">
      <c r="A9" s="7" t="s">
        <v>9099</v>
      </c>
      <c r="B9" s="8" t="s">
        <v>9125</v>
      </c>
      <c r="C9" s="7" t="s">
        <v>9126</v>
      </c>
      <c r="D9" s="7" t="s">
        <v>9102</v>
      </c>
      <c r="E9" s="7" t="s">
        <v>9103</v>
      </c>
    </row>
    <row r="10" ht="22.5" customHeight="1">
      <c r="A10" s="7" t="s">
        <v>9127</v>
      </c>
      <c r="B10" s="8" t="s">
        <v>9128</v>
      </c>
      <c r="C10" s="7" t="s">
        <v>9129</v>
      </c>
      <c r="D10" s="7" t="s">
        <v>9130</v>
      </c>
      <c r="E10" s="7" t="s">
        <v>9131</v>
      </c>
    </row>
    <row r="11" ht="22.5" customHeight="1">
      <c r="A11" s="7" t="s">
        <v>9127</v>
      </c>
      <c r="B11" s="8" t="s">
        <v>9132</v>
      </c>
      <c r="C11" s="7" t="s">
        <v>9133</v>
      </c>
      <c r="D11" s="7" t="s">
        <v>9117</v>
      </c>
      <c r="E11" s="7" t="s">
        <v>9134</v>
      </c>
    </row>
    <row r="12" ht="22.5" customHeight="1">
      <c r="A12" s="7" t="s">
        <v>9127</v>
      </c>
      <c r="B12" s="8" t="s">
        <v>9135</v>
      </c>
      <c r="C12" s="7" t="s">
        <v>9136</v>
      </c>
      <c r="D12" s="7" t="s">
        <v>9137</v>
      </c>
      <c r="E12" s="7" t="s">
        <v>9138</v>
      </c>
    </row>
    <row r="13" ht="22.5" customHeight="1">
      <c r="A13" s="7" t="s">
        <v>9127</v>
      </c>
      <c r="B13" s="8" t="s">
        <v>9139</v>
      </c>
      <c r="C13" s="7" t="s">
        <v>9140</v>
      </c>
      <c r="D13" s="7" t="s">
        <v>9102</v>
      </c>
      <c r="E13" s="7" t="s">
        <v>9141</v>
      </c>
    </row>
    <row r="14" ht="22.5" customHeight="1">
      <c r="A14" s="7" t="s">
        <v>9127</v>
      </c>
      <c r="B14" s="8" t="s">
        <v>9142</v>
      </c>
      <c r="C14" s="7" t="s">
        <v>9143</v>
      </c>
      <c r="D14" s="7" t="s">
        <v>9113</v>
      </c>
      <c r="E14" s="7" t="s">
        <v>9114</v>
      </c>
    </row>
    <row r="15" ht="22.5" customHeight="1">
      <c r="A15" s="7" t="s">
        <v>9127</v>
      </c>
      <c r="B15" s="8" t="s">
        <v>9144</v>
      </c>
      <c r="C15" s="7" t="s">
        <v>9145</v>
      </c>
      <c r="D15" s="7" t="s">
        <v>9106</v>
      </c>
      <c r="E15" s="7" t="s">
        <v>9107</v>
      </c>
    </row>
    <row r="16" ht="22.5" customHeight="1">
      <c r="A16" s="7" t="s">
        <v>9127</v>
      </c>
      <c r="B16" s="8" t="s">
        <v>9146</v>
      </c>
      <c r="C16" s="7" t="s">
        <v>9147</v>
      </c>
      <c r="D16" s="7" t="s">
        <v>9121</v>
      </c>
      <c r="E16" s="7" t="s">
        <v>9122</v>
      </c>
    </row>
    <row r="17" ht="22.5" customHeight="1">
      <c r="A17" s="7" t="s">
        <v>9148</v>
      </c>
      <c r="B17" s="8" t="s">
        <v>9149</v>
      </c>
      <c r="C17" s="7" t="s">
        <v>9150</v>
      </c>
      <c r="D17" s="7" t="s">
        <v>9102</v>
      </c>
      <c r="E17" s="7" t="s">
        <v>9141</v>
      </c>
    </row>
    <row r="18" ht="22.5" customHeight="1">
      <c r="A18" s="7" t="s">
        <v>9148</v>
      </c>
      <c r="B18" s="8" t="s">
        <v>9151</v>
      </c>
      <c r="C18" s="7" t="s">
        <v>9152</v>
      </c>
      <c r="D18" s="7" t="s">
        <v>9130</v>
      </c>
      <c r="E18" s="7" t="s">
        <v>9153</v>
      </c>
    </row>
    <row r="19" ht="22.5" customHeight="1">
      <c r="A19" s="7" t="s">
        <v>9148</v>
      </c>
      <c r="B19" s="8" t="s">
        <v>9154</v>
      </c>
      <c r="C19" s="7" t="s">
        <v>9155</v>
      </c>
      <c r="D19" s="7" t="s">
        <v>9102</v>
      </c>
      <c r="E19" s="7" t="s">
        <v>9103</v>
      </c>
    </row>
    <row r="20" ht="22.5" customHeight="1">
      <c r="A20" s="7" t="s">
        <v>9148</v>
      </c>
      <c r="B20" s="8" t="s">
        <v>9156</v>
      </c>
      <c r="C20" s="7" t="s">
        <v>9157</v>
      </c>
      <c r="D20" s="7" t="s">
        <v>9137</v>
      </c>
      <c r="E20" s="7" t="s">
        <v>9158</v>
      </c>
    </row>
    <row r="21" ht="22.5" customHeight="1">
      <c r="A21" s="7" t="s">
        <v>9148</v>
      </c>
      <c r="B21" s="8" t="s">
        <v>9159</v>
      </c>
      <c r="C21" s="7" t="s">
        <v>9160</v>
      </c>
      <c r="D21" s="7" t="s">
        <v>9113</v>
      </c>
      <c r="E21" s="7" t="s">
        <v>9161</v>
      </c>
    </row>
    <row r="22" ht="22.5" customHeight="1">
      <c r="A22" s="7" t="s">
        <v>9148</v>
      </c>
      <c r="B22" s="8" t="s">
        <v>9162</v>
      </c>
      <c r="C22" s="7" t="s">
        <v>9163</v>
      </c>
      <c r="D22" s="7" t="s">
        <v>9102</v>
      </c>
      <c r="E22" s="7" t="s">
        <v>9103</v>
      </c>
    </row>
    <row r="23" ht="22.5" customHeight="1">
      <c r="A23" s="7" t="s">
        <v>9148</v>
      </c>
      <c r="B23" s="8" t="s">
        <v>9164</v>
      </c>
      <c r="C23" s="7" t="s">
        <v>9165</v>
      </c>
      <c r="D23" s="7" t="s">
        <v>9102</v>
      </c>
      <c r="E23" s="7" t="s">
        <v>9103</v>
      </c>
    </row>
    <row r="24" ht="22.5" customHeight="1">
      <c r="A24" s="7" t="s">
        <v>9148</v>
      </c>
      <c r="B24" s="8" t="s">
        <v>9166</v>
      </c>
      <c r="C24" s="7" t="s">
        <v>9167</v>
      </c>
      <c r="D24" s="7" t="s">
        <v>9130</v>
      </c>
      <c r="E24" s="7" t="s">
        <v>9153</v>
      </c>
    </row>
    <row r="25" ht="22.5" customHeight="1">
      <c r="A25" s="7" t="s">
        <v>9168</v>
      </c>
      <c r="B25" s="8" t="s">
        <v>9169</v>
      </c>
      <c r="C25" s="7" t="s">
        <v>9170</v>
      </c>
      <c r="D25" s="7" t="s">
        <v>9102</v>
      </c>
      <c r="E25" s="7" t="s">
        <v>9141</v>
      </c>
    </row>
    <row r="26" ht="22.5" customHeight="1">
      <c r="A26" s="7" t="s">
        <v>9168</v>
      </c>
      <c r="B26" s="8" t="s">
        <v>9171</v>
      </c>
      <c r="C26" s="7" t="s">
        <v>9172</v>
      </c>
      <c r="D26" s="7" t="s">
        <v>9130</v>
      </c>
      <c r="E26" s="7" t="s">
        <v>9153</v>
      </c>
    </row>
    <row r="27" ht="22.5" customHeight="1">
      <c r="A27" s="7" t="s">
        <v>9168</v>
      </c>
      <c r="B27" s="8" t="s">
        <v>9173</v>
      </c>
      <c r="C27" s="7" t="s">
        <v>9174</v>
      </c>
      <c r="D27" s="7" t="s">
        <v>9130</v>
      </c>
      <c r="E27" s="7" t="s">
        <v>9131</v>
      </c>
    </row>
    <row r="28" ht="22.5" customHeight="1">
      <c r="A28" s="7" t="s">
        <v>9168</v>
      </c>
      <c r="B28" s="8" t="s">
        <v>9175</v>
      </c>
      <c r="C28" s="7" t="s">
        <v>9176</v>
      </c>
      <c r="D28" s="7" t="s">
        <v>9130</v>
      </c>
      <c r="E28" s="7" t="s">
        <v>9177</v>
      </c>
    </row>
    <row r="29" ht="22.5" customHeight="1">
      <c r="A29" s="7" t="s">
        <v>9168</v>
      </c>
      <c r="B29" s="8" t="s">
        <v>9178</v>
      </c>
      <c r="C29" s="7" t="s">
        <v>9179</v>
      </c>
      <c r="D29" s="7" t="s">
        <v>9130</v>
      </c>
      <c r="E29" s="7" t="s">
        <v>9131</v>
      </c>
    </row>
    <row r="30" ht="22.5" customHeight="1">
      <c r="A30" s="7" t="s">
        <v>9168</v>
      </c>
      <c r="B30" s="8" t="s">
        <v>9180</v>
      </c>
      <c r="C30" s="7" t="s">
        <v>9181</v>
      </c>
      <c r="D30" s="7" t="s">
        <v>9130</v>
      </c>
      <c r="E30" s="7" t="s">
        <v>9131</v>
      </c>
    </row>
    <row r="31" ht="22.5" customHeight="1">
      <c r="A31" s="7" t="s">
        <v>9168</v>
      </c>
      <c r="B31" s="8" t="s">
        <v>9182</v>
      </c>
      <c r="C31" s="7" t="s">
        <v>9183</v>
      </c>
      <c r="D31" s="7" t="s">
        <v>9113</v>
      </c>
      <c r="E31" s="7" t="s">
        <v>9114</v>
      </c>
    </row>
    <row r="32" ht="22.5" customHeight="1">
      <c r="A32" s="7" t="s">
        <v>9168</v>
      </c>
      <c r="B32" s="8" t="s">
        <v>9184</v>
      </c>
      <c r="C32" s="7" t="s">
        <v>9185</v>
      </c>
      <c r="D32" s="7" t="s">
        <v>9121</v>
      </c>
      <c r="E32" s="7" t="s">
        <v>9186</v>
      </c>
    </row>
    <row r="33" ht="22.5" customHeight="1">
      <c r="A33" s="7" t="s">
        <v>9168</v>
      </c>
      <c r="B33" s="8" t="s">
        <v>9187</v>
      </c>
      <c r="C33" s="7" t="s">
        <v>9188</v>
      </c>
      <c r="D33" s="7" t="s">
        <v>9121</v>
      </c>
      <c r="E33" s="7" t="s">
        <v>9186</v>
      </c>
    </row>
    <row r="34" ht="22.5" customHeight="1">
      <c r="A34" s="7" t="s">
        <v>9168</v>
      </c>
      <c r="B34" s="8" t="s">
        <v>9189</v>
      </c>
      <c r="C34" s="7" t="s">
        <v>9190</v>
      </c>
      <c r="D34" s="7" t="s">
        <v>9106</v>
      </c>
      <c r="E34" s="7" t="s">
        <v>9191</v>
      </c>
    </row>
    <row r="35" ht="22.5" customHeight="1">
      <c r="A35" s="7" t="s">
        <v>9168</v>
      </c>
      <c r="B35" s="8" t="s">
        <v>9192</v>
      </c>
      <c r="C35" s="7" t="s">
        <v>9193</v>
      </c>
      <c r="D35" s="7" t="s">
        <v>9106</v>
      </c>
      <c r="E35" s="7" t="s">
        <v>9107</v>
      </c>
    </row>
    <row r="36" ht="22.5" customHeight="1">
      <c r="A36" s="7" t="s">
        <v>9168</v>
      </c>
      <c r="B36" s="8" t="s">
        <v>9194</v>
      </c>
      <c r="C36" s="7" t="s">
        <v>9195</v>
      </c>
      <c r="D36" s="7" t="s">
        <v>9130</v>
      </c>
      <c r="E36" s="7" t="s">
        <v>9131</v>
      </c>
    </row>
    <row r="37" ht="22.5" customHeight="1">
      <c r="A37" s="7" t="s">
        <v>9168</v>
      </c>
      <c r="B37" s="8" t="s">
        <v>9196</v>
      </c>
      <c r="C37" s="7" t="s">
        <v>9197</v>
      </c>
      <c r="D37" s="7" t="s">
        <v>9121</v>
      </c>
      <c r="E37" s="7" t="s">
        <v>9122</v>
      </c>
    </row>
    <row r="38" ht="22.5" customHeight="1">
      <c r="A38" s="7" t="s">
        <v>9168</v>
      </c>
      <c r="B38" s="8" t="s">
        <v>9198</v>
      </c>
      <c r="C38" s="7" t="s">
        <v>9199</v>
      </c>
      <c r="D38" s="7" t="s">
        <v>9121</v>
      </c>
      <c r="E38" s="7" t="s">
        <v>9122</v>
      </c>
    </row>
    <row r="39" ht="22.5" customHeight="1">
      <c r="A39" s="7" t="s">
        <v>9168</v>
      </c>
      <c r="B39" s="8" t="s">
        <v>9200</v>
      </c>
      <c r="C39" s="7" t="s">
        <v>9201</v>
      </c>
      <c r="D39" s="7" t="s">
        <v>9121</v>
      </c>
      <c r="E39" s="7" t="s">
        <v>9122</v>
      </c>
    </row>
    <row r="40" ht="22.5" customHeight="1">
      <c r="A40" s="7" t="s">
        <v>9168</v>
      </c>
      <c r="B40" s="8" t="s">
        <v>9202</v>
      </c>
      <c r="C40" s="7" t="s">
        <v>9203</v>
      </c>
      <c r="D40" s="7" t="s">
        <v>9121</v>
      </c>
      <c r="E40" s="7" t="s">
        <v>9122</v>
      </c>
    </row>
    <row r="41" ht="22.5" customHeight="1">
      <c r="A41" s="7" t="s">
        <v>9168</v>
      </c>
      <c r="B41" s="8" t="s">
        <v>9204</v>
      </c>
      <c r="C41" s="7" t="s">
        <v>9205</v>
      </c>
      <c r="D41" s="7" t="s">
        <v>9121</v>
      </c>
      <c r="E41" s="7" t="s">
        <v>9122</v>
      </c>
    </row>
    <row r="42" ht="22.5" customHeight="1">
      <c r="A42" s="7" t="s">
        <v>9206</v>
      </c>
      <c r="B42" s="8" t="s">
        <v>9207</v>
      </c>
      <c r="C42" s="7" t="s">
        <v>9208</v>
      </c>
      <c r="D42" s="7" t="s">
        <v>9130</v>
      </c>
      <c r="E42" s="7" t="s">
        <v>9177</v>
      </c>
    </row>
    <row r="43" ht="22.5" customHeight="1">
      <c r="A43" s="7" t="s">
        <v>9206</v>
      </c>
      <c r="B43" s="8" t="s">
        <v>9209</v>
      </c>
      <c r="C43" s="7" t="s">
        <v>9210</v>
      </c>
      <c r="D43" s="7" t="s">
        <v>9102</v>
      </c>
      <c r="E43" s="7" t="s">
        <v>9141</v>
      </c>
    </row>
    <row r="44" ht="22.5" customHeight="1">
      <c r="A44" s="7" t="s">
        <v>9206</v>
      </c>
      <c r="B44" s="8" t="s">
        <v>9211</v>
      </c>
      <c r="C44" s="7" t="s">
        <v>9212</v>
      </c>
      <c r="D44" s="7" t="s">
        <v>9102</v>
      </c>
      <c r="E44" s="7" t="s">
        <v>9141</v>
      </c>
    </row>
    <row r="45" ht="22.5" customHeight="1">
      <c r="A45" s="7" t="s">
        <v>9213</v>
      </c>
      <c r="B45" s="8" t="s">
        <v>9214</v>
      </c>
      <c r="C45" s="7" t="s">
        <v>9215</v>
      </c>
      <c r="D45" s="7" t="s">
        <v>9117</v>
      </c>
      <c r="E45" s="7" t="s">
        <v>9134</v>
      </c>
    </row>
    <row r="46" ht="22.5" customHeight="1">
      <c r="A46" s="7" t="s">
        <v>9213</v>
      </c>
      <c r="B46" s="8" t="s">
        <v>9216</v>
      </c>
      <c r="C46" s="7" t="s">
        <v>9217</v>
      </c>
      <c r="D46" s="7" t="s">
        <v>9117</v>
      </c>
      <c r="E46" s="7" t="s">
        <v>9134</v>
      </c>
    </row>
    <row r="47" ht="22.5" customHeight="1">
      <c r="A47" s="7" t="s">
        <v>9213</v>
      </c>
      <c r="B47" s="8" t="s">
        <v>9218</v>
      </c>
      <c r="C47" s="7" t="s">
        <v>9219</v>
      </c>
      <c r="D47" s="7" t="s">
        <v>9102</v>
      </c>
      <c r="E47" s="7" t="s">
        <v>9103</v>
      </c>
    </row>
    <row r="48" ht="22.5" customHeight="1">
      <c r="A48" s="7" t="s">
        <v>9213</v>
      </c>
      <c r="B48" s="8" t="s">
        <v>9220</v>
      </c>
      <c r="C48" s="7" t="s">
        <v>9221</v>
      </c>
      <c r="D48" s="7" t="s">
        <v>9113</v>
      </c>
      <c r="E48" s="7" t="s">
        <v>9114</v>
      </c>
    </row>
    <row r="49" ht="22.5" customHeight="1">
      <c r="A49" s="7" t="s">
        <v>9213</v>
      </c>
      <c r="B49" s="8" t="s">
        <v>9222</v>
      </c>
      <c r="C49" s="7" t="s">
        <v>9223</v>
      </c>
      <c r="D49" s="7" t="s">
        <v>9113</v>
      </c>
      <c r="E49" s="7" t="s">
        <v>9114</v>
      </c>
    </row>
    <row r="50" ht="22.5" customHeight="1">
      <c r="A50" s="7" t="s">
        <v>9213</v>
      </c>
      <c r="B50" s="8" t="s">
        <v>9224</v>
      </c>
      <c r="C50" s="7" t="s">
        <v>9225</v>
      </c>
      <c r="D50" s="7" t="s">
        <v>9113</v>
      </c>
      <c r="E50" s="7" t="s">
        <v>9114</v>
      </c>
    </row>
    <row r="51" ht="22.5" customHeight="1">
      <c r="A51" s="7" t="s">
        <v>9213</v>
      </c>
      <c r="B51" s="8" t="s">
        <v>9226</v>
      </c>
      <c r="C51" s="7" t="s">
        <v>9227</v>
      </c>
      <c r="D51" s="7" t="s">
        <v>9113</v>
      </c>
      <c r="E51" s="7" t="s">
        <v>9114</v>
      </c>
    </row>
    <row r="52" ht="22.5" customHeight="1">
      <c r="A52" s="7" t="s">
        <v>9213</v>
      </c>
      <c r="B52" s="8" t="s">
        <v>9228</v>
      </c>
      <c r="C52" s="7" t="s">
        <v>9229</v>
      </c>
      <c r="D52" s="7" t="s">
        <v>9102</v>
      </c>
      <c r="E52" s="7" t="s">
        <v>9141</v>
      </c>
    </row>
    <row r="53" ht="22.5" customHeight="1">
      <c r="A53" s="7" t="s">
        <v>9213</v>
      </c>
      <c r="B53" s="8" t="s">
        <v>9230</v>
      </c>
      <c r="C53" s="7" t="s">
        <v>9231</v>
      </c>
      <c r="D53" s="7" t="s">
        <v>9102</v>
      </c>
      <c r="E53" s="7" t="s">
        <v>9141</v>
      </c>
    </row>
    <row r="54" ht="22.5" customHeight="1">
      <c r="A54" s="7" t="s">
        <v>9213</v>
      </c>
      <c r="B54" s="8" t="s">
        <v>9232</v>
      </c>
      <c r="C54" s="7" t="s">
        <v>9233</v>
      </c>
      <c r="D54" s="7" t="s">
        <v>9102</v>
      </c>
      <c r="E54" s="7" t="s">
        <v>9103</v>
      </c>
    </row>
    <row r="55" ht="22.5" customHeight="1">
      <c r="A55" s="7" t="s">
        <v>9213</v>
      </c>
      <c r="B55" s="8" t="s">
        <v>9234</v>
      </c>
      <c r="C55" s="7" t="s">
        <v>9235</v>
      </c>
      <c r="D55" s="7" t="s">
        <v>9102</v>
      </c>
      <c r="E55" s="7" t="s">
        <v>9110</v>
      </c>
    </row>
    <row r="56" ht="22.5" customHeight="1">
      <c r="A56" s="7" t="s">
        <v>9213</v>
      </c>
      <c r="B56" s="8" t="s">
        <v>9236</v>
      </c>
      <c r="C56" s="7" t="s">
        <v>9237</v>
      </c>
      <c r="D56" s="7" t="s">
        <v>9113</v>
      </c>
      <c r="E56" s="7" t="s">
        <v>9114</v>
      </c>
    </row>
    <row r="57" ht="22.5" customHeight="1">
      <c r="A57" s="7" t="s">
        <v>9213</v>
      </c>
      <c r="B57" s="8" t="s">
        <v>9238</v>
      </c>
      <c r="C57" s="7" t="s">
        <v>9239</v>
      </c>
      <c r="D57" s="7" t="s">
        <v>9106</v>
      </c>
      <c r="E57" s="7" t="s">
        <v>9107</v>
      </c>
    </row>
    <row r="58" ht="22.5" customHeight="1">
      <c r="A58" s="7" t="s">
        <v>9213</v>
      </c>
      <c r="B58" s="8" t="s">
        <v>9240</v>
      </c>
      <c r="C58" s="7" t="s">
        <v>9241</v>
      </c>
      <c r="D58" s="7" t="s">
        <v>9121</v>
      </c>
      <c r="E58" s="7" t="s">
        <v>9122</v>
      </c>
    </row>
    <row r="59" ht="22.5" customHeight="1">
      <c r="A59" s="7" t="s">
        <v>9242</v>
      </c>
      <c r="B59" s="8" t="s">
        <v>9243</v>
      </c>
      <c r="C59" s="7" t="s">
        <v>9244</v>
      </c>
      <c r="D59" s="7" t="s">
        <v>9102</v>
      </c>
      <c r="E59" s="7" t="s">
        <v>9103</v>
      </c>
    </row>
    <row r="60" ht="22.5" customHeight="1">
      <c r="A60" s="7" t="s">
        <v>9242</v>
      </c>
      <c r="B60" s="8" t="s">
        <v>9245</v>
      </c>
      <c r="C60" s="7" t="s">
        <v>9246</v>
      </c>
      <c r="D60" s="7" t="s">
        <v>9102</v>
      </c>
      <c r="E60" s="7" t="s">
        <v>9110</v>
      </c>
    </row>
    <row r="61" ht="22.5" customHeight="1">
      <c r="A61" s="7" t="s">
        <v>9242</v>
      </c>
      <c r="B61" s="8" t="s">
        <v>9247</v>
      </c>
      <c r="C61" s="7" t="s">
        <v>9248</v>
      </c>
      <c r="D61" s="7" t="s">
        <v>9102</v>
      </c>
      <c r="E61" s="7" t="s">
        <v>9141</v>
      </c>
    </row>
    <row r="62" ht="22.5" customHeight="1">
      <c r="A62" s="7" t="s">
        <v>9242</v>
      </c>
      <c r="B62" s="8" t="s">
        <v>9249</v>
      </c>
      <c r="C62" s="7" t="s">
        <v>9250</v>
      </c>
      <c r="D62" s="7" t="s">
        <v>9102</v>
      </c>
      <c r="E62" s="7" t="s">
        <v>9141</v>
      </c>
    </row>
    <row r="63" ht="22.5" customHeight="1">
      <c r="A63" s="7" t="s">
        <v>9242</v>
      </c>
      <c r="B63" s="8" t="s">
        <v>9251</v>
      </c>
      <c r="C63" s="7" t="s">
        <v>9252</v>
      </c>
      <c r="D63" s="7" t="s">
        <v>9102</v>
      </c>
      <c r="E63" s="7" t="s">
        <v>9141</v>
      </c>
    </row>
    <row r="64" ht="22.5" customHeight="1">
      <c r="A64" s="7" t="s">
        <v>9242</v>
      </c>
      <c r="B64" s="8" t="s">
        <v>9253</v>
      </c>
      <c r="C64" s="7" t="s">
        <v>9254</v>
      </c>
      <c r="D64" s="7" t="s">
        <v>9113</v>
      </c>
      <c r="E64" s="7" t="s">
        <v>9114</v>
      </c>
    </row>
    <row r="65" ht="22.5" customHeight="1">
      <c r="A65" s="7" t="s">
        <v>9242</v>
      </c>
      <c r="B65" s="8" t="s">
        <v>9255</v>
      </c>
      <c r="C65" s="7" t="s">
        <v>9256</v>
      </c>
      <c r="D65" s="7" t="s">
        <v>9113</v>
      </c>
      <c r="E65" s="7" t="s">
        <v>9114</v>
      </c>
    </row>
    <row r="66" ht="22.5" customHeight="1">
      <c r="A66" s="7" t="s">
        <v>9242</v>
      </c>
      <c r="B66" s="8" t="s">
        <v>9257</v>
      </c>
      <c r="C66" s="7" t="s">
        <v>9258</v>
      </c>
      <c r="D66" s="7" t="s">
        <v>9117</v>
      </c>
      <c r="E66" s="7" t="s">
        <v>9134</v>
      </c>
    </row>
    <row r="67" ht="22.5" customHeight="1">
      <c r="A67" s="7" t="s">
        <v>9242</v>
      </c>
      <c r="B67" s="8" t="s">
        <v>9259</v>
      </c>
      <c r="C67" s="7" t="s">
        <v>9260</v>
      </c>
      <c r="D67" s="7" t="s">
        <v>9106</v>
      </c>
      <c r="E67" s="7" t="s">
        <v>9261</v>
      </c>
    </row>
    <row r="68" ht="22.5" customHeight="1">
      <c r="A68" s="7" t="s">
        <v>9242</v>
      </c>
      <c r="B68" s="8" t="s">
        <v>9262</v>
      </c>
      <c r="C68" s="7" t="s">
        <v>9263</v>
      </c>
      <c r="D68" s="7" t="s">
        <v>9113</v>
      </c>
      <c r="E68" s="7" t="s">
        <v>9264</v>
      </c>
    </row>
    <row r="69" ht="22.5" customHeight="1">
      <c r="A69" s="7" t="s">
        <v>9242</v>
      </c>
      <c r="B69" s="8" t="s">
        <v>9265</v>
      </c>
      <c r="C69" s="7" t="s">
        <v>9266</v>
      </c>
      <c r="D69" s="7" t="s">
        <v>9137</v>
      </c>
      <c r="E69" s="7" t="s">
        <v>9158</v>
      </c>
    </row>
    <row r="70" ht="22.5" customHeight="1">
      <c r="A70" s="7" t="s">
        <v>9242</v>
      </c>
      <c r="B70" s="8" t="s">
        <v>9267</v>
      </c>
      <c r="C70" s="7" t="s">
        <v>9268</v>
      </c>
      <c r="D70" s="7" t="s">
        <v>9121</v>
      </c>
      <c r="E70" s="7" t="s">
        <v>9269</v>
      </c>
    </row>
    <row r="71" ht="22.5" customHeight="1">
      <c r="A71" s="7" t="s">
        <v>9242</v>
      </c>
      <c r="B71" s="8" t="s">
        <v>9270</v>
      </c>
      <c r="C71" s="7" t="s">
        <v>9271</v>
      </c>
      <c r="D71" s="7" t="s">
        <v>9137</v>
      </c>
      <c r="E71" s="7" t="s">
        <v>9138</v>
      </c>
    </row>
    <row r="72" ht="22.5" customHeight="1">
      <c r="A72" s="7" t="s">
        <v>9242</v>
      </c>
      <c r="B72" s="8" t="s">
        <v>9178</v>
      </c>
      <c r="C72" s="7" t="s">
        <v>9272</v>
      </c>
      <c r="D72" s="7" t="s">
        <v>9130</v>
      </c>
      <c r="E72" s="7" t="s">
        <v>9131</v>
      </c>
    </row>
    <row r="73" ht="22.5" customHeight="1">
      <c r="A73" s="7" t="s">
        <v>9242</v>
      </c>
      <c r="B73" s="8" t="s">
        <v>9180</v>
      </c>
      <c r="C73" s="7" t="s">
        <v>9273</v>
      </c>
      <c r="D73" s="7" t="s">
        <v>9130</v>
      </c>
      <c r="E73" s="7" t="s">
        <v>9131</v>
      </c>
    </row>
    <row r="74" ht="22.5" customHeight="1">
      <c r="A74" s="7" t="s">
        <v>9274</v>
      </c>
      <c r="B74" s="8" t="s">
        <v>9275</v>
      </c>
      <c r="C74" s="7" t="s">
        <v>9276</v>
      </c>
      <c r="D74" s="7" t="s">
        <v>9102</v>
      </c>
      <c r="E74" s="7" t="s">
        <v>9103</v>
      </c>
    </row>
    <row r="75" ht="22.5" customHeight="1">
      <c r="A75" s="7" t="s">
        <v>9274</v>
      </c>
      <c r="B75" s="8" t="s">
        <v>9277</v>
      </c>
      <c r="C75" s="7" t="s">
        <v>9278</v>
      </c>
      <c r="D75" s="7" t="s">
        <v>9102</v>
      </c>
      <c r="E75" s="7" t="s">
        <v>9141</v>
      </c>
    </row>
    <row r="76" ht="22.5" customHeight="1">
      <c r="A76" s="7" t="s">
        <v>9274</v>
      </c>
      <c r="B76" s="8" t="s">
        <v>9279</v>
      </c>
      <c r="C76" s="7" t="s">
        <v>9280</v>
      </c>
      <c r="D76" s="7" t="s">
        <v>9102</v>
      </c>
      <c r="E76" s="7" t="s">
        <v>9110</v>
      </c>
    </row>
    <row r="77" ht="22.5" customHeight="1">
      <c r="A77" s="7" t="s">
        <v>9274</v>
      </c>
      <c r="B77" s="8" t="s">
        <v>9281</v>
      </c>
      <c r="C77" s="7" t="s">
        <v>9282</v>
      </c>
      <c r="D77" s="7" t="s">
        <v>9102</v>
      </c>
      <c r="E77" s="7" t="s">
        <v>9110</v>
      </c>
    </row>
    <row r="78" ht="22.5" customHeight="1">
      <c r="A78" s="7" t="s">
        <v>9274</v>
      </c>
      <c r="B78" s="8" t="s">
        <v>9283</v>
      </c>
      <c r="C78" s="7" t="s">
        <v>9284</v>
      </c>
      <c r="D78" s="7" t="s">
        <v>9113</v>
      </c>
      <c r="E78" s="7" t="s">
        <v>9114</v>
      </c>
    </row>
    <row r="79" ht="22.5" customHeight="1">
      <c r="A79" s="7" t="s">
        <v>9274</v>
      </c>
      <c r="B79" s="8" t="s">
        <v>9285</v>
      </c>
      <c r="C79" s="7" t="s">
        <v>9286</v>
      </c>
      <c r="D79" s="7" t="s">
        <v>9117</v>
      </c>
      <c r="E79" s="7" t="s">
        <v>9134</v>
      </c>
    </row>
    <row r="80" ht="22.5" customHeight="1">
      <c r="A80" s="7" t="s">
        <v>9274</v>
      </c>
      <c r="B80" s="8" t="s">
        <v>9287</v>
      </c>
      <c r="C80" s="7" t="s">
        <v>9288</v>
      </c>
      <c r="D80" s="7" t="s">
        <v>9106</v>
      </c>
      <c r="E80" s="7" t="s">
        <v>9261</v>
      </c>
    </row>
    <row r="81" ht="22.5" customHeight="1">
      <c r="A81" s="7" t="s">
        <v>9274</v>
      </c>
      <c r="B81" s="8" t="s">
        <v>9289</v>
      </c>
      <c r="C81" s="7" t="s">
        <v>9290</v>
      </c>
      <c r="D81" s="7" t="s">
        <v>9106</v>
      </c>
      <c r="E81" s="7" t="s">
        <v>9107</v>
      </c>
    </row>
    <row r="82" ht="22.5" customHeight="1">
      <c r="A82" s="7" t="s">
        <v>9274</v>
      </c>
      <c r="B82" s="8" t="s">
        <v>9291</v>
      </c>
      <c r="C82" s="7" t="s">
        <v>9292</v>
      </c>
      <c r="D82" s="7" t="s">
        <v>9106</v>
      </c>
      <c r="E82" s="7" t="s">
        <v>9191</v>
      </c>
    </row>
    <row r="83" ht="22.5" customHeight="1">
      <c r="A83" s="7" t="s">
        <v>9274</v>
      </c>
      <c r="B83" s="8" t="s">
        <v>9293</v>
      </c>
      <c r="C83" s="7" t="s">
        <v>9294</v>
      </c>
      <c r="D83" s="7" t="s">
        <v>9130</v>
      </c>
      <c r="E83" s="7" t="s">
        <v>9153</v>
      </c>
    </row>
    <row r="84" ht="22.5" customHeight="1">
      <c r="A84" s="7" t="s">
        <v>9274</v>
      </c>
      <c r="B84" s="8" t="s">
        <v>9295</v>
      </c>
      <c r="C84" s="7" t="s">
        <v>9296</v>
      </c>
      <c r="D84" s="7" t="s">
        <v>9130</v>
      </c>
      <c r="E84" s="7" t="s">
        <v>9131</v>
      </c>
    </row>
    <row r="85" ht="22.5" customHeight="1">
      <c r="A85" s="7" t="s">
        <v>9274</v>
      </c>
      <c r="B85" s="8" t="s">
        <v>9297</v>
      </c>
      <c r="C85" s="7" t="s">
        <v>9298</v>
      </c>
      <c r="D85" s="7" t="s">
        <v>9130</v>
      </c>
      <c r="E85" s="7" t="s">
        <v>9131</v>
      </c>
    </row>
    <row r="86" ht="22.5" customHeight="1">
      <c r="A86" s="7" t="s">
        <v>9274</v>
      </c>
      <c r="B86" s="8" t="s">
        <v>9299</v>
      </c>
      <c r="C86" s="7" t="s">
        <v>9300</v>
      </c>
      <c r="D86" s="7" t="s">
        <v>9137</v>
      </c>
      <c r="E86" s="7" t="s">
        <v>9138</v>
      </c>
    </row>
    <row r="87" ht="22.5" customHeight="1">
      <c r="A87" s="7" t="s">
        <v>9274</v>
      </c>
      <c r="B87" s="8" t="s">
        <v>9301</v>
      </c>
      <c r="C87" s="7" t="s">
        <v>9302</v>
      </c>
      <c r="D87" s="7" t="s">
        <v>9137</v>
      </c>
      <c r="E87" s="7" t="s">
        <v>9158</v>
      </c>
    </row>
    <row r="88" ht="22.5" customHeight="1">
      <c r="A88" s="7" t="s">
        <v>9274</v>
      </c>
      <c r="B88" s="8" t="s">
        <v>9303</v>
      </c>
      <c r="C88" s="7" t="s">
        <v>9304</v>
      </c>
      <c r="D88" s="7" t="s">
        <v>9121</v>
      </c>
      <c r="E88" s="7" t="s">
        <v>9269</v>
      </c>
    </row>
    <row r="89" ht="22.5" customHeight="1">
      <c r="A89" s="7" t="s">
        <v>9274</v>
      </c>
      <c r="B89" s="8" t="s">
        <v>9305</v>
      </c>
      <c r="C89" s="7" t="s">
        <v>9306</v>
      </c>
      <c r="D89" s="7" t="s">
        <v>9130</v>
      </c>
      <c r="E89" s="7" t="s">
        <v>9177</v>
      </c>
    </row>
    <row r="90" ht="22.5" customHeight="1">
      <c r="A90" s="7" t="s">
        <v>9307</v>
      </c>
      <c r="B90" s="8" t="s">
        <v>9308</v>
      </c>
      <c r="C90" s="7" t="s">
        <v>9309</v>
      </c>
      <c r="D90" s="7" t="s">
        <v>9102</v>
      </c>
      <c r="E90" s="7" t="s">
        <v>9110</v>
      </c>
    </row>
    <row r="91" ht="22.5" customHeight="1">
      <c r="A91" s="7" t="s">
        <v>9307</v>
      </c>
      <c r="B91" s="8" t="s">
        <v>9310</v>
      </c>
      <c r="C91" s="7" t="s">
        <v>9311</v>
      </c>
      <c r="D91" s="7" t="s">
        <v>9102</v>
      </c>
      <c r="E91" s="7" t="s">
        <v>9103</v>
      </c>
    </row>
    <row r="92" ht="22.5" customHeight="1">
      <c r="A92" s="7" t="s">
        <v>9307</v>
      </c>
      <c r="B92" s="8" t="s">
        <v>9312</v>
      </c>
      <c r="C92" s="7" t="s">
        <v>9313</v>
      </c>
      <c r="D92" s="7" t="s">
        <v>9102</v>
      </c>
      <c r="E92" s="7" t="s">
        <v>9141</v>
      </c>
    </row>
    <row r="93" ht="22.5" customHeight="1">
      <c r="A93" s="7" t="s">
        <v>9307</v>
      </c>
      <c r="B93" s="8" t="s">
        <v>9314</v>
      </c>
      <c r="C93" s="7" t="s">
        <v>9315</v>
      </c>
      <c r="D93" s="7" t="s">
        <v>9113</v>
      </c>
      <c r="E93" s="7" t="s">
        <v>9114</v>
      </c>
    </row>
    <row r="94" ht="22.5" customHeight="1">
      <c r="A94" s="7" t="s">
        <v>9307</v>
      </c>
      <c r="B94" s="8" t="s">
        <v>9316</v>
      </c>
      <c r="C94" s="7" t="s">
        <v>9317</v>
      </c>
      <c r="D94" s="7" t="s">
        <v>9113</v>
      </c>
      <c r="E94" s="7" t="s">
        <v>9264</v>
      </c>
    </row>
    <row r="95" ht="22.5" customHeight="1">
      <c r="A95" s="7" t="s">
        <v>9307</v>
      </c>
      <c r="B95" s="8" t="s">
        <v>9318</v>
      </c>
      <c r="C95" s="7" t="s">
        <v>9319</v>
      </c>
      <c r="D95" s="7" t="s">
        <v>9130</v>
      </c>
      <c r="E95" s="7" t="s">
        <v>9153</v>
      </c>
    </row>
    <row r="96" ht="22.5" customHeight="1">
      <c r="A96" s="7" t="s">
        <v>9307</v>
      </c>
      <c r="B96" s="8" t="s">
        <v>9320</v>
      </c>
      <c r="C96" s="7" t="s">
        <v>9321</v>
      </c>
      <c r="D96" s="7" t="s">
        <v>9137</v>
      </c>
      <c r="E96" s="7" t="s">
        <v>9138</v>
      </c>
    </row>
    <row r="97" ht="22.5" customHeight="1">
      <c r="A97" s="7" t="s">
        <v>9307</v>
      </c>
      <c r="B97" s="8" t="s">
        <v>9322</v>
      </c>
      <c r="C97" s="7" t="s">
        <v>9323</v>
      </c>
      <c r="D97" s="7" t="s">
        <v>9137</v>
      </c>
      <c r="E97" s="7" t="s">
        <v>9158</v>
      </c>
    </row>
    <row r="98" ht="22.5" customHeight="1">
      <c r="A98" s="7" t="s">
        <v>9307</v>
      </c>
      <c r="B98" s="8" t="s">
        <v>9324</v>
      </c>
      <c r="C98" s="7" t="s">
        <v>9325</v>
      </c>
      <c r="D98" s="7" t="s">
        <v>9121</v>
      </c>
      <c r="E98" s="7" t="s">
        <v>9269</v>
      </c>
    </row>
    <row r="99" ht="22.5" customHeight="1">
      <c r="A99" s="7" t="s">
        <v>9307</v>
      </c>
      <c r="B99" s="8" t="s">
        <v>9326</v>
      </c>
      <c r="C99" s="7" t="s">
        <v>9327</v>
      </c>
      <c r="D99" s="7" t="s">
        <v>9106</v>
      </c>
      <c r="E99" s="7" t="s">
        <v>9261</v>
      </c>
    </row>
    <row r="100" ht="22.5" customHeight="1">
      <c r="A100" s="7" t="s">
        <v>9307</v>
      </c>
      <c r="B100" s="8" t="s">
        <v>9328</v>
      </c>
      <c r="C100" s="7" t="s">
        <v>9329</v>
      </c>
      <c r="D100" s="7" t="s">
        <v>9117</v>
      </c>
      <c r="E100" s="7" t="s">
        <v>9118</v>
      </c>
    </row>
    <row r="101" ht="22.5" customHeight="1">
      <c r="A101" s="7" t="s">
        <v>9307</v>
      </c>
      <c r="B101" s="8" t="s">
        <v>9330</v>
      </c>
      <c r="C101" s="7" t="s">
        <v>9331</v>
      </c>
      <c r="D101" s="7" t="s">
        <v>9117</v>
      </c>
      <c r="E101" s="7" t="s">
        <v>9134</v>
      </c>
    </row>
    <row r="102" ht="22.5" customHeight="1">
      <c r="A102" s="7" t="s">
        <v>9332</v>
      </c>
      <c r="B102" s="8" t="s">
        <v>9333</v>
      </c>
      <c r="C102" s="7" t="s">
        <v>9334</v>
      </c>
      <c r="D102" s="7" t="s">
        <v>9102</v>
      </c>
      <c r="E102" s="7" t="s">
        <v>9141</v>
      </c>
    </row>
    <row r="103" ht="22.5" customHeight="1">
      <c r="A103" s="7" t="s">
        <v>9332</v>
      </c>
      <c r="B103" s="8" t="s">
        <v>9335</v>
      </c>
      <c r="C103" s="7" t="s">
        <v>9336</v>
      </c>
      <c r="D103" s="7" t="s">
        <v>9113</v>
      </c>
      <c r="E103" s="7" t="s">
        <v>9114</v>
      </c>
    </row>
    <row r="104" ht="22.5" customHeight="1">
      <c r="A104" s="7" t="s">
        <v>9332</v>
      </c>
      <c r="B104" s="8" t="s">
        <v>9337</v>
      </c>
      <c r="C104" s="7" t="s">
        <v>9338</v>
      </c>
      <c r="D104" s="7" t="s">
        <v>9113</v>
      </c>
      <c r="E104" s="7" t="s">
        <v>9114</v>
      </c>
    </row>
    <row r="105" ht="22.5" customHeight="1">
      <c r="A105" s="7" t="s">
        <v>9332</v>
      </c>
      <c r="B105" s="8" t="s">
        <v>9339</v>
      </c>
      <c r="C105" s="7" t="s">
        <v>9340</v>
      </c>
      <c r="D105" s="7" t="s">
        <v>9121</v>
      </c>
      <c r="E105" s="7" t="s">
        <v>9186</v>
      </c>
    </row>
    <row r="106" ht="22.5" customHeight="1">
      <c r="A106" s="7" t="s">
        <v>9332</v>
      </c>
      <c r="B106" s="8" t="s">
        <v>9341</v>
      </c>
      <c r="C106" s="7" t="s">
        <v>9342</v>
      </c>
      <c r="D106" s="7" t="s">
        <v>9106</v>
      </c>
      <c r="E106" s="7" t="s">
        <v>9191</v>
      </c>
    </row>
    <row r="107" ht="22.5" customHeight="1">
      <c r="A107" s="7" t="s">
        <v>9343</v>
      </c>
      <c r="B107" s="8" t="s">
        <v>9344</v>
      </c>
      <c r="C107" s="7" t="s">
        <v>9345</v>
      </c>
      <c r="D107" s="7" t="s">
        <v>9102</v>
      </c>
      <c r="E107" s="7" t="s">
        <v>9103</v>
      </c>
    </row>
    <row r="108" ht="22.5" customHeight="1">
      <c r="A108" s="7" t="s">
        <v>9343</v>
      </c>
      <c r="B108" s="8" t="s">
        <v>9346</v>
      </c>
      <c r="C108" s="7" t="s">
        <v>9347</v>
      </c>
      <c r="D108" s="7" t="s">
        <v>9113</v>
      </c>
      <c r="E108" s="7" t="s">
        <v>9114</v>
      </c>
    </row>
    <row r="109" ht="22.5" customHeight="1">
      <c r="A109" s="7" t="s">
        <v>9343</v>
      </c>
      <c r="B109" s="8" t="s">
        <v>9348</v>
      </c>
      <c r="C109" s="7" t="s">
        <v>9349</v>
      </c>
      <c r="D109" s="7" t="s">
        <v>9121</v>
      </c>
      <c r="E109" s="7" t="s">
        <v>9269</v>
      </c>
    </row>
    <row r="110" ht="22.5" customHeight="1">
      <c r="A110" s="7" t="s">
        <v>9343</v>
      </c>
      <c r="B110" s="8" t="s">
        <v>9350</v>
      </c>
      <c r="C110" s="7" t="s">
        <v>9351</v>
      </c>
      <c r="D110" s="7" t="s">
        <v>9137</v>
      </c>
      <c r="E110" s="7" t="s">
        <v>9138</v>
      </c>
    </row>
    <row r="111" ht="22.5" customHeight="1">
      <c r="A111" s="7" t="s">
        <v>9343</v>
      </c>
      <c r="B111" s="8" t="s">
        <v>9352</v>
      </c>
      <c r="C111" s="7" t="s">
        <v>9353</v>
      </c>
      <c r="D111" s="7" t="s">
        <v>9130</v>
      </c>
      <c r="E111" s="7" t="s">
        <v>9354</v>
      </c>
    </row>
    <row r="112" ht="22.5" customHeight="1">
      <c r="A112" s="7" t="s">
        <v>9355</v>
      </c>
      <c r="B112" s="8" t="s">
        <v>9356</v>
      </c>
      <c r="C112" s="7" t="s">
        <v>9357</v>
      </c>
      <c r="D112" s="7" t="s">
        <v>9102</v>
      </c>
      <c r="E112" s="7" t="s">
        <v>9110</v>
      </c>
    </row>
    <row r="113" ht="22.5" customHeight="1">
      <c r="A113" s="7" t="s">
        <v>9355</v>
      </c>
      <c r="B113" s="8" t="s">
        <v>9358</v>
      </c>
      <c r="C113" s="7" t="s">
        <v>9359</v>
      </c>
      <c r="D113" s="7" t="s">
        <v>9102</v>
      </c>
      <c r="E113" s="7" t="s">
        <v>9141</v>
      </c>
    </row>
    <row r="114" ht="22.5" customHeight="1">
      <c r="A114" s="7" t="s">
        <v>9355</v>
      </c>
      <c r="B114" s="8" t="s">
        <v>9360</v>
      </c>
      <c r="C114" s="7" t="s">
        <v>9361</v>
      </c>
      <c r="D114" s="7" t="s">
        <v>9102</v>
      </c>
      <c r="E114" s="7" t="s">
        <v>9103</v>
      </c>
    </row>
    <row r="115" ht="22.5" customHeight="1">
      <c r="A115" s="7" t="s">
        <v>9355</v>
      </c>
      <c r="B115" s="8" t="s">
        <v>9362</v>
      </c>
      <c r="C115" s="7" t="s">
        <v>9363</v>
      </c>
      <c r="D115" s="7" t="s">
        <v>9113</v>
      </c>
      <c r="E115" s="7" t="s">
        <v>9114</v>
      </c>
    </row>
    <row r="116" ht="22.5" customHeight="1">
      <c r="A116" s="7" t="s">
        <v>9355</v>
      </c>
      <c r="B116" s="8" t="s">
        <v>9364</v>
      </c>
      <c r="C116" s="7" t="s">
        <v>9365</v>
      </c>
      <c r="D116" s="7" t="s">
        <v>9117</v>
      </c>
      <c r="E116" s="7" t="s">
        <v>9118</v>
      </c>
    </row>
    <row r="117" ht="22.5" customHeight="1">
      <c r="A117" s="7" t="s">
        <v>9355</v>
      </c>
      <c r="B117" s="8" t="s">
        <v>9366</v>
      </c>
      <c r="C117" s="7" t="s">
        <v>9367</v>
      </c>
      <c r="D117" s="7" t="s">
        <v>9117</v>
      </c>
      <c r="E117" s="7" t="s">
        <v>9134</v>
      </c>
    </row>
    <row r="118" ht="22.5" customHeight="1">
      <c r="A118" s="7" t="s">
        <v>9355</v>
      </c>
      <c r="B118" s="8" t="s">
        <v>9368</v>
      </c>
      <c r="C118" s="7" t="s">
        <v>9369</v>
      </c>
      <c r="D118" s="7" t="s">
        <v>9106</v>
      </c>
      <c r="E118" s="7" t="s">
        <v>9261</v>
      </c>
    </row>
    <row r="119" ht="22.5" customHeight="1">
      <c r="A119" s="7" t="s">
        <v>9355</v>
      </c>
      <c r="B119" s="8" t="s">
        <v>9370</v>
      </c>
      <c r="C119" s="7" t="s">
        <v>9371</v>
      </c>
      <c r="D119" s="7" t="s">
        <v>9137</v>
      </c>
      <c r="E119" s="7" t="s">
        <v>9158</v>
      </c>
    </row>
    <row r="120" ht="22.5" customHeight="1">
      <c r="A120" s="7" t="s">
        <v>9355</v>
      </c>
      <c r="B120" s="8" t="s">
        <v>9372</v>
      </c>
      <c r="C120" s="7" t="s">
        <v>9373</v>
      </c>
      <c r="D120" s="7" t="s">
        <v>9137</v>
      </c>
      <c r="E120" s="7" t="s">
        <v>9138</v>
      </c>
    </row>
    <row r="121" ht="22.5" customHeight="1">
      <c r="A121" s="7" t="s">
        <v>9355</v>
      </c>
      <c r="B121" s="8" t="s">
        <v>9374</v>
      </c>
      <c r="C121" s="7" t="s">
        <v>9375</v>
      </c>
      <c r="D121" s="7" t="s">
        <v>9121</v>
      </c>
      <c r="E121" s="7" t="s">
        <v>9186</v>
      </c>
    </row>
    <row r="122" ht="22.5" customHeight="1">
      <c r="A122" s="7" t="s">
        <v>9355</v>
      </c>
      <c r="B122" s="8" t="s">
        <v>9376</v>
      </c>
      <c r="C122" s="7" t="s">
        <v>9377</v>
      </c>
      <c r="D122" s="7" t="s">
        <v>9130</v>
      </c>
      <c r="E122" s="7" t="s">
        <v>9131</v>
      </c>
    </row>
    <row r="123" ht="22.5" customHeight="1">
      <c r="A123" s="7" t="s">
        <v>9378</v>
      </c>
      <c r="B123" s="8" t="s">
        <v>9379</v>
      </c>
      <c r="C123" s="7" t="s">
        <v>9380</v>
      </c>
      <c r="D123" s="7" t="s">
        <v>9121</v>
      </c>
      <c r="E123" s="7" t="s">
        <v>9122</v>
      </c>
    </row>
    <row r="124" ht="22.5" customHeight="1">
      <c r="A124" s="7" t="s">
        <v>9378</v>
      </c>
      <c r="B124" s="8" t="s">
        <v>9202</v>
      </c>
      <c r="C124" s="7" t="s">
        <v>9381</v>
      </c>
      <c r="D124" s="7" t="s">
        <v>9121</v>
      </c>
      <c r="E124" s="7" t="s">
        <v>9122</v>
      </c>
    </row>
    <row r="125" ht="22.5" customHeight="1">
      <c r="A125" s="7" t="s">
        <v>9378</v>
      </c>
      <c r="B125" s="8" t="s">
        <v>9382</v>
      </c>
      <c r="C125" s="7" t="s">
        <v>9383</v>
      </c>
      <c r="D125" s="7" t="s">
        <v>9121</v>
      </c>
      <c r="E125" s="7" t="s">
        <v>9122</v>
      </c>
    </row>
    <row r="126" ht="22.5" customHeight="1">
      <c r="A126" s="7" t="s">
        <v>9378</v>
      </c>
      <c r="B126" s="8" t="s">
        <v>9384</v>
      </c>
      <c r="C126" s="7" t="s">
        <v>9385</v>
      </c>
      <c r="D126" s="7" t="s">
        <v>9121</v>
      </c>
      <c r="E126" s="7" t="s">
        <v>9122</v>
      </c>
    </row>
    <row r="127" ht="22.5" customHeight="1">
      <c r="A127" s="7" t="s">
        <v>9378</v>
      </c>
      <c r="B127" s="8" t="s">
        <v>9386</v>
      </c>
      <c r="C127" s="7" t="s">
        <v>9387</v>
      </c>
      <c r="D127" s="7" t="s">
        <v>9121</v>
      </c>
      <c r="E127" s="7" t="s">
        <v>9122</v>
      </c>
    </row>
    <row r="128" ht="22.5" customHeight="1">
      <c r="A128" s="7" t="s">
        <v>9378</v>
      </c>
      <c r="B128" s="8" t="s">
        <v>9388</v>
      </c>
      <c r="C128" s="7" t="s">
        <v>9389</v>
      </c>
      <c r="D128" s="7" t="s">
        <v>9121</v>
      </c>
      <c r="E128" s="7" t="s">
        <v>9122</v>
      </c>
    </row>
    <row r="129" ht="22.5" customHeight="1">
      <c r="A129" s="7" t="s">
        <v>9378</v>
      </c>
      <c r="B129" s="8" t="s">
        <v>9390</v>
      </c>
      <c r="C129" s="7" t="s">
        <v>9391</v>
      </c>
      <c r="D129" s="7" t="s">
        <v>9121</v>
      </c>
      <c r="E129" s="7" t="s">
        <v>9122</v>
      </c>
    </row>
    <row r="130" ht="22.5" customHeight="1">
      <c r="A130" s="7" t="s">
        <v>9378</v>
      </c>
      <c r="B130" s="8" t="s">
        <v>9392</v>
      </c>
      <c r="C130" s="7" t="s">
        <v>9393</v>
      </c>
      <c r="D130" s="7" t="s">
        <v>9121</v>
      </c>
      <c r="E130" s="7" t="s">
        <v>9122</v>
      </c>
    </row>
    <row r="131" ht="22.5" customHeight="1">
      <c r="A131" s="7" t="s">
        <v>9378</v>
      </c>
      <c r="B131" s="8" t="s">
        <v>9394</v>
      </c>
      <c r="C131" s="7" t="s">
        <v>9395</v>
      </c>
      <c r="D131" s="7" t="s">
        <v>9121</v>
      </c>
      <c r="E131" s="7" t="s">
        <v>9122</v>
      </c>
    </row>
    <row r="132" ht="22.5" customHeight="1">
      <c r="A132" s="7" t="s">
        <v>9396</v>
      </c>
      <c r="B132" s="8" t="s">
        <v>9397</v>
      </c>
      <c r="C132" s="7" t="s">
        <v>9398</v>
      </c>
      <c r="D132" s="7" t="s">
        <v>9106</v>
      </c>
      <c r="E132" s="7" t="s">
        <v>9107</v>
      </c>
    </row>
    <row r="133" ht="22.5" customHeight="1">
      <c r="A133" s="7" t="s">
        <v>9396</v>
      </c>
      <c r="B133" s="8" t="s">
        <v>9399</v>
      </c>
      <c r="C133" s="7" t="s">
        <v>9400</v>
      </c>
      <c r="D133" s="7" t="s">
        <v>9137</v>
      </c>
      <c r="E133" s="7" t="s">
        <v>9158</v>
      </c>
    </row>
    <row r="134" ht="22.5" customHeight="1">
      <c r="A134" s="7" t="s">
        <v>9396</v>
      </c>
      <c r="B134" s="8" t="s">
        <v>9401</v>
      </c>
      <c r="C134" s="7" t="s">
        <v>9402</v>
      </c>
      <c r="D134" s="7" t="s">
        <v>9137</v>
      </c>
      <c r="E134" s="7" t="s">
        <v>9138</v>
      </c>
    </row>
    <row r="135" ht="22.5" customHeight="1">
      <c r="A135" s="7" t="s">
        <v>9396</v>
      </c>
      <c r="B135" s="8" t="s">
        <v>9403</v>
      </c>
      <c r="C135" s="7" t="s">
        <v>9404</v>
      </c>
      <c r="D135" s="7" t="s">
        <v>9113</v>
      </c>
      <c r="E135" s="7" t="s">
        <v>9161</v>
      </c>
    </row>
    <row r="136" ht="22.5" customHeight="1">
      <c r="A136" s="7" t="s">
        <v>9396</v>
      </c>
      <c r="B136" s="8" t="s">
        <v>9405</v>
      </c>
      <c r="C136" s="7" t="s">
        <v>9406</v>
      </c>
      <c r="D136" s="7" t="s">
        <v>9102</v>
      </c>
      <c r="E136" s="7" t="s">
        <v>9103</v>
      </c>
    </row>
    <row r="137" ht="22.5" customHeight="1">
      <c r="A137" s="7" t="s">
        <v>9396</v>
      </c>
      <c r="B137" s="8" t="s">
        <v>9407</v>
      </c>
      <c r="C137" s="7" t="s">
        <v>9408</v>
      </c>
      <c r="D137" s="7" t="s">
        <v>9102</v>
      </c>
      <c r="E137" s="7" t="s">
        <v>9409</v>
      </c>
    </row>
    <row r="138" ht="22.5" customHeight="1">
      <c r="A138" s="7" t="s">
        <v>9396</v>
      </c>
      <c r="B138" s="8" t="s">
        <v>9410</v>
      </c>
      <c r="C138" s="7" t="s">
        <v>9411</v>
      </c>
      <c r="D138" s="7" t="s">
        <v>9102</v>
      </c>
      <c r="E138" s="7" t="s">
        <v>9103</v>
      </c>
    </row>
    <row r="139" ht="22.5" customHeight="1">
      <c r="A139" s="7" t="s">
        <v>9396</v>
      </c>
      <c r="B139" s="8" t="s">
        <v>9412</v>
      </c>
      <c r="C139" s="7" t="s">
        <v>9413</v>
      </c>
      <c r="D139" s="7" t="s">
        <v>9102</v>
      </c>
      <c r="E139" s="7" t="s">
        <v>9103</v>
      </c>
    </row>
    <row r="140" ht="22.5" customHeight="1">
      <c r="A140" s="7" t="s">
        <v>9396</v>
      </c>
      <c r="B140" s="8" t="s">
        <v>9414</v>
      </c>
      <c r="C140" s="7" t="s">
        <v>9415</v>
      </c>
      <c r="D140" s="7" t="s">
        <v>9130</v>
      </c>
      <c r="E140" s="7" t="s">
        <v>9416</v>
      </c>
    </row>
    <row r="141" ht="22.5" customHeight="1">
      <c r="A141" s="7" t="s">
        <v>9396</v>
      </c>
      <c r="B141" s="8" t="s">
        <v>9417</v>
      </c>
      <c r="C141" s="7" t="s">
        <v>9418</v>
      </c>
      <c r="D141" s="7" t="s">
        <v>9121</v>
      </c>
      <c r="E141" s="7" t="s">
        <v>9186</v>
      </c>
    </row>
    <row r="142" ht="22.5" customHeight="1">
      <c r="A142" s="7" t="s">
        <v>9396</v>
      </c>
      <c r="B142" s="8" t="s">
        <v>9419</v>
      </c>
      <c r="C142" s="7" t="s">
        <v>9420</v>
      </c>
      <c r="D142" s="7" t="s">
        <v>9113</v>
      </c>
      <c r="E142" s="7" t="s">
        <v>9114</v>
      </c>
    </row>
    <row r="143" ht="22.5" customHeight="1">
      <c r="A143" s="7" t="s">
        <v>9396</v>
      </c>
      <c r="B143" s="8" t="s">
        <v>9421</v>
      </c>
      <c r="C143" s="7" t="s">
        <v>9422</v>
      </c>
      <c r="D143" s="7" t="s">
        <v>9106</v>
      </c>
      <c r="E143" s="7" t="s">
        <v>9191</v>
      </c>
    </row>
    <row r="144" ht="22.5" customHeight="1">
      <c r="A144" s="7" t="s">
        <v>9396</v>
      </c>
      <c r="B144" s="8" t="s">
        <v>9423</v>
      </c>
      <c r="C144" s="7" t="s">
        <v>9424</v>
      </c>
      <c r="D144" s="7" t="s">
        <v>9113</v>
      </c>
      <c r="E144" s="7" t="s">
        <v>9161</v>
      </c>
    </row>
    <row r="145" ht="22.5" customHeight="1">
      <c r="A145" s="7" t="s">
        <v>9396</v>
      </c>
      <c r="B145" s="8" t="s">
        <v>9425</v>
      </c>
      <c r="C145" s="7" t="s">
        <v>9426</v>
      </c>
      <c r="D145" s="7" t="s">
        <v>9102</v>
      </c>
      <c r="E145" s="7" t="s">
        <v>9141</v>
      </c>
    </row>
    <row r="146" ht="22.5" customHeight="1">
      <c r="A146" s="7" t="s">
        <v>9396</v>
      </c>
      <c r="B146" s="8" t="s">
        <v>9427</v>
      </c>
      <c r="C146" s="7" t="s">
        <v>9428</v>
      </c>
      <c r="D146" s="7" t="s">
        <v>9113</v>
      </c>
      <c r="E146" s="7" t="s">
        <v>9161</v>
      </c>
    </row>
    <row r="147" ht="22.5" customHeight="1">
      <c r="A147" s="7" t="s">
        <v>9396</v>
      </c>
      <c r="B147" s="8" t="s">
        <v>9429</v>
      </c>
      <c r="C147" s="7" t="s">
        <v>9430</v>
      </c>
      <c r="D147" s="7" t="s">
        <v>9130</v>
      </c>
      <c r="E147" s="7" t="s">
        <v>9354</v>
      </c>
    </row>
    <row r="148" ht="22.5" customHeight="1">
      <c r="A148" s="7" t="s">
        <v>9396</v>
      </c>
      <c r="B148" s="8" t="s">
        <v>9431</v>
      </c>
      <c r="C148" s="7" t="s">
        <v>9432</v>
      </c>
      <c r="D148" s="7" t="s">
        <v>9102</v>
      </c>
      <c r="E148" s="7" t="s">
        <v>9103</v>
      </c>
    </row>
    <row r="149" ht="22.5" customHeight="1">
      <c r="A149" s="7" t="s">
        <v>9396</v>
      </c>
      <c r="B149" s="8" t="s">
        <v>9433</v>
      </c>
      <c r="C149" s="7" t="s">
        <v>9434</v>
      </c>
      <c r="D149" s="7" t="s">
        <v>9117</v>
      </c>
      <c r="E149" s="7" t="s">
        <v>9118</v>
      </c>
    </row>
    <row r="150" ht="22.5" customHeight="1">
      <c r="A150" s="7" t="s">
        <v>9396</v>
      </c>
      <c r="B150" s="8" t="s">
        <v>9435</v>
      </c>
      <c r="C150" s="7" t="s">
        <v>9436</v>
      </c>
      <c r="D150" s="7" t="s">
        <v>9130</v>
      </c>
      <c r="E150" s="7" t="s">
        <v>9153</v>
      </c>
    </row>
    <row r="151" ht="22.5" customHeight="1">
      <c r="A151" s="7" t="s">
        <v>9396</v>
      </c>
      <c r="B151" s="8" t="s">
        <v>9437</v>
      </c>
      <c r="C151" s="7" t="s">
        <v>9438</v>
      </c>
      <c r="D151" s="7" t="s">
        <v>9102</v>
      </c>
      <c r="E151" s="7" t="s">
        <v>9103</v>
      </c>
    </row>
    <row r="152" ht="22.5" customHeight="1">
      <c r="A152" s="7" t="s">
        <v>9396</v>
      </c>
      <c r="B152" s="8" t="s">
        <v>9439</v>
      </c>
      <c r="C152" s="7" t="s">
        <v>9440</v>
      </c>
      <c r="D152" s="7" t="s">
        <v>16</v>
      </c>
      <c r="E152" s="7" t="s">
        <v>16</v>
      </c>
    </row>
    <row r="153" ht="22.5" customHeight="1">
      <c r="A153" s="7" t="s">
        <v>9396</v>
      </c>
      <c r="B153" s="8" t="s">
        <v>9441</v>
      </c>
      <c r="C153" s="7" t="s">
        <v>9442</v>
      </c>
      <c r="D153" s="7" t="s">
        <v>16</v>
      </c>
      <c r="E153" s="7" t="s">
        <v>16</v>
      </c>
    </row>
    <row r="154" ht="22.5" customHeight="1">
      <c r="A154" s="7" t="s">
        <v>9396</v>
      </c>
      <c r="B154" s="8" t="s">
        <v>9443</v>
      </c>
      <c r="C154" s="7" t="s">
        <v>9444</v>
      </c>
      <c r="D154" s="7" t="s">
        <v>9121</v>
      </c>
      <c r="E154" s="7" t="s">
        <v>9122</v>
      </c>
    </row>
    <row r="155" ht="22.5" customHeight="1">
      <c r="A155" s="7" t="s">
        <v>9396</v>
      </c>
      <c r="B155" s="8" t="s">
        <v>9445</v>
      </c>
      <c r="C155" s="7" t="s">
        <v>9446</v>
      </c>
      <c r="D155" s="7" t="s">
        <v>9121</v>
      </c>
      <c r="E155" s="7" t="s">
        <v>9122</v>
      </c>
    </row>
    <row r="156" ht="22.5" customHeight="1">
      <c r="A156" s="7" t="s">
        <v>9396</v>
      </c>
      <c r="B156" s="8" t="s">
        <v>9447</v>
      </c>
      <c r="C156" s="7" t="s">
        <v>9448</v>
      </c>
      <c r="D156" s="7" t="s">
        <v>9121</v>
      </c>
      <c r="E156" s="7" t="s">
        <v>9122</v>
      </c>
    </row>
    <row r="157" ht="22.5" customHeight="1">
      <c r="A157" s="7" t="s">
        <v>9396</v>
      </c>
      <c r="B157" s="8" t="s">
        <v>9449</v>
      </c>
      <c r="C157" s="7" t="s">
        <v>9450</v>
      </c>
      <c r="D157" s="7" t="s">
        <v>9121</v>
      </c>
      <c r="E157" s="7" t="s">
        <v>9122</v>
      </c>
    </row>
    <row r="158" ht="22.5" customHeight="1">
      <c r="A158" s="7" t="s">
        <v>9451</v>
      </c>
      <c r="B158" s="8" t="s">
        <v>9452</v>
      </c>
      <c r="C158" s="7" t="s">
        <v>9453</v>
      </c>
      <c r="D158" s="7" t="s">
        <v>9102</v>
      </c>
      <c r="E158" s="7" t="s">
        <v>9103</v>
      </c>
    </row>
    <row r="159" ht="22.5" customHeight="1">
      <c r="A159" s="7" t="s">
        <v>9451</v>
      </c>
      <c r="B159" s="8" t="s">
        <v>9454</v>
      </c>
      <c r="C159" s="7" t="s">
        <v>9455</v>
      </c>
      <c r="D159" s="7" t="s">
        <v>9102</v>
      </c>
      <c r="E159" s="7" t="s">
        <v>9110</v>
      </c>
    </row>
    <row r="160" ht="22.5" customHeight="1">
      <c r="A160" s="7" t="s">
        <v>9451</v>
      </c>
      <c r="B160" s="8" t="s">
        <v>9456</v>
      </c>
      <c r="C160" s="7" t="s">
        <v>9457</v>
      </c>
      <c r="D160" s="7" t="s">
        <v>9102</v>
      </c>
      <c r="E160" s="7" t="s">
        <v>9110</v>
      </c>
    </row>
    <row r="161" ht="22.5" customHeight="1">
      <c r="A161" s="7" t="s">
        <v>9451</v>
      </c>
      <c r="B161" s="8" t="s">
        <v>9458</v>
      </c>
      <c r="C161" s="7" t="s">
        <v>9459</v>
      </c>
      <c r="D161" s="7" t="s">
        <v>9102</v>
      </c>
      <c r="E161" s="7" t="s">
        <v>9141</v>
      </c>
    </row>
    <row r="162" ht="22.5" customHeight="1">
      <c r="A162" s="7" t="s">
        <v>9451</v>
      </c>
      <c r="B162" s="8" t="s">
        <v>9460</v>
      </c>
      <c r="C162" s="7" t="s">
        <v>9461</v>
      </c>
      <c r="D162" s="7" t="s">
        <v>9102</v>
      </c>
      <c r="E162" s="7" t="s">
        <v>9141</v>
      </c>
    </row>
    <row r="163" ht="22.5" customHeight="1">
      <c r="A163" s="7" t="s">
        <v>9451</v>
      </c>
      <c r="B163" s="8" t="s">
        <v>9462</v>
      </c>
      <c r="C163" s="7" t="s">
        <v>9463</v>
      </c>
      <c r="D163" s="7" t="s">
        <v>9102</v>
      </c>
      <c r="E163" s="7" t="s">
        <v>9103</v>
      </c>
    </row>
    <row r="164" ht="22.5" customHeight="1">
      <c r="A164" s="7" t="s">
        <v>9451</v>
      </c>
      <c r="B164" s="8" t="s">
        <v>9464</v>
      </c>
      <c r="C164" s="7" t="s">
        <v>9465</v>
      </c>
      <c r="D164" s="7" t="s">
        <v>9117</v>
      </c>
      <c r="E164" s="7" t="s">
        <v>9134</v>
      </c>
    </row>
    <row r="165" ht="22.5" customHeight="1">
      <c r="A165" s="7" t="s">
        <v>9451</v>
      </c>
      <c r="B165" s="8" t="s">
        <v>9466</v>
      </c>
      <c r="C165" s="7" t="s">
        <v>9467</v>
      </c>
      <c r="D165" s="7" t="s">
        <v>9117</v>
      </c>
      <c r="E165" s="7" t="s">
        <v>9118</v>
      </c>
    </row>
    <row r="166" ht="22.5" customHeight="1">
      <c r="A166" s="7" t="s">
        <v>9451</v>
      </c>
      <c r="B166" s="8" t="s">
        <v>9468</v>
      </c>
      <c r="C166" s="7" t="s">
        <v>9469</v>
      </c>
      <c r="D166" s="7" t="s">
        <v>9106</v>
      </c>
      <c r="E166" s="7" t="s">
        <v>9261</v>
      </c>
    </row>
    <row r="167" ht="22.5" customHeight="1">
      <c r="A167" s="7" t="s">
        <v>9451</v>
      </c>
      <c r="B167" s="8" t="s">
        <v>9470</v>
      </c>
      <c r="C167" s="7" t="s">
        <v>9471</v>
      </c>
      <c r="D167" s="7" t="s">
        <v>9106</v>
      </c>
      <c r="E167" s="7" t="s">
        <v>9261</v>
      </c>
    </row>
    <row r="168" ht="22.5" customHeight="1">
      <c r="A168" s="7" t="s">
        <v>9451</v>
      </c>
      <c r="B168" s="8" t="s">
        <v>9472</v>
      </c>
      <c r="C168" s="7" t="s">
        <v>9473</v>
      </c>
      <c r="D168" s="7" t="s">
        <v>9121</v>
      </c>
      <c r="E168" s="7" t="s">
        <v>9186</v>
      </c>
    </row>
    <row r="169" ht="22.5" customHeight="1">
      <c r="A169" s="7" t="s">
        <v>9451</v>
      </c>
      <c r="B169" s="8" t="s">
        <v>9474</v>
      </c>
      <c r="C169" s="7" t="s">
        <v>9475</v>
      </c>
      <c r="D169" s="7" t="s">
        <v>9121</v>
      </c>
      <c r="E169" s="7" t="s">
        <v>9186</v>
      </c>
    </row>
    <row r="170" ht="22.5" customHeight="1">
      <c r="A170" s="7" t="s">
        <v>9451</v>
      </c>
      <c r="B170" s="8" t="s">
        <v>9476</v>
      </c>
      <c r="C170" s="7" t="s">
        <v>9477</v>
      </c>
      <c r="D170" s="7" t="s">
        <v>9137</v>
      </c>
      <c r="E170" s="7" t="s">
        <v>9158</v>
      </c>
    </row>
    <row r="171" ht="22.5" customHeight="1">
      <c r="A171" s="7" t="s">
        <v>9451</v>
      </c>
      <c r="B171" s="8" t="s">
        <v>9478</v>
      </c>
      <c r="C171" s="7" t="s">
        <v>9479</v>
      </c>
      <c r="D171" s="7" t="s">
        <v>9117</v>
      </c>
      <c r="E171" s="7" t="s">
        <v>9134</v>
      </c>
    </row>
    <row r="172" ht="22.5" customHeight="1">
      <c r="A172" s="7" t="s">
        <v>9451</v>
      </c>
      <c r="B172" s="8" t="s">
        <v>9480</v>
      </c>
      <c r="C172" s="7" t="s">
        <v>9481</v>
      </c>
      <c r="D172" s="7" t="s">
        <v>9130</v>
      </c>
      <c r="E172" s="7" t="s">
        <v>9131</v>
      </c>
    </row>
    <row r="173" ht="22.5" customHeight="1">
      <c r="A173" s="7" t="s">
        <v>9451</v>
      </c>
      <c r="B173" s="8" t="s">
        <v>9482</v>
      </c>
      <c r="C173" s="7" t="s">
        <v>9483</v>
      </c>
      <c r="D173" s="7" t="s">
        <v>9130</v>
      </c>
      <c r="E173" s="7" t="s">
        <v>9131</v>
      </c>
    </row>
    <row r="174" ht="22.5" customHeight="1">
      <c r="A174" s="7" t="s">
        <v>9451</v>
      </c>
      <c r="B174" s="8" t="s">
        <v>9484</v>
      </c>
      <c r="C174" s="7" t="s">
        <v>9485</v>
      </c>
      <c r="D174" s="7" t="s">
        <v>9130</v>
      </c>
      <c r="E174" s="7" t="s">
        <v>9131</v>
      </c>
    </row>
    <row r="175" ht="22.5" customHeight="1">
      <c r="A175" s="7" t="s">
        <v>9486</v>
      </c>
      <c r="B175" s="8" t="s">
        <v>9487</v>
      </c>
      <c r="C175" s="7" t="s">
        <v>9488</v>
      </c>
      <c r="D175" s="7" t="s">
        <v>9137</v>
      </c>
      <c r="E175" s="7" t="s">
        <v>9158</v>
      </c>
    </row>
    <row r="176" ht="22.5" customHeight="1">
      <c r="A176" s="7" t="s">
        <v>9486</v>
      </c>
      <c r="B176" s="8" t="s">
        <v>9487</v>
      </c>
      <c r="C176" s="7" t="s">
        <v>9489</v>
      </c>
      <c r="D176" s="7" t="s">
        <v>9137</v>
      </c>
      <c r="E176" s="7" t="s">
        <v>9158</v>
      </c>
    </row>
    <row r="177" ht="22.5" customHeight="1">
      <c r="A177" s="7" t="s">
        <v>9486</v>
      </c>
      <c r="B177" s="8" t="s">
        <v>9490</v>
      </c>
      <c r="C177" s="7" t="s">
        <v>9491</v>
      </c>
      <c r="D177" s="7" t="s">
        <v>9130</v>
      </c>
      <c r="E177" s="7" t="s">
        <v>9131</v>
      </c>
    </row>
    <row r="178" ht="22.5" customHeight="1">
      <c r="A178" s="7" t="s">
        <v>9486</v>
      </c>
      <c r="B178" s="8" t="s">
        <v>9492</v>
      </c>
      <c r="C178" s="7" t="s">
        <v>9493</v>
      </c>
      <c r="D178" s="7" t="s">
        <v>9117</v>
      </c>
      <c r="E178" s="7" t="s">
        <v>9118</v>
      </c>
    </row>
    <row r="179" ht="22.5" customHeight="1">
      <c r="A179" s="7" t="s">
        <v>9486</v>
      </c>
      <c r="B179" s="8" t="s">
        <v>9494</v>
      </c>
      <c r="C179" s="7" t="s">
        <v>9495</v>
      </c>
      <c r="D179" s="7" t="s">
        <v>9102</v>
      </c>
      <c r="E179" s="7" t="s">
        <v>9110</v>
      </c>
    </row>
    <row r="180" ht="22.5" customHeight="1">
      <c r="A180" s="7" t="s">
        <v>9486</v>
      </c>
      <c r="B180" s="8" t="s">
        <v>9496</v>
      </c>
      <c r="C180" s="7" t="s">
        <v>9497</v>
      </c>
      <c r="D180" s="7" t="s">
        <v>9137</v>
      </c>
      <c r="E180" s="7" t="s">
        <v>9138</v>
      </c>
    </row>
    <row r="181" ht="22.5" customHeight="1">
      <c r="A181" s="7" t="s">
        <v>9486</v>
      </c>
      <c r="B181" s="8" t="s">
        <v>9498</v>
      </c>
      <c r="C181" s="7" t="s">
        <v>9499</v>
      </c>
      <c r="D181" s="7" t="s">
        <v>9106</v>
      </c>
      <c r="E181" s="7" t="s">
        <v>9107</v>
      </c>
    </row>
    <row r="182" ht="22.5" customHeight="1">
      <c r="A182" s="7" t="s">
        <v>9500</v>
      </c>
      <c r="B182" s="8" t="s">
        <v>9382</v>
      </c>
      <c r="C182" s="7" t="s">
        <v>9501</v>
      </c>
      <c r="D182" s="7" t="s">
        <v>9121</v>
      </c>
      <c r="E182" s="7" t="s">
        <v>9122</v>
      </c>
    </row>
    <row r="183" ht="22.5" customHeight="1">
      <c r="A183" s="7" t="s">
        <v>9500</v>
      </c>
      <c r="B183" s="8" t="s">
        <v>9390</v>
      </c>
      <c r="C183" s="7" t="s">
        <v>9502</v>
      </c>
      <c r="D183" s="7" t="s">
        <v>9121</v>
      </c>
      <c r="E183" s="7" t="s">
        <v>9122</v>
      </c>
    </row>
    <row r="184" ht="22.5" customHeight="1">
      <c r="A184" s="7" t="s">
        <v>9500</v>
      </c>
      <c r="B184" s="8" t="s">
        <v>9503</v>
      </c>
      <c r="C184" s="7" t="s">
        <v>9504</v>
      </c>
      <c r="D184" s="7" t="s">
        <v>9121</v>
      </c>
      <c r="E184" s="7" t="s">
        <v>9122</v>
      </c>
    </row>
    <row r="185" ht="22.5" customHeight="1">
      <c r="A185" s="7" t="s">
        <v>9500</v>
      </c>
      <c r="B185" s="8" t="s">
        <v>9505</v>
      </c>
      <c r="C185" s="7" t="s">
        <v>9506</v>
      </c>
      <c r="D185" s="7" t="s">
        <v>9121</v>
      </c>
      <c r="E185" s="7" t="s">
        <v>9122</v>
      </c>
    </row>
    <row r="186" ht="22.5" customHeight="1">
      <c r="A186" s="7" t="s">
        <v>9500</v>
      </c>
      <c r="B186" s="8" t="s">
        <v>9200</v>
      </c>
      <c r="C186" s="7" t="s">
        <v>9507</v>
      </c>
      <c r="D186" s="7" t="s">
        <v>9121</v>
      </c>
      <c r="E186" s="7" t="s">
        <v>9122</v>
      </c>
    </row>
    <row r="187" ht="22.5" customHeight="1">
      <c r="A187" s="7" t="s">
        <v>9500</v>
      </c>
      <c r="B187" s="8" t="s">
        <v>9202</v>
      </c>
      <c r="C187" s="7" t="s">
        <v>9508</v>
      </c>
      <c r="D187" s="7" t="s">
        <v>9121</v>
      </c>
      <c r="E187" s="7" t="s">
        <v>9122</v>
      </c>
    </row>
    <row r="188" ht="22.5" customHeight="1">
      <c r="A188" s="7" t="s">
        <v>9500</v>
      </c>
      <c r="B188" s="8" t="s">
        <v>9509</v>
      </c>
      <c r="C188" s="7" t="s">
        <v>9510</v>
      </c>
      <c r="D188" s="7" t="s">
        <v>9130</v>
      </c>
      <c r="E188" s="7" t="s">
        <v>9416</v>
      </c>
    </row>
    <row r="189" ht="22.5" customHeight="1">
      <c r="A189" s="7" t="s">
        <v>9500</v>
      </c>
      <c r="B189" s="8" t="s">
        <v>9511</v>
      </c>
      <c r="C189" s="7" t="s">
        <v>9512</v>
      </c>
      <c r="D189" s="7" t="s">
        <v>9130</v>
      </c>
      <c r="E189" s="7" t="s">
        <v>9513</v>
      </c>
    </row>
    <row r="190" ht="22.5" customHeight="1">
      <c r="A190" s="7" t="s">
        <v>9500</v>
      </c>
      <c r="B190" s="8" t="s">
        <v>9514</v>
      </c>
      <c r="C190" s="7" t="s">
        <v>9515</v>
      </c>
      <c r="D190" s="7" t="s">
        <v>9130</v>
      </c>
      <c r="E190" s="7" t="s">
        <v>9177</v>
      </c>
    </row>
    <row r="191" ht="22.5" customHeight="1">
      <c r="A191" s="7" t="s">
        <v>9500</v>
      </c>
      <c r="B191" s="8" t="s">
        <v>9516</v>
      </c>
      <c r="C191" s="7" t="s">
        <v>9517</v>
      </c>
      <c r="D191" s="7" t="s">
        <v>9102</v>
      </c>
      <c r="E191" s="7" t="s">
        <v>9103</v>
      </c>
    </row>
    <row r="192" ht="22.5" customHeight="1">
      <c r="A192" s="7" t="s">
        <v>9500</v>
      </c>
      <c r="B192" s="8" t="s">
        <v>9518</v>
      </c>
      <c r="C192" s="7" t="s">
        <v>9519</v>
      </c>
      <c r="D192" s="7" t="s">
        <v>9102</v>
      </c>
      <c r="E192" s="7" t="s">
        <v>9110</v>
      </c>
    </row>
    <row r="193" ht="22.5" customHeight="1">
      <c r="A193" s="7" t="s">
        <v>9500</v>
      </c>
      <c r="B193" s="8" t="s">
        <v>9520</v>
      </c>
      <c r="C193" s="7" t="s">
        <v>9521</v>
      </c>
      <c r="D193" s="7" t="s">
        <v>9102</v>
      </c>
      <c r="E193" s="7" t="s">
        <v>9141</v>
      </c>
    </row>
    <row r="194" ht="22.5" customHeight="1">
      <c r="A194" s="7" t="s">
        <v>9500</v>
      </c>
      <c r="B194" s="8" t="s">
        <v>9522</v>
      </c>
      <c r="C194" s="7" t="s">
        <v>9523</v>
      </c>
      <c r="D194" s="7" t="s">
        <v>9137</v>
      </c>
      <c r="E194" s="7" t="s">
        <v>9138</v>
      </c>
    </row>
    <row r="195" ht="22.5" customHeight="1">
      <c r="A195" s="7" t="s">
        <v>9500</v>
      </c>
      <c r="B195" s="8" t="s">
        <v>9524</v>
      </c>
      <c r="C195" s="7" t="s">
        <v>9525</v>
      </c>
      <c r="D195" s="7" t="s">
        <v>9113</v>
      </c>
      <c r="E195" s="7" t="s">
        <v>9161</v>
      </c>
    </row>
    <row r="196" ht="22.5" customHeight="1">
      <c r="A196" s="7" t="s">
        <v>9500</v>
      </c>
      <c r="B196" s="8" t="s">
        <v>9487</v>
      </c>
      <c r="C196" s="7" t="s">
        <v>9526</v>
      </c>
      <c r="D196" s="7" t="s">
        <v>9137</v>
      </c>
      <c r="E196" s="7" t="s">
        <v>9138</v>
      </c>
    </row>
    <row r="197" ht="22.5" customHeight="1">
      <c r="A197" s="7" t="s">
        <v>9500</v>
      </c>
      <c r="B197" s="8" t="s">
        <v>9527</v>
      </c>
      <c r="C197" s="7" t="s">
        <v>9528</v>
      </c>
      <c r="D197" s="7" t="s">
        <v>9117</v>
      </c>
      <c r="E197" s="7" t="s">
        <v>9118</v>
      </c>
    </row>
    <row r="198" ht="22.5" customHeight="1">
      <c r="A198" s="7" t="s">
        <v>9500</v>
      </c>
      <c r="B198" s="8" t="s">
        <v>9529</v>
      </c>
      <c r="C198" s="7" t="s">
        <v>9530</v>
      </c>
      <c r="D198" s="7" t="s">
        <v>9102</v>
      </c>
      <c r="E198" s="7" t="s">
        <v>9110</v>
      </c>
    </row>
    <row r="199" ht="22.5" customHeight="1">
      <c r="A199" s="7" t="s">
        <v>9500</v>
      </c>
      <c r="B199" s="8" t="s">
        <v>9531</v>
      </c>
      <c r="C199" s="7" t="s">
        <v>9532</v>
      </c>
      <c r="D199" s="7" t="s">
        <v>9130</v>
      </c>
      <c r="E199" s="7" t="s">
        <v>9354</v>
      </c>
    </row>
    <row r="200" ht="22.5" customHeight="1">
      <c r="A200" s="7" t="s">
        <v>9500</v>
      </c>
      <c r="B200" s="8" t="s">
        <v>9533</v>
      </c>
      <c r="C200" s="7" t="s">
        <v>9534</v>
      </c>
      <c r="D200" s="7" t="s">
        <v>9121</v>
      </c>
      <c r="E200" s="7" t="s">
        <v>9186</v>
      </c>
    </row>
    <row r="201" ht="22.5" customHeight="1">
      <c r="A201" s="7" t="s">
        <v>9500</v>
      </c>
      <c r="B201" s="8" t="s">
        <v>9535</v>
      </c>
      <c r="C201" s="7" t="s">
        <v>9536</v>
      </c>
      <c r="D201" s="7" t="s">
        <v>9102</v>
      </c>
      <c r="E201" s="7" t="s">
        <v>9141</v>
      </c>
    </row>
    <row r="202" ht="22.5" customHeight="1">
      <c r="A202" s="7" t="s">
        <v>9500</v>
      </c>
      <c r="B202" s="8" t="s">
        <v>9537</v>
      </c>
      <c r="C202" s="7" t="s">
        <v>9538</v>
      </c>
      <c r="D202" s="7" t="s">
        <v>9106</v>
      </c>
      <c r="E202" s="7" t="s">
        <v>9261</v>
      </c>
    </row>
    <row r="203" ht="22.5" customHeight="1">
      <c r="A203" s="7" t="s">
        <v>9500</v>
      </c>
      <c r="B203" s="8" t="s">
        <v>9539</v>
      </c>
      <c r="C203" s="7" t="s">
        <v>9540</v>
      </c>
      <c r="D203" s="7" t="s">
        <v>9117</v>
      </c>
      <c r="E203" s="7" t="s">
        <v>9134</v>
      </c>
    </row>
    <row r="204" ht="22.5" customHeight="1">
      <c r="A204" s="7" t="s">
        <v>9500</v>
      </c>
      <c r="B204" s="8" t="s">
        <v>9541</v>
      </c>
      <c r="C204" s="7" t="s">
        <v>9542</v>
      </c>
      <c r="D204" s="7" t="s">
        <v>9130</v>
      </c>
      <c r="E204" s="7" t="s">
        <v>9131</v>
      </c>
    </row>
    <row r="205" ht="22.5" customHeight="1">
      <c r="A205" s="7" t="s">
        <v>9500</v>
      </c>
      <c r="B205" s="8" t="s">
        <v>9543</v>
      </c>
      <c r="C205" s="7" t="s">
        <v>9544</v>
      </c>
      <c r="D205" s="7" t="s">
        <v>9130</v>
      </c>
      <c r="E205" s="7" t="s">
        <v>9177</v>
      </c>
    </row>
    <row r="206" ht="22.5" customHeight="1">
      <c r="A206" s="7" t="s">
        <v>9500</v>
      </c>
      <c r="B206" s="8" t="s">
        <v>9545</v>
      </c>
      <c r="C206" s="7" t="s">
        <v>9546</v>
      </c>
      <c r="D206" s="7" t="s">
        <v>9102</v>
      </c>
      <c r="E206" s="7" t="s">
        <v>9103</v>
      </c>
    </row>
    <row r="207" ht="22.5" customHeight="1">
      <c r="A207" s="7" t="s">
        <v>9500</v>
      </c>
      <c r="B207" s="8" t="s">
        <v>9547</v>
      </c>
      <c r="C207" s="7" t="s">
        <v>9548</v>
      </c>
      <c r="D207" s="7" t="s">
        <v>9102</v>
      </c>
      <c r="E207" s="7" t="s">
        <v>9103</v>
      </c>
    </row>
    <row r="208" ht="22.5" customHeight="1">
      <c r="A208" s="7" t="s">
        <v>9500</v>
      </c>
      <c r="B208" s="8" t="s">
        <v>9549</v>
      </c>
      <c r="C208" s="7" t="s">
        <v>9550</v>
      </c>
      <c r="D208" s="7" t="s">
        <v>9102</v>
      </c>
      <c r="E208" s="7" t="s">
        <v>9409</v>
      </c>
    </row>
    <row r="209" ht="22.5" customHeight="1">
      <c r="A209" s="7" t="s">
        <v>9500</v>
      </c>
      <c r="B209" s="8" t="s">
        <v>9551</v>
      </c>
      <c r="C209" s="7" t="s">
        <v>9552</v>
      </c>
      <c r="D209" s="7" t="s">
        <v>9106</v>
      </c>
      <c r="E209" s="7" t="s">
        <v>9261</v>
      </c>
    </row>
    <row r="210" ht="22.5" customHeight="1">
      <c r="A210" s="7" t="s">
        <v>9500</v>
      </c>
      <c r="B210" s="8" t="s">
        <v>9553</v>
      </c>
      <c r="C210" s="7" t="s">
        <v>9554</v>
      </c>
      <c r="D210" s="7" t="s">
        <v>9113</v>
      </c>
      <c r="E210" s="7" t="s">
        <v>9114</v>
      </c>
    </row>
    <row r="211" ht="22.5" customHeight="1">
      <c r="A211" s="7" t="s">
        <v>9500</v>
      </c>
      <c r="B211" s="8" t="s">
        <v>9555</v>
      </c>
      <c r="C211" s="7" t="s">
        <v>9556</v>
      </c>
      <c r="D211" s="7" t="s">
        <v>9121</v>
      </c>
      <c r="E211" s="7" t="s">
        <v>9186</v>
      </c>
    </row>
    <row r="212" ht="22.5" customHeight="1">
      <c r="A212" s="7" t="s">
        <v>9500</v>
      </c>
      <c r="B212" s="8" t="s">
        <v>9557</v>
      </c>
      <c r="C212" s="7" t="s">
        <v>9558</v>
      </c>
      <c r="D212" s="7" t="s">
        <v>9102</v>
      </c>
      <c r="E212" s="7" t="s">
        <v>9141</v>
      </c>
    </row>
    <row r="213" ht="22.5" customHeight="1">
      <c r="A213" s="7" t="s">
        <v>9500</v>
      </c>
      <c r="B213" s="8" t="s">
        <v>9253</v>
      </c>
      <c r="C213" s="7" t="s">
        <v>9559</v>
      </c>
      <c r="D213" s="7" t="s">
        <v>9113</v>
      </c>
      <c r="E213" s="7" t="s">
        <v>9114</v>
      </c>
    </row>
    <row r="214" ht="22.5" customHeight="1">
      <c r="A214" s="7" t="s">
        <v>9500</v>
      </c>
      <c r="B214" s="8" t="s">
        <v>9560</v>
      </c>
      <c r="C214" s="7" t="s">
        <v>9561</v>
      </c>
      <c r="D214" s="7" t="s">
        <v>9102</v>
      </c>
      <c r="E214" s="7" t="s">
        <v>9103</v>
      </c>
    </row>
    <row r="215" ht="22.5" customHeight="1">
      <c r="A215" s="7" t="s">
        <v>9500</v>
      </c>
      <c r="B215" s="8" t="s">
        <v>9562</v>
      </c>
      <c r="C215" s="7" t="s">
        <v>9563</v>
      </c>
      <c r="D215" s="7" t="s">
        <v>9106</v>
      </c>
      <c r="E215" s="7" t="s">
        <v>9191</v>
      </c>
    </row>
    <row r="216" ht="22.5" customHeight="1">
      <c r="A216" s="7" t="s">
        <v>9500</v>
      </c>
      <c r="B216" s="8" t="s">
        <v>9564</v>
      </c>
      <c r="C216" s="7" t="s">
        <v>9565</v>
      </c>
      <c r="D216" s="7" t="s">
        <v>9113</v>
      </c>
      <c r="E216" s="7" t="s">
        <v>9161</v>
      </c>
    </row>
    <row r="217" ht="22.5" customHeight="1">
      <c r="A217" s="7" t="s">
        <v>9500</v>
      </c>
      <c r="B217" s="8" t="s">
        <v>9566</v>
      </c>
      <c r="C217" s="7" t="s">
        <v>9567</v>
      </c>
      <c r="D217" s="7" t="s">
        <v>9106</v>
      </c>
      <c r="E217" s="7" t="s">
        <v>9107</v>
      </c>
    </row>
    <row r="218" ht="22.5" customHeight="1">
      <c r="A218" s="7" t="s">
        <v>9500</v>
      </c>
      <c r="B218" s="8" t="s">
        <v>9568</v>
      </c>
      <c r="C218" s="7" t="s">
        <v>9569</v>
      </c>
      <c r="D218" s="7" t="s">
        <v>9117</v>
      </c>
      <c r="E218" s="7" t="s">
        <v>9134</v>
      </c>
    </row>
    <row r="219" ht="22.5" customHeight="1">
      <c r="A219" s="7" t="s">
        <v>9500</v>
      </c>
      <c r="B219" s="8" t="s">
        <v>9570</v>
      </c>
      <c r="C219" s="7" t="s">
        <v>9571</v>
      </c>
      <c r="D219" s="7" t="s">
        <v>9102</v>
      </c>
      <c r="E219" s="7" t="s">
        <v>9141</v>
      </c>
    </row>
    <row r="220" ht="22.5" customHeight="1">
      <c r="A220" s="7" t="s">
        <v>9500</v>
      </c>
      <c r="B220" s="8" t="s">
        <v>9572</v>
      </c>
      <c r="C220" s="7" t="s">
        <v>9573</v>
      </c>
      <c r="D220" s="7" t="s">
        <v>9113</v>
      </c>
      <c r="E220" s="7" t="s">
        <v>9114</v>
      </c>
    </row>
    <row r="221" ht="22.5" customHeight="1">
      <c r="A221" s="7" t="s">
        <v>9500</v>
      </c>
      <c r="B221" s="8" t="s">
        <v>9574</v>
      </c>
      <c r="C221" s="7" t="s">
        <v>9575</v>
      </c>
      <c r="D221" s="7" t="s">
        <v>9130</v>
      </c>
      <c r="E221" s="7" t="s">
        <v>9576</v>
      </c>
    </row>
    <row r="222" ht="22.5" customHeight="1">
      <c r="A222" s="7" t="s">
        <v>9500</v>
      </c>
      <c r="B222" s="8" t="s">
        <v>9577</v>
      </c>
      <c r="C222" s="7" t="s">
        <v>9578</v>
      </c>
      <c r="D222" s="7" t="s">
        <v>9137</v>
      </c>
      <c r="E222" s="7" t="s">
        <v>9138</v>
      </c>
    </row>
    <row r="223" ht="22.5" customHeight="1">
      <c r="A223" s="7" t="s">
        <v>9500</v>
      </c>
      <c r="B223" s="8" t="s">
        <v>9579</v>
      </c>
      <c r="C223" s="7" t="s">
        <v>9580</v>
      </c>
      <c r="D223" s="7" t="s">
        <v>9113</v>
      </c>
      <c r="E223" s="7" t="s">
        <v>9114</v>
      </c>
    </row>
    <row r="224" ht="22.5" customHeight="1">
      <c r="A224" s="7" t="s">
        <v>9500</v>
      </c>
      <c r="B224" s="8" t="s">
        <v>9581</v>
      </c>
      <c r="C224" s="7" t="s">
        <v>9582</v>
      </c>
      <c r="D224" s="7" t="s">
        <v>9106</v>
      </c>
      <c r="E224" s="7" t="s">
        <v>9191</v>
      </c>
    </row>
    <row r="225" ht="22.5" customHeight="1">
      <c r="A225" s="7" t="s">
        <v>9500</v>
      </c>
      <c r="B225" s="8" t="s">
        <v>9583</v>
      </c>
      <c r="C225" s="7" t="s">
        <v>9584</v>
      </c>
      <c r="D225" s="7" t="s">
        <v>9130</v>
      </c>
      <c r="E225" s="7" t="s">
        <v>9131</v>
      </c>
    </row>
    <row r="226" ht="22.5" customHeight="1">
      <c r="A226" s="7" t="s">
        <v>9500</v>
      </c>
      <c r="B226" s="8" t="s">
        <v>9585</v>
      </c>
      <c r="C226" s="7" t="s">
        <v>9586</v>
      </c>
      <c r="D226" s="7" t="s">
        <v>9117</v>
      </c>
      <c r="E226" s="7" t="s">
        <v>9134</v>
      </c>
    </row>
    <row r="227" ht="22.5" customHeight="1">
      <c r="A227" s="7" t="s">
        <v>9500</v>
      </c>
      <c r="B227" s="8" t="s">
        <v>9587</v>
      </c>
      <c r="C227" s="7" t="s">
        <v>9588</v>
      </c>
      <c r="D227" s="7" t="s">
        <v>9117</v>
      </c>
      <c r="E227" s="7" t="s">
        <v>9118</v>
      </c>
    </row>
    <row r="228" ht="22.5" customHeight="1">
      <c r="A228" s="7" t="s">
        <v>9500</v>
      </c>
      <c r="B228" s="8" t="s">
        <v>9589</v>
      </c>
      <c r="C228" s="7" t="s">
        <v>9590</v>
      </c>
      <c r="D228" s="7" t="s">
        <v>9102</v>
      </c>
      <c r="E228" s="7" t="s">
        <v>9103</v>
      </c>
    </row>
    <row r="229" ht="22.5" customHeight="1">
      <c r="A229" s="7" t="s">
        <v>9500</v>
      </c>
      <c r="B229" s="8" t="s">
        <v>9591</v>
      </c>
      <c r="C229" s="7" t="s">
        <v>9592</v>
      </c>
      <c r="D229" s="7" t="s">
        <v>9113</v>
      </c>
      <c r="E229" s="7" t="s">
        <v>9161</v>
      </c>
    </row>
    <row r="230" ht="22.5" customHeight="1">
      <c r="A230" s="7" t="s">
        <v>9500</v>
      </c>
      <c r="B230" s="8" t="s">
        <v>9593</v>
      </c>
      <c r="C230" s="7" t="s">
        <v>9594</v>
      </c>
      <c r="D230" s="7" t="s">
        <v>9113</v>
      </c>
      <c r="E230" s="7" t="s">
        <v>9264</v>
      </c>
    </row>
    <row r="231" ht="22.5" customHeight="1">
      <c r="A231" s="7" t="s">
        <v>9500</v>
      </c>
      <c r="B231" s="8" t="s">
        <v>9595</v>
      </c>
      <c r="C231" s="7" t="s">
        <v>9596</v>
      </c>
      <c r="D231" s="7" t="s">
        <v>9102</v>
      </c>
      <c r="E231" s="7" t="s">
        <v>9110</v>
      </c>
    </row>
    <row r="232" ht="22.5" customHeight="1">
      <c r="A232" s="7" t="s">
        <v>9500</v>
      </c>
      <c r="B232" s="8" t="s">
        <v>9597</v>
      </c>
      <c r="C232" s="7" t="s">
        <v>9598</v>
      </c>
      <c r="D232" s="7" t="s">
        <v>9130</v>
      </c>
      <c r="E232" s="7" t="s">
        <v>9131</v>
      </c>
    </row>
    <row r="233" ht="22.5" customHeight="1">
      <c r="A233" s="7" t="s">
        <v>9500</v>
      </c>
      <c r="B233" s="8" t="s">
        <v>9599</v>
      </c>
      <c r="C233" s="7" t="s">
        <v>9600</v>
      </c>
      <c r="D233" s="7" t="s">
        <v>9106</v>
      </c>
      <c r="E233" s="7" t="s">
        <v>9107</v>
      </c>
    </row>
    <row r="234" ht="22.5" customHeight="1">
      <c r="A234" s="7" t="s">
        <v>9500</v>
      </c>
      <c r="B234" s="8" t="s">
        <v>9601</v>
      </c>
      <c r="C234" s="7" t="s">
        <v>9602</v>
      </c>
      <c r="D234" s="7" t="s">
        <v>9106</v>
      </c>
      <c r="E234" s="7" t="s">
        <v>9107</v>
      </c>
    </row>
    <row r="235" ht="22.5" customHeight="1">
      <c r="A235" s="7" t="s">
        <v>9500</v>
      </c>
      <c r="B235" s="8" t="s">
        <v>9603</v>
      </c>
      <c r="C235" s="7" t="s">
        <v>9604</v>
      </c>
      <c r="D235" s="7" t="s">
        <v>9130</v>
      </c>
      <c r="E235" s="7" t="s">
        <v>9605</v>
      </c>
    </row>
    <row r="236" ht="22.5" customHeight="1">
      <c r="A236" s="7" t="s">
        <v>9500</v>
      </c>
      <c r="B236" s="8" t="s">
        <v>9606</v>
      </c>
      <c r="C236" s="7" t="s">
        <v>9607</v>
      </c>
      <c r="D236" s="7" t="s">
        <v>9113</v>
      </c>
      <c r="E236" s="7" t="s">
        <v>9114</v>
      </c>
    </row>
    <row r="237" ht="22.5" customHeight="1">
      <c r="A237" s="7" t="s">
        <v>9500</v>
      </c>
      <c r="B237" s="8" t="s">
        <v>9608</v>
      </c>
      <c r="C237" s="7" t="s">
        <v>9609</v>
      </c>
      <c r="D237" s="7" t="s">
        <v>9130</v>
      </c>
      <c r="E237" s="7" t="s">
        <v>9177</v>
      </c>
    </row>
    <row r="238" ht="22.5" customHeight="1">
      <c r="A238" s="7" t="s">
        <v>9500</v>
      </c>
      <c r="B238" s="8" t="s">
        <v>9610</v>
      </c>
      <c r="C238" s="7" t="s">
        <v>9611</v>
      </c>
      <c r="D238" s="7" t="s">
        <v>9117</v>
      </c>
      <c r="E238" s="7" t="s">
        <v>9134</v>
      </c>
    </row>
    <row r="239" ht="22.5" customHeight="1">
      <c r="A239" s="7" t="s">
        <v>9500</v>
      </c>
      <c r="B239" s="8" t="s">
        <v>9612</v>
      </c>
      <c r="C239" s="7" t="s">
        <v>9613</v>
      </c>
      <c r="D239" s="7" t="s">
        <v>9113</v>
      </c>
      <c r="E239" s="7" t="s">
        <v>9264</v>
      </c>
    </row>
    <row r="240" ht="22.5" customHeight="1">
      <c r="A240" s="7" t="s">
        <v>9500</v>
      </c>
      <c r="B240" s="8" t="s">
        <v>9614</v>
      </c>
      <c r="C240" s="7" t="s">
        <v>9615</v>
      </c>
      <c r="D240" s="7" t="s">
        <v>9102</v>
      </c>
      <c r="E240" s="7" t="s">
        <v>9103</v>
      </c>
    </row>
    <row r="241" ht="22.5" customHeight="1">
      <c r="A241" s="7" t="s">
        <v>9500</v>
      </c>
      <c r="B241" s="8" t="s">
        <v>9187</v>
      </c>
      <c r="C241" s="7" t="s">
        <v>9616</v>
      </c>
      <c r="D241" s="7" t="s">
        <v>9121</v>
      </c>
      <c r="E241" s="7" t="s">
        <v>9186</v>
      </c>
    </row>
    <row r="242" ht="22.5" customHeight="1">
      <c r="A242" s="7" t="s">
        <v>9500</v>
      </c>
      <c r="B242" s="8" t="s">
        <v>9617</v>
      </c>
      <c r="C242" s="7" t="s">
        <v>9618</v>
      </c>
      <c r="D242" s="7" t="s">
        <v>9117</v>
      </c>
      <c r="E242" s="7" t="s">
        <v>9118</v>
      </c>
    </row>
    <row r="243" ht="22.5" customHeight="1">
      <c r="A243" s="7" t="s">
        <v>9500</v>
      </c>
      <c r="B243" s="8" t="s">
        <v>9619</v>
      </c>
      <c r="C243" s="7" t="s">
        <v>9620</v>
      </c>
      <c r="D243" s="7" t="s">
        <v>9106</v>
      </c>
      <c r="E243" s="7" t="s">
        <v>9107</v>
      </c>
    </row>
    <row r="244" ht="22.5" customHeight="1">
      <c r="A244" s="7" t="s">
        <v>9500</v>
      </c>
      <c r="B244" s="8" t="s">
        <v>9621</v>
      </c>
      <c r="C244" s="7" t="s">
        <v>9622</v>
      </c>
      <c r="D244" s="7" t="s">
        <v>9137</v>
      </c>
      <c r="E244" s="7" t="s">
        <v>9158</v>
      </c>
    </row>
    <row r="245" ht="22.5" customHeight="1">
      <c r="A245" s="7" t="s">
        <v>9500</v>
      </c>
      <c r="B245" s="8" t="s">
        <v>9623</v>
      </c>
      <c r="C245" s="7" t="s">
        <v>9624</v>
      </c>
      <c r="D245" s="7" t="s">
        <v>9130</v>
      </c>
      <c r="E245" s="7" t="s">
        <v>9625</v>
      </c>
    </row>
    <row r="246" ht="22.5" customHeight="1">
      <c r="A246" s="7" t="s">
        <v>9500</v>
      </c>
      <c r="B246" s="8" t="s">
        <v>9626</v>
      </c>
      <c r="C246" s="7" t="s">
        <v>9627</v>
      </c>
      <c r="D246" s="7" t="s">
        <v>9113</v>
      </c>
      <c r="E246" s="7" t="s">
        <v>9114</v>
      </c>
    </row>
    <row r="247" ht="22.5" customHeight="1">
      <c r="A247" s="7" t="s">
        <v>9500</v>
      </c>
      <c r="B247" s="8" t="s">
        <v>9628</v>
      </c>
      <c r="C247" s="7" t="s">
        <v>9629</v>
      </c>
      <c r="D247" s="7" t="s">
        <v>9102</v>
      </c>
      <c r="E247" s="7" t="s">
        <v>9141</v>
      </c>
    </row>
    <row r="248" ht="22.5" customHeight="1">
      <c r="A248" s="7" t="s">
        <v>9500</v>
      </c>
      <c r="B248" s="8" t="s">
        <v>9630</v>
      </c>
      <c r="C248" s="7" t="s">
        <v>9631</v>
      </c>
      <c r="D248" s="7" t="s">
        <v>9102</v>
      </c>
      <c r="E248" s="7" t="s">
        <v>9141</v>
      </c>
    </row>
    <row r="249" ht="22.5" customHeight="1">
      <c r="A249" s="7" t="s">
        <v>9500</v>
      </c>
      <c r="B249" s="8" t="s">
        <v>9632</v>
      </c>
      <c r="C249" s="7" t="s">
        <v>9633</v>
      </c>
      <c r="D249" s="7" t="s">
        <v>9137</v>
      </c>
      <c r="E249" s="7" t="s">
        <v>9138</v>
      </c>
    </row>
    <row r="250" ht="22.5" customHeight="1">
      <c r="A250" s="7" t="s">
        <v>9500</v>
      </c>
      <c r="B250" s="8" t="s">
        <v>9634</v>
      </c>
      <c r="C250" s="7" t="s">
        <v>9635</v>
      </c>
      <c r="D250" s="7" t="s">
        <v>9102</v>
      </c>
      <c r="E250" s="7" t="s">
        <v>9141</v>
      </c>
    </row>
    <row r="251" ht="22.5" customHeight="1">
      <c r="A251" s="7" t="s">
        <v>9500</v>
      </c>
      <c r="B251" s="8" t="s">
        <v>9636</v>
      </c>
      <c r="C251" s="7" t="s">
        <v>9637</v>
      </c>
      <c r="D251" s="7" t="s">
        <v>9113</v>
      </c>
      <c r="E251" s="7" t="s">
        <v>9161</v>
      </c>
    </row>
    <row r="252" ht="22.5" customHeight="1">
      <c r="A252" s="7" t="s">
        <v>9500</v>
      </c>
      <c r="B252" s="8" t="s">
        <v>9638</v>
      </c>
      <c r="C252" s="7" t="s">
        <v>9639</v>
      </c>
      <c r="D252" s="7" t="s">
        <v>9130</v>
      </c>
      <c r="E252" s="7" t="s">
        <v>9576</v>
      </c>
    </row>
    <row r="253" ht="22.5" customHeight="1">
      <c r="A253" s="7" t="s">
        <v>9500</v>
      </c>
      <c r="B253" s="8" t="s">
        <v>9640</v>
      </c>
      <c r="C253" s="7" t="s">
        <v>9641</v>
      </c>
      <c r="D253" s="7" t="s">
        <v>9130</v>
      </c>
      <c r="E253" s="7" t="s">
        <v>9177</v>
      </c>
    </row>
    <row r="254" ht="22.5" customHeight="1">
      <c r="A254" s="7" t="s">
        <v>9500</v>
      </c>
      <c r="B254" s="8" t="s">
        <v>9642</v>
      </c>
      <c r="C254" s="7" t="s">
        <v>9643</v>
      </c>
      <c r="D254" s="7" t="s">
        <v>9113</v>
      </c>
      <c r="E254" s="7" t="s">
        <v>9264</v>
      </c>
    </row>
    <row r="255" ht="22.5" customHeight="1">
      <c r="A255" s="7" t="s">
        <v>9500</v>
      </c>
      <c r="B255" s="8" t="s">
        <v>9644</v>
      </c>
      <c r="C255" s="7" t="s">
        <v>9645</v>
      </c>
      <c r="D255" s="7" t="s">
        <v>9102</v>
      </c>
      <c r="E255" s="7" t="s">
        <v>9110</v>
      </c>
    </row>
    <row r="256" ht="22.5" customHeight="1">
      <c r="A256" s="7" t="s">
        <v>9500</v>
      </c>
      <c r="B256" s="8" t="s">
        <v>9646</v>
      </c>
      <c r="C256" s="7" t="s">
        <v>9647</v>
      </c>
      <c r="D256" s="7" t="s">
        <v>9113</v>
      </c>
      <c r="E256" s="7" t="s">
        <v>9264</v>
      </c>
    </row>
    <row r="257" ht="22.5" customHeight="1">
      <c r="A257" s="7" t="s">
        <v>9500</v>
      </c>
      <c r="B257" s="8" t="s">
        <v>9648</v>
      </c>
      <c r="C257" s="7" t="s">
        <v>9649</v>
      </c>
      <c r="D257" s="7" t="s">
        <v>9113</v>
      </c>
      <c r="E257" s="7" t="s">
        <v>9264</v>
      </c>
    </row>
    <row r="258" ht="22.5" customHeight="1">
      <c r="A258" s="7" t="s">
        <v>9500</v>
      </c>
      <c r="B258" s="8" t="s">
        <v>9650</v>
      </c>
      <c r="C258" s="7" t="s">
        <v>9651</v>
      </c>
      <c r="D258" s="7" t="s">
        <v>9137</v>
      </c>
      <c r="E258" s="7" t="s">
        <v>9138</v>
      </c>
    </row>
    <row r="259" ht="22.5" customHeight="1">
      <c r="A259" s="7" t="s">
        <v>9500</v>
      </c>
      <c r="B259" s="8" t="s">
        <v>9652</v>
      </c>
      <c r="C259" s="7" t="s">
        <v>9653</v>
      </c>
      <c r="D259" s="7" t="s">
        <v>9102</v>
      </c>
      <c r="E259" s="7" t="s">
        <v>9110</v>
      </c>
    </row>
    <row r="260" ht="22.5" customHeight="1">
      <c r="A260" s="7" t="s">
        <v>9500</v>
      </c>
      <c r="B260" s="8" t="s">
        <v>9654</v>
      </c>
      <c r="C260" s="7" t="s">
        <v>9655</v>
      </c>
      <c r="D260" s="7" t="s">
        <v>9130</v>
      </c>
      <c r="E260" s="7" t="s">
        <v>9153</v>
      </c>
    </row>
    <row r="261" ht="22.5" customHeight="1">
      <c r="A261" s="7" t="s">
        <v>9500</v>
      </c>
      <c r="B261" s="8" t="s">
        <v>9656</v>
      </c>
      <c r="C261" s="7" t="s">
        <v>9657</v>
      </c>
      <c r="D261" s="7" t="s">
        <v>9102</v>
      </c>
      <c r="E261" s="7" t="s">
        <v>9103</v>
      </c>
    </row>
    <row r="262" ht="22.5" customHeight="1">
      <c r="A262" s="7" t="s">
        <v>9500</v>
      </c>
      <c r="B262" s="8" t="s">
        <v>9658</v>
      </c>
      <c r="C262" s="7" t="s">
        <v>9659</v>
      </c>
      <c r="D262" s="7" t="s">
        <v>9102</v>
      </c>
      <c r="E262" s="7" t="s">
        <v>9110</v>
      </c>
    </row>
    <row r="263" ht="22.5" customHeight="1">
      <c r="A263" s="7" t="s">
        <v>9500</v>
      </c>
      <c r="B263" s="8" t="s">
        <v>9660</v>
      </c>
      <c r="C263" s="7" t="s">
        <v>9661</v>
      </c>
      <c r="D263" s="7" t="s">
        <v>9106</v>
      </c>
      <c r="E263" s="7" t="s">
        <v>9261</v>
      </c>
    </row>
    <row r="264" ht="22.5" customHeight="1">
      <c r="A264" s="7" t="s">
        <v>9500</v>
      </c>
      <c r="B264" s="8" t="s">
        <v>9662</v>
      </c>
      <c r="C264" s="7" t="s">
        <v>9663</v>
      </c>
      <c r="D264" s="7" t="s">
        <v>9106</v>
      </c>
      <c r="E264" s="7" t="s">
        <v>9107</v>
      </c>
    </row>
    <row r="265" ht="22.5" customHeight="1">
      <c r="A265" s="7" t="s">
        <v>9500</v>
      </c>
      <c r="B265" s="8" t="s">
        <v>9664</v>
      </c>
      <c r="C265" s="7" t="s">
        <v>9665</v>
      </c>
      <c r="D265" s="7" t="s">
        <v>9137</v>
      </c>
      <c r="E265" s="7" t="s">
        <v>9158</v>
      </c>
    </row>
    <row r="266" ht="22.5" customHeight="1">
      <c r="A266" s="7" t="s">
        <v>9500</v>
      </c>
      <c r="B266" s="8" t="s">
        <v>9666</v>
      </c>
      <c r="C266" s="7" t="s">
        <v>9667</v>
      </c>
      <c r="D266" s="7" t="s">
        <v>9137</v>
      </c>
      <c r="E266" s="7" t="s">
        <v>9158</v>
      </c>
    </row>
    <row r="267" ht="22.5" customHeight="1">
      <c r="A267" s="7" t="s">
        <v>9500</v>
      </c>
      <c r="B267" s="8" t="s">
        <v>9668</v>
      </c>
      <c r="C267" s="7" t="s">
        <v>9669</v>
      </c>
      <c r="D267" s="7" t="s">
        <v>9113</v>
      </c>
      <c r="E267" s="7" t="s">
        <v>9114</v>
      </c>
    </row>
    <row r="268" ht="22.5" customHeight="1">
      <c r="A268" s="7" t="s">
        <v>9500</v>
      </c>
      <c r="B268" s="8" t="s">
        <v>9670</v>
      </c>
      <c r="C268" s="7" t="s">
        <v>9671</v>
      </c>
      <c r="D268" s="7" t="s">
        <v>9113</v>
      </c>
      <c r="E268" s="7" t="s">
        <v>9264</v>
      </c>
    </row>
    <row r="269" ht="22.5" customHeight="1">
      <c r="A269" s="7" t="s">
        <v>9500</v>
      </c>
      <c r="B269" s="8" t="s">
        <v>9672</v>
      </c>
      <c r="C269" s="7" t="s">
        <v>9673</v>
      </c>
      <c r="D269" s="7" t="s">
        <v>9106</v>
      </c>
      <c r="E269" s="7" t="s">
        <v>9191</v>
      </c>
    </row>
    <row r="270" ht="22.5" customHeight="1">
      <c r="A270" s="7" t="s">
        <v>9500</v>
      </c>
      <c r="B270" s="8" t="s">
        <v>9674</v>
      </c>
      <c r="C270" s="7" t="s">
        <v>9675</v>
      </c>
      <c r="D270" s="7" t="s">
        <v>9117</v>
      </c>
      <c r="E270" s="7" t="s">
        <v>9134</v>
      </c>
    </row>
    <row r="271" ht="22.5" customHeight="1">
      <c r="A271" s="7" t="s">
        <v>9500</v>
      </c>
      <c r="B271" s="8" t="s">
        <v>9676</v>
      </c>
      <c r="C271" s="7" t="s">
        <v>9677</v>
      </c>
      <c r="D271" s="7" t="s">
        <v>9106</v>
      </c>
      <c r="E271" s="7" t="s">
        <v>9107</v>
      </c>
    </row>
    <row r="272" ht="22.5" customHeight="1">
      <c r="A272" s="7" t="s">
        <v>9500</v>
      </c>
      <c r="B272" s="8" t="s">
        <v>9678</v>
      </c>
      <c r="C272" s="7" t="s">
        <v>9679</v>
      </c>
      <c r="D272" s="7" t="s">
        <v>9102</v>
      </c>
      <c r="E272" s="7" t="s">
        <v>9103</v>
      </c>
    </row>
    <row r="273" ht="22.5" customHeight="1">
      <c r="A273" s="7" t="s">
        <v>9500</v>
      </c>
      <c r="B273" s="8" t="s">
        <v>9680</v>
      </c>
      <c r="C273" s="7" t="s">
        <v>9681</v>
      </c>
      <c r="D273" s="7" t="s">
        <v>9102</v>
      </c>
      <c r="E273" s="7" t="s">
        <v>9103</v>
      </c>
    </row>
    <row r="274" ht="22.5" customHeight="1">
      <c r="A274" s="7" t="s">
        <v>9500</v>
      </c>
      <c r="B274" s="8" t="s">
        <v>9682</v>
      </c>
      <c r="C274" s="7" t="s">
        <v>9683</v>
      </c>
      <c r="D274" s="7" t="s">
        <v>9102</v>
      </c>
      <c r="E274" s="7" t="s">
        <v>9103</v>
      </c>
    </row>
    <row r="275" ht="22.5" customHeight="1">
      <c r="A275" s="7" t="s">
        <v>9500</v>
      </c>
      <c r="B275" s="8" t="s">
        <v>9684</v>
      </c>
      <c r="C275" s="7" t="s">
        <v>9685</v>
      </c>
      <c r="D275" s="7" t="s">
        <v>9106</v>
      </c>
      <c r="E275" s="7" t="s">
        <v>9107</v>
      </c>
    </row>
    <row r="276" ht="22.5" customHeight="1">
      <c r="A276" s="7" t="s">
        <v>9500</v>
      </c>
      <c r="B276" s="8" t="s">
        <v>9686</v>
      </c>
      <c r="C276" s="7" t="s">
        <v>9687</v>
      </c>
      <c r="D276" s="7" t="s">
        <v>9106</v>
      </c>
      <c r="E276" s="7" t="s">
        <v>9107</v>
      </c>
    </row>
    <row r="277" ht="22.5" customHeight="1">
      <c r="A277" s="7" t="s">
        <v>9500</v>
      </c>
      <c r="B277" s="8" t="s">
        <v>9688</v>
      </c>
      <c r="C277" s="7" t="s">
        <v>9689</v>
      </c>
      <c r="D277" s="7" t="s">
        <v>9113</v>
      </c>
      <c r="E277" s="7" t="s">
        <v>9114</v>
      </c>
    </row>
    <row r="278" ht="22.5" customHeight="1">
      <c r="A278" s="7" t="s">
        <v>9500</v>
      </c>
      <c r="B278" s="8" t="s">
        <v>9690</v>
      </c>
      <c r="C278" s="7" t="s">
        <v>9691</v>
      </c>
      <c r="D278" s="7" t="s">
        <v>9106</v>
      </c>
      <c r="E278" s="7" t="s">
        <v>9261</v>
      </c>
    </row>
    <row r="279" ht="22.5" customHeight="1">
      <c r="A279" s="7" t="s">
        <v>9500</v>
      </c>
      <c r="B279" s="8" t="s">
        <v>9692</v>
      </c>
      <c r="C279" s="7" t="s">
        <v>9693</v>
      </c>
      <c r="D279" s="7" t="s">
        <v>9102</v>
      </c>
      <c r="E279" s="7" t="s">
        <v>9103</v>
      </c>
    </row>
    <row r="280" ht="22.5" customHeight="1">
      <c r="A280" s="7" t="s">
        <v>9500</v>
      </c>
      <c r="B280" s="8" t="s">
        <v>9694</v>
      </c>
      <c r="C280" s="7" t="s">
        <v>9695</v>
      </c>
      <c r="D280" s="7" t="s">
        <v>9137</v>
      </c>
      <c r="E280" s="7" t="s">
        <v>9138</v>
      </c>
    </row>
    <row r="281" ht="22.5" customHeight="1">
      <c r="A281" s="7" t="s">
        <v>9500</v>
      </c>
      <c r="B281" s="8" t="s">
        <v>9696</v>
      </c>
      <c r="C281" s="7" t="s">
        <v>9697</v>
      </c>
      <c r="D281" s="7" t="s">
        <v>9117</v>
      </c>
      <c r="E281" s="7" t="s">
        <v>9118</v>
      </c>
    </row>
    <row r="282" ht="22.5" customHeight="1">
      <c r="A282" s="7" t="s">
        <v>9500</v>
      </c>
      <c r="B282" s="8" t="s">
        <v>9698</v>
      </c>
      <c r="C282" s="7" t="s">
        <v>9699</v>
      </c>
      <c r="D282" s="7" t="s">
        <v>9113</v>
      </c>
      <c r="E282" s="7" t="s">
        <v>9114</v>
      </c>
    </row>
    <row r="283" ht="22.5" customHeight="1">
      <c r="A283" s="7" t="s">
        <v>9500</v>
      </c>
      <c r="B283" s="8" t="s">
        <v>9700</v>
      </c>
      <c r="C283" s="7" t="s">
        <v>9701</v>
      </c>
      <c r="D283" s="7" t="s">
        <v>9117</v>
      </c>
      <c r="E283" s="7" t="s">
        <v>9118</v>
      </c>
    </row>
    <row r="284" ht="22.5" customHeight="1">
      <c r="A284" s="7" t="s">
        <v>9500</v>
      </c>
      <c r="B284" s="8" t="s">
        <v>9702</v>
      </c>
      <c r="C284" s="7" t="s">
        <v>9703</v>
      </c>
      <c r="D284" s="7" t="s">
        <v>9121</v>
      </c>
      <c r="E284" s="7" t="s">
        <v>9186</v>
      </c>
    </row>
    <row r="285" ht="22.5" customHeight="1">
      <c r="A285" s="7" t="s">
        <v>9500</v>
      </c>
      <c r="B285" s="8" t="s">
        <v>9704</v>
      </c>
      <c r="C285" s="7" t="s">
        <v>9705</v>
      </c>
      <c r="D285" s="7" t="s">
        <v>9137</v>
      </c>
      <c r="E285" s="7" t="s">
        <v>9158</v>
      </c>
    </row>
    <row r="286" ht="22.5" customHeight="1">
      <c r="A286" s="7" t="s">
        <v>9500</v>
      </c>
      <c r="B286" s="8" t="s">
        <v>9706</v>
      </c>
      <c r="C286" s="7" t="s">
        <v>9707</v>
      </c>
      <c r="D286" s="7" t="s">
        <v>9102</v>
      </c>
      <c r="E286" s="7" t="s">
        <v>9103</v>
      </c>
    </row>
    <row r="287" ht="22.5" customHeight="1">
      <c r="A287" s="7" t="s">
        <v>9500</v>
      </c>
      <c r="B287" s="8" t="s">
        <v>9708</v>
      </c>
      <c r="C287" s="7" t="s">
        <v>9709</v>
      </c>
      <c r="D287" s="7" t="s">
        <v>9137</v>
      </c>
      <c r="E287" s="7" t="s">
        <v>9158</v>
      </c>
    </row>
    <row r="288" ht="22.5" customHeight="1">
      <c r="A288" s="7" t="s">
        <v>9500</v>
      </c>
      <c r="B288" s="8" t="s">
        <v>9710</v>
      </c>
      <c r="C288" s="7" t="s">
        <v>9711</v>
      </c>
      <c r="D288" s="7" t="s">
        <v>9102</v>
      </c>
      <c r="E288" s="7" t="s">
        <v>9110</v>
      </c>
    </row>
    <row r="289" ht="22.5" customHeight="1">
      <c r="A289" s="7" t="s">
        <v>9500</v>
      </c>
      <c r="B289" s="8" t="s">
        <v>9712</v>
      </c>
      <c r="C289" s="7" t="s">
        <v>9713</v>
      </c>
      <c r="D289" s="7" t="s">
        <v>9102</v>
      </c>
      <c r="E289" s="7" t="s">
        <v>9110</v>
      </c>
    </row>
    <row r="290" ht="22.5" customHeight="1">
      <c r="A290" s="7" t="s">
        <v>9500</v>
      </c>
      <c r="B290" s="8" t="s">
        <v>9180</v>
      </c>
      <c r="C290" s="7" t="s">
        <v>9714</v>
      </c>
      <c r="D290" s="7" t="s">
        <v>9130</v>
      </c>
      <c r="E290" s="7" t="s">
        <v>9131</v>
      </c>
    </row>
    <row r="291" ht="22.5" customHeight="1">
      <c r="A291" s="7" t="s">
        <v>9500</v>
      </c>
      <c r="B291" s="8" t="s">
        <v>9715</v>
      </c>
      <c r="C291" s="7" t="s">
        <v>9716</v>
      </c>
      <c r="D291" s="7" t="s">
        <v>9113</v>
      </c>
      <c r="E291" s="7" t="s">
        <v>9161</v>
      </c>
    </row>
    <row r="292" ht="22.5" customHeight="1">
      <c r="A292" s="7" t="s">
        <v>9500</v>
      </c>
      <c r="B292" s="8" t="s">
        <v>9717</v>
      </c>
      <c r="C292" s="7" t="s">
        <v>9718</v>
      </c>
      <c r="D292" s="7" t="s">
        <v>9102</v>
      </c>
      <c r="E292" s="7" t="s">
        <v>9110</v>
      </c>
    </row>
    <row r="293" ht="22.5" customHeight="1">
      <c r="A293" s="7" t="s">
        <v>9500</v>
      </c>
      <c r="B293" s="8" t="s">
        <v>9719</v>
      </c>
      <c r="C293" s="7" t="s">
        <v>9720</v>
      </c>
      <c r="D293" s="7" t="s">
        <v>9130</v>
      </c>
      <c r="E293" s="7" t="s">
        <v>9416</v>
      </c>
    </row>
    <row r="294" ht="22.5" customHeight="1">
      <c r="A294" s="7" t="s">
        <v>9500</v>
      </c>
      <c r="B294" s="8" t="s">
        <v>9721</v>
      </c>
      <c r="C294" s="7" t="s">
        <v>9722</v>
      </c>
      <c r="D294" s="7" t="s">
        <v>9130</v>
      </c>
      <c r="E294" s="7" t="s">
        <v>9131</v>
      </c>
    </row>
    <row r="295" ht="22.5" customHeight="1">
      <c r="A295" s="7" t="s">
        <v>9500</v>
      </c>
      <c r="B295" s="8" t="s">
        <v>9723</v>
      </c>
      <c r="C295" s="7" t="s">
        <v>9724</v>
      </c>
      <c r="D295" s="7" t="s">
        <v>9121</v>
      </c>
      <c r="E295" s="7" t="s">
        <v>9186</v>
      </c>
    </row>
    <row r="296" ht="22.5" customHeight="1">
      <c r="A296" s="7" t="s">
        <v>9500</v>
      </c>
      <c r="B296" s="8" t="s">
        <v>9259</v>
      </c>
      <c r="C296" s="7" t="s">
        <v>9725</v>
      </c>
      <c r="D296" s="7" t="s">
        <v>9106</v>
      </c>
      <c r="E296" s="7" t="s">
        <v>9261</v>
      </c>
    </row>
    <row r="297" ht="22.5" customHeight="1">
      <c r="A297" s="7" t="s">
        <v>9500</v>
      </c>
      <c r="B297" s="8" t="s">
        <v>9726</v>
      </c>
      <c r="C297" s="7" t="s">
        <v>9727</v>
      </c>
      <c r="D297" s="7" t="s">
        <v>9106</v>
      </c>
      <c r="E297" s="7" t="s">
        <v>9107</v>
      </c>
    </row>
    <row r="298" ht="22.5" customHeight="1">
      <c r="A298" s="7" t="s">
        <v>9500</v>
      </c>
      <c r="B298" s="8" t="s">
        <v>9728</v>
      </c>
      <c r="C298" s="7" t="s">
        <v>9729</v>
      </c>
      <c r="D298" s="7" t="s">
        <v>9106</v>
      </c>
      <c r="E298" s="7" t="s">
        <v>9261</v>
      </c>
    </row>
    <row r="299" ht="22.5" customHeight="1">
      <c r="A299" s="7" t="s">
        <v>9500</v>
      </c>
      <c r="B299" s="8" t="s">
        <v>9730</v>
      </c>
      <c r="C299" s="7" t="s">
        <v>9731</v>
      </c>
      <c r="D299" s="7" t="s">
        <v>9102</v>
      </c>
      <c r="E299" s="7" t="s">
        <v>9110</v>
      </c>
    </row>
    <row r="300" ht="22.5" customHeight="1">
      <c r="A300" s="7" t="s">
        <v>9500</v>
      </c>
      <c r="B300" s="8" t="s">
        <v>9732</v>
      </c>
      <c r="C300" s="7" t="s">
        <v>9733</v>
      </c>
      <c r="D300" s="7" t="s">
        <v>9117</v>
      </c>
      <c r="E300" s="7" t="s">
        <v>9118</v>
      </c>
    </row>
    <row r="301" ht="22.5" customHeight="1">
      <c r="A301" s="7" t="s">
        <v>9500</v>
      </c>
      <c r="B301" s="8" t="s">
        <v>9734</v>
      </c>
      <c r="C301" s="7" t="s">
        <v>9735</v>
      </c>
      <c r="D301" s="7" t="s">
        <v>9137</v>
      </c>
      <c r="E301" s="7" t="s">
        <v>9138</v>
      </c>
    </row>
    <row r="302" ht="22.5" customHeight="1">
      <c r="A302" s="7" t="s">
        <v>9500</v>
      </c>
      <c r="B302" s="8" t="s">
        <v>9736</v>
      </c>
      <c r="C302" s="7" t="s">
        <v>9737</v>
      </c>
      <c r="D302" s="7" t="s">
        <v>9102</v>
      </c>
      <c r="E302" s="7" t="s">
        <v>9141</v>
      </c>
    </row>
    <row r="303" ht="22.5" customHeight="1">
      <c r="A303" s="7" t="s">
        <v>9500</v>
      </c>
      <c r="B303" s="8" t="s">
        <v>9738</v>
      </c>
      <c r="C303" s="7" t="s">
        <v>9739</v>
      </c>
      <c r="D303" s="7" t="s">
        <v>9130</v>
      </c>
      <c r="E303" s="7" t="s">
        <v>9177</v>
      </c>
    </row>
    <row r="304" ht="22.5" customHeight="1">
      <c r="A304" s="7" t="s">
        <v>9500</v>
      </c>
      <c r="B304" s="8" t="s">
        <v>9740</v>
      </c>
      <c r="C304" s="7" t="s">
        <v>9741</v>
      </c>
      <c r="D304" s="7" t="s">
        <v>9106</v>
      </c>
      <c r="E304" s="7" t="s">
        <v>9261</v>
      </c>
    </row>
    <row r="305" ht="22.5" customHeight="1">
      <c r="A305" s="7" t="s">
        <v>9500</v>
      </c>
      <c r="B305" s="8" t="s">
        <v>9299</v>
      </c>
      <c r="C305" s="7" t="s">
        <v>9742</v>
      </c>
      <c r="D305" s="7" t="s">
        <v>9137</v>
      </c>
      <c r="E305" s="7" t="s">
        <v>9138</v>
      </c>
    </row>
    <row r="306" ht="22.5" customHeight="1">
      <c r="A306" s="7" t="s">
        <v>9500</v>
      </c>
      <c r="B306" s="8" t="s">
        <v>9743</v>
      </c>
      <c r="C306" s="7" t="s">
        <v>9744</v>
      </c>
      <c r="D306" s="7" t="s">
        <v>9137</v>
      </c>
      <c r="E306" s="7" t="s">
        <v>9138</v>
      </c>
    </row>
    <row r="307" ht="22.5" customHeight="1">
      <c r="A307" s="7" t="s">
        <v>9500</v>
      </c>
      <c r="B307" s="8" t="s">
        <v>9745</v>
      </c>
      <c r="C307" s="7" t="s">
        <v>9746</v>
      </c>
      <c r="D307" s="7" t="s">
        <v>9137</v>
      </c>
      <c r="E307" s="7" t="s">
        <v>9138</v>
      </c>
    </row>
    <row r="308" ht="22.5" customHeight="1">
      <c r="A308" s="7" t="s">
        <v>9500</v>
      </c>
      <c r="B308" s="8" t="s">
        <v>9192</v>
      </c>
      <c r="C308" s="7" t="s">
        <v>9747</v>
      </c>
      <c r="D308" s="7" t="s">
        <v>9106</v>
      </c>
      <c r="E308" s="7" t="s">
        <v>9107</v>
      </c>
    </row>
    <row r="309" ht="22.5" customHeight="1">
      <c r="A309" s="7" t="s">
        <v>9500</v>
      </c>
      <c r="B309" s="8" t="s">
        <v>9748</v>
      </c>
      <c r="C309" s="7" t="s">
        <v>9749</v>
      </c>
      <c r="D309" s="7" t="s">
        <v>9137</v>
      </c>
      <c r="E309" s="7" t="s">
        <v>9158</v>
      </c>
    </row>
    <row r="310" ht="22.5" customHeight="1">
      <c r="A310" s="7" t="s">
        <v>9500</v>
      </c>
      <c r="B310" s="8" t="s">
        <v>9750</v>
      </c>
      <c r="C310" s="7" t="s">
        <v>9751</v>
      </c>
      <c r="D310" s="7" t="s">
        <v>9113</v>
      </c>
      <c r="E310" s="7" t="s">
        <v>9114</v>
      </c>
    </row>
    <row r="311" ht="22.5" customHeight="1">
      <c r="A311" s="7" t="s">
        <v>9500</v>
      </c>
      <c r="B311" s="8" t="s">
        <v>9752</v>
      </c>
      <c r="C311" s="7" t="s">
        <v>9753</v>
      </c>
      <c r="D311" s="7" t="s">
        <v>9130</v>
      </c>
      <c r="E311" s="7" t="s">
        <v>9354</v>
      </c>
    </row>
    <row r="312" ht="22.5" customHeight="1">
      <c r="A312" s="7" t="s">
        <v>9500</v>
      </c>
      <c r="B312" s="8" t="s">
        <v>9754</v>
      </c>
      <c r="C312" s="7" t="s">
        <v>9755</v>
      </c>
      <c r="D312" s="7" t="s">
        <v>9106</v>
      </c>
      <c r="E312" s="7" t="s">
        <v>9191</v>
      </c>
    </row>
    <row r="313" ht="22.5" customHeight="1">
      <c r="A313" s="7" t="s">
        <v>9500</v>
      </c>
      <c r="B313" s="8" t="s">
        <v>9756</v>
      </c>
      <c r="C313" s="7" t="s">
        <v>9757</v>
      </c>
      <c r="D313" s="7" t="s">
        <v>9137</v>
      </c>
      <c r="E313" s="7" t="s">
        <v>9158</v>
      </c>
    </row>
    <row r="314" ht="22.5" customHeight="1">
      <c r="A314" s="7" t="s">
        <v>9500</v>
      </c>
      <c r="B314" s="8" t="s">
        <v>9758</v>
      </c>
      <c r="C314" s="7" t="s">
        <v>9759</v>
      </c>
      <c r="D314" s="7" t="s">
        <v>9117</v>
      </c>
      <c r="E314" s="7" t="s">
        <v>9118</v>
      </c>
    </row>
    <row r="315" ht="22.5" customHeight="1">
      <c r="A315" s="7" t="s">
        <v>9500</v>
      </c>
      <c r="B315" s="8" t="s">
        <v>9760</v>
      </c>
      <c r="C315" s="7" t="s">
        <v>9761</v>
      </c>
      <c r="D315" s="7" t="s">
        <v>9102</v>
      </c>
      <c r="E315" s="7" t="s">
        <v>9103</v>
      </c>
    </row>
    <row r="316" ht="22.5" customHeight="1">
      <c r="A316" s="7" t="s">
        <v>9500</v>
      </c>
      <c r="B316" s="8" t="s">
        <v>9194</v>
      </c>
      <c r="C316" s="7" t="s">
        <v>9762</v>
      </c>
      <c r="D316" s="7" t="s">
        <v>9130</v>
      </c>
      <c r="E316" s="7" t="s">
        <v>9131</v>
      </c>
    </row>
    <row r="317" ht="22.5" customHeight="1">
      <c r="A317" s="7" t="s">
        <v>9500</v>
      </c>
      <c r="B317" s="8" t="s">
        <v>9763</v>
      </c>
      <c r="C317" s="7" t="s">
        <v>9764</v>
      </c>
      <c r="D317" s="7" t="s">
        <v>9113</v>
      </c>
      <c r="E317" s="7" t="s">
        <v>9114</v>
      </c>
    </row>
    <row r="318" ht="22.5" customHeight="1">
      <c r="A318" s="7" t="s">
        <v>9500</v>
      </c>
      <c r="B318" s="8" t="s">
        <v>9765</v>
      </c>
      <c r="C318" s="7" t="s">
        <v>9766</v>
      </c>
      <c r="D318" s="7" t="s">
        <v>9137</v>
      </c>
      <c r="E318" s="7" t="s">
        <v>9138</v>
      </c>
    </row>
    <row r="319" ht="22.5" customHeight="1">
      <c r="A319" s="7" t="s">
        <v>9500</v>
      </c>
      <c r="B319" s="8" t="s">
        <v>9767</v>
      </c>
      <c r="C319" s="7" t="s">
        <v>9768</v>
      </c>
      <c r="D319" s="7" t="s">
        <v>9106</v>
      </c>
      <c r="E319" s="7" t="s">
        <v>9107</v>
      </c>
    </row>
    <row r="320" ht="22.5" customHeight="1">
      <c r="A320" s="7" t="s">
        <v>9500</v>
      </c>
      <c r="B320" s="8" t="s">
        <v>9769</v>
      </c>
      <c r="C320" s="7" t="s">
        <v>9770</v>
      </c>
      <c r="D320" s="7" t="s">
        <v>9106</v>
      </c>
      <c r="E320" s="7" t="s">
        <v>9191</v>
      </c>
    </row>
    <row r="321" ht="22.5" customHeight="1">
      <c r="A321" s="7" t="s">
        <v>9500</v>
      </c>
      <c r="B321" s="8" t="s">
        <v>9771</v>
      </c>
      <c r="C321" s="7" t="s">
        <v>9772</v>
      </c>
      <c r="D321" s="7" t="s">
        <v>9113</v>
      </c>
      <c r="E321" s="7" t="s">
        <v>9114</v>
      </c>
    </row>
    <row r="322" ht="22.5" customHeight="1">
      <c r="A322" s="7" t="s">
        <v>9500</v>
      </c>
      <c r="B322" s="8" t="s">
        <v>9257</v>
      </c>
      <c r="C322" s="7" t="s">
        <v>9773</v>
      </c>
      <c r="D322" s="7" t="s">
        <v>9102</v>
      </c>
      <c r="E322" s="7" t="s">
        <v>9110</v>
      </c>
    </row>
    <row r="323" ht="22.5" customHeight="1">
      <c r="A323" s="7" t="s">
        <v>9500</v>
      </c>
      <c r="B323" s="8" t="s">
        <v>9774</v>
      </c>
      <c r="C323" s="7" t="s">
        <v>9775</v>
      </c>
      <c r="D323" s="7" t="s">
        <v>9113</v>
      </c>
      <c r="E323" s="7" t="s">
        <v>9114</v>
      </c>
    </row>
    <row r="324" ht="22.5" customHeight="1">
      <c r="A324" s="7" t="s">
        <v>9500</v>
      </c>
      <c r="B324" s="8" t="s">
        <v>9776</v>
      </c>
      <c r="C324" s="7" t="s">
        <v>9777</v>
      </c>
      <c r="D324" s="7" t="s">
        <v>9106</v>
      </c>
      <c r="E324" s="7" t="s">
        <v>9191</v>
      </c>
    </row>
    <row r="325" ht="22.5" customHeight="1">
      <c r="A325" s="7" t="s">
        <v>9500</v>
      </c>
      <c r="B325" s="8" t="s">
        <v>9778</v>
      </c>
      <c r="C325" s="7" t="s">
        <v>9779</v>
      </c>
      <c r="D325" s="7" t="s">
        <v>9130</v>
      </c>
      <c r="E325" s="7" t="s">
        <v>9354</v>
      </c>
    </row>
    <row r="326" ht="22.5" customHeight="1">
      <c r="A326" s="7" t="s">
        <v>9500</v>
      </c>
      <c r="B326" s="8" t="s">
        <v>9780</v>
      </c>
      <c r="C326" s="7" t="s">
        <v>9781</v>
      </c>
      <c r="D326" s="7" t="s">
        <v>9130</v>
      </c>
      <c r="E326" s="7" t="s">
        <v>9354</v>
      </c>
    </row>
    <row r="327" ht="22.5" customHeight="1">
      <c r="A327" s="7" t="s">
        <v>9500</v>
      </c>
      <c r="B327" s="8" t="s">
        <v>9782</v>
      </c>
      <c r="C327" s="7" t="s">
        <v>9783</v>
      </c>
      <c r="D327" s="7" t="s">
        <v>9121</v>
      </c>
      <c r="E327" s="7" t="s">
        <v>9186</v>
      </c>
    </row>
    <row r="328" ht="22.5" customHeight="1">
      <c r="A328" s="7" t="s">
        <v>9500</v>
      </c>
      <c r="B328" s="8" t="s">
        <v>9171</v>
      </c>
      <c r="C328" s="7" t="s">
        <v>9784</v>
      </c>
      <c r="D328" s="7" t="s">
        <v>9130</v>
      </c>
      <c r="E328" s="7" t="s">
        <v>9153</v>
      </c>
    </row>
    <row r="329" ht="22.5" customHeight="1">
      <c r="A329" s="7" t="s">
        <v>9500</v>
      </c>
      <c r="B329" s="8" t="s">
        <v>9173</v>
      </c>
      <c r="C329" s="7" t="s">
        <v>9785</v>
      </c>
      <c r="D329" s="7" t="s">
        <v>9130</v>
      </c>
      <c r="E329" s="7" t="s">
        <v>9131</v>
      </c>
    </row>
    <row r="330" ht="22.5" customHeight="1">
      <c r="A330" s="7" t="s">
        <v>9500</v>
      </c>
      <c r="B330" s="8" t="s">
        <v>9786</v>
      </c>
      <c r="C330" s="7" t="s">
        <v>9787</v>
      </c>
      <c r="D330" s="7" t="s">
        <v>9102</v>
      </c>
      <c r="E330" s="7" t="s">
        <v>9141</v>
      </c>
    </row>
    <row r="331" ht="22.5" customHeight="1">
      <c r="A331" s="7" t="s">
        <v>9500</v>
      </c>
      <c r="B331" s="8" t="s">
        <v>9788</v>
      </c>
      <c r="C331" s="7" t="s">
        <v>9789</v>
      </c>
      <c r="D331" s="7" t="s">
        <v>9130</v>
      </c>
      <c r="E331" s="7" t="s">
        <v>9354</v>
      </c>
    </row>
    <row r="332" ht="22.5" customHeight="1">
      <c r="A332" s="7" t="s">
        <v>9500</v>
      </c>
      <c r="B332" s="8" t="s">
        <v>9790</v>
      </c>
      <c r="C332" s="7" t="s">
        <v>9791</v>
      </c>
      <c r="D332" s="7" t="s">
        <v>9130</v>
      </c>
      <c r="E332" s="7" t="s">
        <v>9153</v>
      </c>
    </row>
    <row r="333" ht="22.5" customHeight="1">
      <c r="A333" s="7" t="s">
        <v>9500</v>
      </c>
      <c r="B333" s="8" t="s">
        <v>9792</v>
      </c>
      <c r="C333" s="7" t="s">
        <v>9793</v>
      </c>
      <c r="D333" s="7" t="s">
        <v>9106</v>
      </c>
      <c r="E333" s="7" t="s">
        <v>9107</v>
      </c>
    </row>
    <row r="334" ht="22.5" customHeight="1">
      <c r="A334" s="7" t="s">
        <v>9500</v>
      </c>
      <c r="B334" s="8" t="s">
        <v>9794</v>
      </c>
      <c r="C334" s="7" t="s">
        <v>9795</v>
      </c>
      <c r="D334" s="7" t="s">
        <v>9106</v>
      </c>
      <c r="E334" s="7" t="s">
        <v>9107</v>
      </c>
    </row>
    <row r="335" ht="22.5" customHeight="1">
      <c r="A335" s="7" t="s">
        <v>9500</v>
      </c>
      <c r="B335" s="8" t="s">
        <v>9796</v>
      </c>
      <c r="C335" s="7" t="s">
        <v>9797</v>
      </c>
      <c r="D335" s="7" t="s">
        <v>9117</v>
      </c>
      <c r="E335" s="7" t="s">
        <v>9118</v>
      </c>
    </row>
    <row r="336" ht="22.5" customHeight="1">
      <c r="A336" s="7" t="s">
        <v>9500</v>
      </c>
      <c r="B336" s="8" t="s">
        <v>9796</v>
      </c>
      <c r="C336" s="7" t="s">
        <v>9798</v>
      </c>
      <c r="D336" s="7" t="s">
        <v>9106</v>
      </c>
      <c r="E336" s="7" t="s">
        <v>9107</v>
      </c>
    </row>
    <row r="337" ht="22.5" customHeight="1">
      <c r="A337" s="7" t="s">
        <v>9500</v>
      </c>
      <c r="B337" s="8" t="s">
        <v>9796</v>
      </c>
      <c r="C337" s="7" t="s">
        <v>9799</v>
      </c>
      <c r="D337" s="7" t="s">
        <v>9102</v>
      </c>
      <c r="E337" s="7" t="s">
        <v>9110</v>
      </c>
    </row>
    <row r="338" ht="22.5" customHeight="1">
      <c r="A338" s="7" t="s">
        <v>9500</v>
      </c>
      <c r="B338" s="8" t="s">
        <v>9796</v>
      </c>
      <c r="C338" s="7" t="s">
        <v>9800</v>
      </c>
      <c r="D338" s="7" t="s">
        <v>9113</v>
      </c>
      <c r="E338" s="7" t="s">
        <v>9114</v>
      </c>
    </row>
    <row r="339" ht="22.5" customHeight="1">
      <c r="A339" s="7" t="s">
        <v>9500</v>
      </c>
      <c r="B339" s="8" t="s">
        <v>9801</v>
      </c>
      <c r="C339" s="7" t="s">
        <v>9802</v>
      </c>
      <c r="D339" s="7" t="s">
        <v>9121</v>
      </c>
      <c r="E339" s="7" t="s">
        <v>9269</v>
      </c>
    </row>
    <row r="340" ht="22.5" customHeight="1">
      <c r="A340" s="7" t="s">
        <v>9500</v>
      </c>
      <c r="B340" s="8" t="s">
        <v>9803</v>
      </c>
      <c r="C340" s="7" t="s">
        <v>9804</v>
      </c>
      <c r="D340" s="7" t="s">
        <v>9130</v>
      </c>
      <c r="E340" s="7" t="s">
        <v>9605</v>
      </c>
    </row>
    <row r="341" ht="22.5" customHeight="1">
      <c r="A341" s="7" t="s">
        <v>9805</v>
      </c>
      <c r="B341" s="8" t="s">
        <v>9806</v>
      </c>
      <c r="C341" s="7" t="s">
        <v>9807</v>
      </c>
      <c r="D341" s="7" t="s">
        <v>9102</v>
      </c>
      <c r="E341" s="7" t="s">
        <v>9110</v>
      </c>
      <c r="F341" s="7" t="s">
        <v>5259</v>
      </c>
    </row>
    <row r="342" ht="22.5" customHeight="1">
      <c r="A342" s="7" t="s">
        <v>9805</v>
      </c>
      <c r="B342" s="8" t="s">
        <v>9808</v>
      </c>
      <c r="C342" s="7" t="s">
        <v>9809</v>
      </c>
      <c r="D342" s="7" t="s">
        <v>9137</v>
      </c>
      <c r="E342" s="7" t="s">
        <v>9138</v>
      </c>
      <c r="F342" s="7" t="s">
        <v>9810</v>
      </c>
    </row>
    <row r="343" ht="22.5" customHeight="1">
      <c r="A343" s="7" t="s">
        <v>9805</v>
      </c>
      <c r="B343" s="8" t="s">
        <v>9811</v>
      </c>
      <c r="C343" s="7" t="s">
        <v>9812</v>
      </c>
      <c r="D343" s="7" t="s">
        <v>9102</v>
      </c>
      <c r="E343" s="7" t="s">
        <v>9103</v>
      </c>
      <c r="F343" s="7" t="s">
        <v>9813</v>
      </c>
    </row>
    <row r="344" ht="22.5" customHeight="1">
      <c r="A344" s="7" t="s">
        <v>9805</v>
      </c>
      <c r="B344" s="8" t="s">
        <v>9814</v>
      </c>
      <c r="C344" s="7" t="s">
        <v>9815</v>
      </c>
      <c r="D344" s="7" t="s">
        <v>9137</v>
      </c>
      <c r="E344" s="7" t="s">
        <v>9138</v>
      </c>
      <c r="F344" s="7" t="s">
        <v>7041</v>
      </c>
    </row>
    <row r="345" ht="22.5" customHeight="1">
      <c r="A345" s="7" t="s">
        <v>9805</v>
      </c>
      <c r="B345" s="8" t="s">
        <v>9816</v>
      </c>
      <c r="C345" s="7" t="s">
        <v>9817</v>
      </c>
      <c r="D345" s="7" t="s">
        <v>9137</v>
      </c>
      <c r="E345" s="7" t="s">
        <v>9138</v>
      </c>
      <c r="F345" s="7" t="s">
        <v>9818</v>
      </c>
    </row>
    <row r="346" ht="22.5" customHeight="1">
      <c r="A346" s="7" t="s">
        <v>9805</v>
      </c>
      <c r="B346" s="8" t="s">
        <v>9816</v>
      </c>
      <c r="C346" s="7" t="s">
        <v>9819</v>
      </c>
      <c r="D346" s="7" t="s">
        <v>9130</v>
      </c>
      <c r="E346" s="7" t="s">
        <v>9354</v>
      </c>
      <c r="F346" s="7" t="s">
        <v>9818</v>
      </c>
    </row>
    <row r="347" ht="22.5" customHeight="1">
      <c r="A347" s="7" t="s">
        <v>9805</v>
      </c>
      <c r="B347" s="8" t="s">
        <v>9820</v>
      </c>
      <c r="C347" s="7" t="s">
        <v>9821</v>
      </c>
      <c r="D347" s="7" t="s">
        <v>9102</v>
      </c>
      <c r="E347" s="7" t="s">
        <v>9110</v>
      </c>
      <c r="F347" s="7" t="s">
        <v>9822</v>
      </c>
    </row>
    <row r="348" ht="22.5" customHeight="1">
      <c r="A348" s="7" t="s">
        <v>9805</v>
      </c>
      <c r="B348" s="8" t="s">
        <v>9823</v>
      </c>
      <c r="C348" s="7" t="s">
        <v>9824</v>
      </c>
      <c r="D348" s="7" t="s">
        <v>9106</v>
      </c>
      <c r="E348" s="7" t="s">
        <v>9107</v>
      </c>
      <c r="F348" s="7" t="s">
        <v>4305</v>
      </c>
    </row>
    <row r="349" ht="22.5" customHeight="1">
      <c r="A349" s="7" t="s">
        <v>9805</v>
      </c>
      <c r="B349" s="8" t="s">
        <v>9825</v>
      </c>
      <c r="C349" s="7" t="s">
        <v>9826</v>
      </c>
      <c r="D349" s="7" t="s">
        <v>9102</v>
      </c>
      <c r="E349" s="7" t="s">
        <v>9110</v>
      </c>
      <c r="F349" s="7" t="s">
        <v>9827</v>
      </c>
    </row>
    <row r="350" ht="22.5" customHeight="1">
      <c r="A350" s="7" t="s">
        <v>9805</v>
      </c>
      <c r="B350" s="8" t="s">
        <v>9828</v>
      </c>
      <c r="C350" s="7" t="s">
        <v>9829</v>
      </c>
      <c r="D350" s="7" t="s">
        <v>9113</v>
      </c>
      <c r="E350" s="7" t="s">
        <v>9264</v>
      </c>
      <c r="F350" s="7" t="s">
        <v>9830</v>
      </c>
    </row>
    <row r="351" ht="22.5" customHeight="1">
      <c r="A351" s="7" t="s">
        <v>9805</v>
      </c>
      <c r="B351" s="8" t="s">
        <v>9831</v>
      </c>
      <c r="C351" s="7" t="s">
        <v>9832</v>
      </c>
      <c r="D351" s="7" t="s">
        <v>9137</v>
      </c>
      <c r="E351" s="7" t="s">
        <v>9158</v>
      </c>
      <c r="F351" s="7" t="s">
        <v>9833</v>
      </c>
    </row>
    <row r="352" ht="22.5" customHeight="1">
      <c r="A352" s="7" t="s">
        <v>9805</v>
      </c>
      <c r="B352" s="8" t="s">
        <v>9834</v>
      </c>
      <c r="C352" s="7" t="s">
        <v>9835</v>
      </c>
      <c r="D352" s="7" t="s">
        <v>9137</v>
      </c>
      <c r="E352" s="7" t="s">
        <v>9138</v>
      </c>
      <c r="F352" s="7" t="s">
        <v>9836</v>
      </c>
    </row>
    <row r="353" ht="22.5" customHeight="1">
      <c r="A353" s="7" t="s">
        <v>9805</v>
      </c>
      <c r="B353" s="8" t="s">
        <v>9837</v>
      </c>
      <c r="C353" s="7" t="s">
        <v>9838</v>
      </c>
      <c r="D353" s="7" t="s">
        <v>9106</v>
      </c>
      <c r="E353" s="7" t="s">
        <v>9107</v>
      </c>
      <c r="F353" s="7" t="s">
        <v>9839</v>
      </c>
    </row>
    <row r="354" ht="22.5" customHeight="1">
      <c r="A354" s="7" t="s">
        <v>9805</v>
      </c>
      <c r="B354" s="8" t="s">
        <v>9840</v>
      </c>
      <c r="C354" s="7" t="s">
        <v>9841</v>
      </c>
      <c r="D354" s="7" t="s">
        <v>9113</v>
      </c>
      <c r="E354" s="7" t="s">
        <v>9114</v>
      </c>
      <c r="F354" s="7" t="s">
        <v>9842</v>
      </c>
    </row>
    <row r="355" ht="22.5" customHeight="1">
      <c r="A355" s="7" t="s">
        <v>9805</v>
      </c>
      <c r="B355" s="8" t="s">
        <v>9843</v>
      </c>
      <c r="C355" s="7" t="s">
        <v>9844</v>
      </c>
      <c r="D355" s="7" t="s">
        <v>9113</v>
      </c>
      <c r="E355" s="7" t="s">
        <v>9114</v>
      </c>
      <c r="F355" s="7" t="s">
        <v>9845</v>
      </c>
    </row>
    <row r="356" ht="22.5" customHeight="1">
      <c r="A356" s="7" t="s">
        <v>9805</v>
      </c>
      <c r="B356" s="8" t="s">
        <v>9846</v>
      </c>
      <c r="C356" s="7" t="s">
        <v>9847</v>
      </c>
      <c r="D356" s="7" t="s">
        <v>9130</v>
      </c>
      <c r="E356" s="7" t="s">
        <v>9354</v>
      </c>
      <c r="F356" s="7" t="s">
        <v>9848</v>
      </c>
    </row>
    <row r="357" ht="22.5" customHeight="1">
      <c r="A357" s="7" t="s">
        <v>9805</v>
      </c>
      <c r="B357" s="8" t="s">
        <v>9849</v>
      </c>
      <c r="C357" s="7" t="s">
        <v>9850</v>
      </c>
      <c r="D357" s="7" t="s">
        <v>9130</v>
      </c>
      <c r="E357" s="7" t="s">
        <v>9354</v>
      </c>
      <c r="F357" s="7" t="s">
        <v>9851</v>
      </c>
    </row>
    <row r="358" ht="22.5" customHeight="1">
      <c r="A358" s="7" t="s">
        <v>9805</v>
      </c>
      <c r="B358" s="8" t="s">
        <v>9852</v>
      </c>
      <c r="C358" s="7" t="s">
        <v>9853</v>
      </c>
      <c r="D358" s="7" t="s">
        <v>9113</v>
      </c>
      <c r="E358" s="7" t="s">
        <v>9114</v>
      </c>
      <c r="F358" s="7" t="s">
        <v>9854</v>
      </c>
    </row>
    <row r="359" ht="22.5" customHeight="1">
      <c r="A359" s="7" t="s">
        <v>9805</v>
      </c>
      <c r="B359" s="8" t="s">
        <v>9855</v>
      </c>
      <c r="C359" s="7" t="s">
        <v>9856</v>
      </c>
      <c r="D359" s="7" t="s">
        <v>9106</v>
      </c>
      <c r="E359" s="7" t="s">
        <v>9261</v>
      </c>
      <c r="F359" s="7" t="s">
        <v>9857</v>
      </c>
    </row>
    <row r="360" ht="22.5" customHeight="1">
      <c r="A360" s="7" t="s">
        <v>9805</v>
      </c>
      <c r="B360" s="8" t="s">
        <v>9858</v>
      </c>
      <c r="C360" s="7" t="s">
        <v>9859</v>
      </c>
      <c r="D360" s="7" t="s">
        <v>9113</v>
      </c>
      <c r="E360" s="7" t="s">
        <v>9264</v>
      </c>
      <c r="F360" s="7" t="s">
        <v>9860</v>
      </c>
    </row>
    <row r="361" ht="22.5" customHeight="1">
      <c r="A361" s="7" t="s">
        <v>9805</v>
      </c>
      <c r="B361" s="8" t="s">
        <v>9858</v>
      </c>
      <c r="C361" s="7" t="s">
        <v>9861</v>
      </c>
      <c r="D361" s="7" t="s">
        <v>9113</v>
      </c>
      <c r="E361" s="7" t="s">
        <v>9264</v>
      </c>
      <c r="F361" s="7" t="s">
        <v>9860</v>
      </c>
    </row>
    <row r="362" ht="22.5" customHeight="1">
      <c r="A362" s="7" t="s">
        <v>9805</v>
      </c>
      <c r="B362" s="8" t="s">
        <v>9862</v>
      </c>
      <c r="C362" s="7" t="s">
        <v>9863</v>
      </c>
      <c r="D362" s="7" t="s">
        <v>9113</v>
      </c>
      <c r="E362" s="7" t="s">
        <v>9264</v>
      </c>
      <c r="F362" s="7" t="s">
        <v>9864</v>
      </c>
    </row>
    <row r="363" ht="22.5" customHeight="1">
      <c r="A363" s="7" t="s">
        <v>9805</v>
      </c>
      <c r="B363" s="8" t="s">
        <v>9865</v>
      </c>
      <c r="C363" s="7" t="s">
        <v>9866</v>
      </c>
      <c r="D363" s="7" t="s">
        <v>9130</v>
      </c>
      <c r="E363" s="7" t="s">
        <v>9354</v>
      </c>
      <c r="F363" s="7" t="s">
        <v>9867</v>
      </c>
    </row>
    <row r="364" ht="22.5" customHeight="1">
      <c r="A364" s="7" t="s">
        <v>9805</v>
      </c>
      <c r="B364" s="8" t="s">
        <v>9868</v>
      </c>
      <c r="C364" s="7" t="s">
        <v>9869</v>
      </c>
      <c r="D364" s="7" t="s">
        <v>9130</v>
      </c>
      <c r="E364" s="7" t="s">
        <v>9354</v>
      </c>
      <c r="F364" s="7" t="s">
        <v>9867</v>
      </c>
    </row>
    <row r="365" ht="22.5" customHeight="1">
      <c r="A365" s="7" t="s">
        <v>9805</v>
      </c>
      <c r="B365" s="8" t="s">
        <v>9870</v>
      </c>
      <c r="C365" s="7" t="s">
        <v>9871</v>
      </c>
      <c r="D365" s="7" t="s">
        <v>9106</v>
      </c>
      <c r="E365" s="7" t="s">
        <v>9107</v>
      </c>
      <c r="F365" s="7" t="s">
        <v>9872</v>
      </c>
    </row>
    <row r="366" ht="22.5" customHeight="1">
      <c r="A366" s="7" t="s">
        <v>9805</v>
      </c>
      <c r="B366" s="8" t="s">
        <v>9873</v>
      </c>
      <c r="C366" s="7" t="s">
        <v>9874</v>
      </c>
      <c r="D366" s="7" t="s">
        <v>9102</v>
      </c>
      <c r="E366" s="7" t="s">
        <v>9110</v>
      </c>
      <c r="F366" s="7" t="s">
        <v>9875</v>
      </c>
    </row>
    <row r="367" ht="22.5" customHeight="1">
      <c r="A367" s="7" t="s">
        <v>9805</v>
      </c>
      <c r="B367" s="8" t="s">
        <v>9876</v>
      </c>
      <c r="C367" s="7" t="s">
        <v>9877</v>
      </c>
      <c r="D367" s="7" t="s">
        <v>9137</v>
      </c>
      <c r="E367" s="7" t="s">
        <v>9138</v>
      </c>
      <c r="F367" s="7" t="s">
        <v>9878</v>
      </c>
    </row>
    <row r="368" ht="22.5" customHeight="1">
      <c r="A368" s="7" t="s">
        <v>9805</v>
      </c>
      <c r="B368" s="8" t="s">
        <v>9879</v>
      </c>
      <c r="C368" s="7" t="s">
        <v>9880</v>
      </c>
      <c r="D368" s="7" t="s">
        <v>9130</v>
      </c>
      <c r="E368" s="7" t="s">
        <v>9354</v>
      </c>
      <c r="F368" s="7" t="s">
        <v>9881</v>
      </c>
    </row>
    <row r="369" ht="22.5" customHeight="1">
      <c r="A369" s="7" t="s">
        <v>9805</v>
      </c>
      <c r="B369" s="8" t="s">
        <v>9882</v>
      </c>
      <c r="C369" s="7" t="s">
        <v>9883</v>
      </c>
      <c r="D369" s="7" t="s">
        <v>9130</v>
      </c>
      <c r="E369" s="7" t="s">
        <v>9354</v>
      </c>
      <c r="F369" s="7" t="s">
        <v>9884</v>
      </c>
    </row>
    <row r="370" ht="22.5" customHeight="1">
      <c r="A370" s="7" t="s">
        <v>9805</v>
      </c>
      <c r="B370" s="8" t="s">
        <v>9885</v>
      </c>
      <c r="C370" s="7" t="s">
        <v>9886</v>
      </c>
      <c r="D370" s="7" t="s">
        <v>9130</v>
      </c>
      <c r="E370" s="7" t="s">
        <v>9354</v>
      </c>
      <c r="F370" s="7" t="s">
        <v>9887</v>
      </c>
    </row>
    <row r="371" ht="22.5" customHeight="1">
      <c r="A371" s="7" t="s">
        <v>9805</v>
      </c>
      <c r="B371" s="8" t="s">
        <v>9888</v>
      </c>
      <c r="C371" s="7" t="s">
        <v>9889</v>
      </c>
      <c r="D371" s="7" t="s">
        <v>9130</v>
      </c>
      <c r="E371" s="7" t="s">
        <v>9354</v>
      </c>
      <c r="F371" s="7" t="s">
        <v>9890</v>
      </c>
    </row>
    <row r="372" ht="22.5" customHeight="1">
      <c r="A372" s="7" t="s">
        <v>9805</v>
      </c>
      <c r="B372" s="8" t="s">
        <v>9891</v>
      </c>
      <c r="C372" s="7" t="s">
        <v>9892</v>
      </c>
      <c r="D372" s="7" t="s">
        <v>9130</v>
      </c>
      <c r="E372" s="7" t="s">
        <v>9153</v>
      </c>
      <c r="F372" s="7" t="s">
        <v>9893</v>
      </c>
    </row>
    <row r="373" ht="22.5" customHeight="1">
      <c r="A373" s="7" t="s">
        <v>9805</v>
      </c>
      <c r="B373" s="8" t="s">
        <v>9894</v>
      </c>
      <c r="C373" s="7" t="s">
        <v>9895</v>
      </c>
      <c r="D373" s="7" t="s">
        <v>9137</v>
      </c>
      <c r="E373" s="7" t="s">
        <v>9138</v>
      </c>
      <c r="F373" s="7" t="s">
        <v>9896</v>
      </c>
    </row>
    <row r="374" ht="22.5" customHeight="1">
      <c r="A374" s="7" t="s">
        <v>9805</v>
      </c>
      <c r="B374" s="8" t="s">
        <v>9897</v>
      </c>
      <c r="C374" s="7" t="s">
        <v>9898</v>
      </c>
      <c r="D374" s="7" t="s">
        <v>9102</v>
      </c>
      <c r="E374" s="7" t="s">
        <v>9141</v>
      </c>
      <c r="F374" s="7" t="s">
        <v>9899</v>
      </c>
    </row>
    <row r="375" ht="22.5" customHeight="1">
      <c r="A375" s="7" t="s">
        <v>9805</v>
      </c>
      <c r="B375" s="8" t="s">
        <v>9900</v>
      </c>
      <c r="C375" s="7" t="s">
        <v>9901</v>
      </c>
      <c r="D375" s="7" t="s">
        <v>9121</v>
      </c>
      <c r="E375" s="7" t="s">
        <v>9186</v>
      </c>
      <c r="F375" s="7" t="s">
        <v>9902</v>
      </c>
    </row>
    <row r="376" ht="22.5" customHeight="1">
      <c r="A376" s="7" t="s">
        <v>9805</v>
      </c>
      <c r="B376" s="8" t="s">
        <v>9903</v>
      </c>
      <c r="C376" s="7" t="s">
        <v>9904</v>
      </c>
      <c r="D376" s="7" t="s">
        <v>9117</v>
      </c>
      <c r="E376" s="7" t="s">
        <v>9118</v>
      </c>
      <c r="F376" s="7" t="s">
        <v>9905</v>
      </c>
    </row>
    <row r="377" ht="22.5" customHeight="1">
      <c r="A377" s="7" t="s">
        <v>9805</v>
      </c>
      <c r="B377" s="8" t="s">
        <v>9906</v>
      </c>
      <c r="C377" s="7" t="s">
        <v>9907</v>
      </c>
      <c r="D377" s="7" t="s">
        <v>9117</v>
      </c>
      <c r="E377" s="7" t="s">
        <v>9134</v>
      </c>
      <c r="F377" s="7" t="s">
        <v>9908</v>
      </c>
    </row>
    <row r="378" ht="22.5" customHeight="1">
      <c r="A378" s="7" t="s">
        <v>9805</v>
      </c>
      <c r="B378" s="8" t="s">
        <v>9909</v>
      </c>
      <c r="C378" s="7" t="s">
        <v>9910</v>
      </c>
      <c r="D378" s="7" t="s">
        <v>9130</v>
      </c>
      <c r="E378" s="7" t="s">
        <v>9177</v>
      </c>
      <c r="F378" s="7" t="s">
        <v>9911</v>
      </c>
    </row>
    <row r="379" ht="22.5" customHeight="1">
      <c r="A379" s="7" t="s">
        <v>9805</v>
      </c>
      <c r="B379" s="8" t="s">
        <v>9912</v>
      </c>
      <c r="C379" s="7" t="s">
        <v>9913</v>
      </c>
      <c r="D379" s="7" t="s">
        <v>9106</v>
      </c>
      <c r="E379" s="7" t="s">
        <v>9107</v>
      </c>
      <c r="F379" s="7" t="s">
        <v>9914</v>
      </c>
    </row>
    <row r="380" ht="22.5" customHeight="1">
      <c r="A380" s="7" t="s">
        <v>9805</v>
      </c>
      <c r="B380" s="8" t="s">
        <v>9915</v>
      </c>
      <c r="C380" s="7" t="s">
        <v>9916</v>
      </c>
      <c r="D380" s="7" t="s">
        <v>9130</v>
      </c>
      <c r="E380" s="7" t="s">
        <v>9153</v>
      </c>
      <c r="F380" s="7" t="s">
        <v>9917</v>
      </c>
    </row>
    <row r="381" ht="22.5" customHeight="1">
      <c r="A381" s="7" t="s">
        <v>9805</v>
      </c>
      <c r="B381" s="8" t="s">
        <v>9918</v>
      </c>
      <c r="C381" s="7" t="s">
        <v>9919</v>
      </c>
      <c r="D381" s="7" t="s">
        <v>9106</v>
      </c>
      <c r="E381" s="7" t="s">
        <v>9261</v>
      </c>
      <c r="F381" s="7" t="s">
        <v>9920</v>
      </c>
    </row>
    <row r="382" ht="22.5" customHeight="1">
      <c r="A382" s="7" t="s">
        <v>9805</v>
      </c>
      <c r="B382" s="8" t="s">
        <v>9921</v>
      </c>
      <c r="C382" s="7" t="s">
        <v>9922</v>
      </c>
      <c r="D382" s="7" t="s">
        <v>9102</v>
      </c>
      <c r="E382" s="7" t="s">
        <v>9141</v>
      </c>
      <c r="F382" s="7" t="s">
        <v>9923</v>
      </c>
    </row>
    <row r="383" ht="22.5" customHeight="1">
      <c r="A383" s="7" t="s">
        <v>9805</v>
      </c>
      <c r="B383" s="8" t="s">
        <v>9924</v>
      </c>
      <c r="C383" s="7" t="s">
        <v>9925</v>
      </c>
      <c r="D383" s="7" t="s">
        <v>9130</v>
      </c>
      <c r="E383" s="7" t="s">
        <v>9131</v>
      </c>
      <c r="F383" s="7" t="s">
        <v>9926</v>
      </c>
    </row>
    <row r="384" ht="22.5" customHeight="1">
      <c r="A384" s="7" t="s">
        <v>9805</v>
      </c>
      <c r="B384" s="8" t="s">
        <v>9927</v>
      </c>
      <c r="C384" s="7" t="s">
        <v>9928</v>
      </c>
      <c r="D384" s="7" t="s">
        <v>9130</v>
      </c>
      <c r="E384" s="7" t="s">
        <v>9131</v>
      </c>
      <c r="F384" s="7" t="s">
        <v>9929</v>
      </c>
    </row>
    <row r="385" ht="22.5" customHeight="1">
      <c r="A385" s="7" t="s">
        <v>9805</v>
      </c>
      <c r="B385" s="8" t="s">
        <v>9930</v>
      </c>
      <c r="C385" s="7" t="s">
        <v>9931</v>
      </c>
      <c r="D385" s="7" t="s">
        <v>9106</v>
      </c>
      <c r="E385" s="7" t="s">
        <v>9107</v>
      </c>
      <c r="F385" s="7" t="s">
        <v>9932</v>
      </c>
    </row>
    <row r="386" ht="22.5" customHeight="1">
      <c r="A386" s="7" t="s">
        <v>9805</v>
      </c>
      <c r="B386" s="8" t="s">
        <v>9933</v>
      </c>
      <c r="C386" s="7" t="s">
        <v>9934</v>
      </c>
      <c r="D386" s="7" t="s">
        <v>9130</v>
      </c>
      <c r="E386" s="7" t="s">
        <v>9131</v>
      </c>
      <c r="F386" s="7" t="s">
        <v>9935</v>
      </c>
    </row>
    <row r="387" ht="22.5" customHeight="1">
      <c r="A387" s="7" t="s">
        <v>9805</v>
      </c>
      <c r="B387" s="8" t="s">
        <v>9936</v>
      </c>
      <c r="C387" s="7" t="s">
        <v>9937</v>
      </c>
      <c r="D387" s="7" t="s">
        <v>9137</v>
      </c>
      <c r="E387" s="7" t="s">
        <v>9138</v>
      </c>
      <c r="F387" s="7" t="s">
        <v>6184</v>
      </c>
    </row>
    <row r="388" ht="22.5" customHeight="1">
      <c r="A388" s="7" t="s">
        <v>9805</v>
      </c>
      <c r="B388" s="8" t="s">
        <v>9938</v>
      </c>
      <c r="C388" s="7" t="s">
        <v>9939</v>
      </c>
      <c r="D388" s="7" t="s">
        <v>9117</v>
      </c>
      <c r="E388" s="7" t="s">
        <v>9118</v>
      </c>
      <c r="F388" s="7" t="s">
        <v>9940</v>
      </c>
    </row>
    <row r="389" ht="22.5" customHeight="1">
      <c r="A389" s="7" t="s">
        <v>9941</v>
      </c>
      <c r="B389" s="8" t="s">
        <v>9942</v>
      </c>
      <c r="C389" s="7" t="s">
        <v>9943</v>
      </c>
      <c r="D389" s="7" t="s">
        <v>9102</v>
      </c>
      <c r="E389" s="7" t="s">
        <v>9141</v>
      </c>
    </row>
    <row r="390" ht="22.5" customHeight="1">
      <c r="A390" s="7" t="s">
        <v>9941</v>
      </c>
      <c r="B390" s="8" t="s">
        <v>9944</v>
      </c>
      <c r="C390" s="7" t="s">
        <v>9945</v>
      </c>
      <c r="D390" s="7" t="s">
        <v>9106</v>
      </c>
      <c r="E390" s="7" t="s">
        <v>9191</v>
      </c>
    </row>
    <row r="391" ht="22.5" customHeight="1">
      <c r="A391" s="7" t="s">
        <v>9941</v>
      </c>
      <c r="B391" s="8" t="s">
        <v>9946</v>
      </c>
      <c r="C391" s="7" t="s">
        <v>9947</v>
      </c>
      <c r="D391" s="7" t="s">
        <v>9102</v>
      </c>
      <c r="E391" s="7" t="s">
        <v>9141</v>
      </c>
    </row>
    <row r="392" ht="22.5" customHeight="1">
      <c r="A392" s="7" t="s">
        <v>9941</v>
      </c>
      <c r="B392" s="8" t="s">
        <v>9948</v>
      </c>
      <c r="C392" s="7" t="s">
        <v>9949</v>
      </c>
      <c r="D392" s="7" t="s">
        <v>9117</v>
      </c>
      <c r="E392" s="7" t="s">
        <v>9118</v>
      </c>
    </row>
    <row r="393" ht="22.5" customHeight="1">
      <c r="A393" s="7" t="s">
        <v>9941</v>
      </c>
      <c r="B393" s="8" t="s">
        <v>9950</v>
      </c>
      <c r="C393" s="7" t="s">
        <v>9951</v>
      </c>
      <c r="D393" s="7" t="s">
        <v>9117</v>
      </c>
      <c r="E393" s="7" t="s">
        <v>9118</v>
      </c>
    </row>
    <row r="394" ht="22.5" customHeight="1">
      <c r="A394" s="7" t="s">
        <v>9941</v>
      </c>
      <c r="B394" s="8" t="s">
        <v>9952</v>
      </c>
      <c r="C394" s="7" t="s">
        <v>9953</v>
      </c>
      <c r="D394" s="7" t="s">
        <v>9117</v>
      </c>
      <c r="E394" s="7" t="s">
        <v>9118</v>
      </c>
    </row>
    <row r="395" ht="22.5" customHeight="1">
      <c r="A395" s="7" t="s">
        <v>9941</v>
      </c>
      <c r="B395" s="8" t="s">
        <v>9954</v>
      </c>
      <c r="C395" s="7" t="s">
        <v>9955</v>
      </c>
      <c r="D395" s="7" t="s">
        <v>9956</v>
      </c>
      <c r="E395" s="7" t="s">
        <v>16</v>
      </c>
    </row>
    <row r="396" ht="22.5" customHeight="1">
      <c r="A396" s="7" t="s">
        <v>9941</v>
      </c>
      <c r="B396" s="8" t="s">
        <v>9957</v>
      </c>
      <c r="C396" s="7" t="s">
        <v>9958</v>
      </c>
      <c r="D396" s="7" t="s">
        <v>9113</v>
      </c>
      <c r="E396" s="7" t="s">
        <v>9161</v>
      </c>
    </row>
    <row r="397" ht="22.5" customHeight="1">
      <c r="A397" s="7" t="s">
        <v>9941</v>
      </c>
      <c r="B397" s="8" t="s">
        <v>9959</v>
      </c>
      <c r="C397" s="7" t="s">
        <v>9960</v>
      </c>
      <c r="D397" s="7" t="s">
        <v>9117</v>
      </c>
      <c r="E397" s="7" t="s">
        <v>9118</v>
      </c>
    </row>
    <row r="398" ht="22.5" customHeight="1">
      <c r="A398" s="7" t="s">
        <v>9941</v>
      </c>
      <c r="B398" s="8" t="s">
        <v>9961</v>
      </c>
      <c r="C398" s="7" t="s">
        <v>9962</v>
      </c>
      <c r="D398" s="7" t="s">
        <v>9117</v>
      </c>
      <c r="E398" s="7" t="s">
        <v>9118</v>
      </c>
    </row>
    <row r="399" ht="22.5" customHeight="1">
      <c r="A399" s="7" t="s">
        <v>9941</v>
      </c>
      <c r="B399" s="8" t="s">
        <v>9963</v>
      </c>
      <c r="C399" s="7" t="s">
        <v>9964</v>
      </c>
      <c r="D399" s="7" t="s">
        <v>9117</v>
      </c>
      <c r="E399" s="7" t="s">
        <v>9118</v>
      </c>
    </row>
    <row r="400" ht="22.5" customHeight="1">
      <c r="A400" s="7" t="s">
        <v>9941</v>
      </c>
      <c r="B400" s="8" t="s">
        <v>9965</v>
      </c>
      <c r="C400" s="7" t="s">
        <v>9966</v>
      </c>
      <c r="D400" s="7" t="s">
        <v>9117</v>
      </c>
      <c r="E400" s="7" t="s">
        <v>9118</v>
      </c>
    </row>
    <row r="401" ht="22.5" customHeight="1">
      <c r="A401" s="7" t="s">
        <v>9941</v>
      </c>
      <c r="B401" s="8" t="s">
        <v>9967</v>
      </c>
      <c r="C401" s="7" t="s">
        <v>9968</v>
      </c>
      <c r="D401" s="7" t="s">
        <v>9117</v>
      </c>
      <c r="E401" s="7" t="s">
        <v>9118</v>
      </c>
    </row>
    <row r="402" ht="22.5" customHeight="1">
      <c r="A402" s="7" t="s">
        <v>9941</v>
      </c>
      <c r="B402" s="8" t="s">
        <v>9969</v>
      </c>
      <c r="C402" s="7" t="s">
        <v>9970</v>
      </c>
      <c r="D402" s="7" t="s">
        <v>9130</v>
      </c>
      <c r="E402" s="7" t="s">
        <v>9131</v>
      </c>
    </row>
    <row r="403" ht="22.5" customHeight="1">
      <c r="A403" s="7" t="s">
        <v>9941</v>
      </c>
      <c r="B403" s="8" t="s">
        <v>9971</v>
      </c>
      <c r="C403" s="7" t="s">
        <v>9972</v>
      </c>
      <c r="D403" s="7" t="s">
        <v>9113</v>
      </c>
      <c r="E403" s="7" t="s">
        <v>9161</v>
      </c>
    </row>
    <row r="404" ht="22.5" customHeight="1">
      <c r="A404" s="7" t="s">
        <v>9941</v>
      </c>
      <c r="B404" s="8" t="s">
        <v>9973</v>
      </c>
      <c r="C404" s="7" t="s">
        <v>9974</v>
      </c>
      <c r="D404" s="7" t="s">
        <v>9121</v>
      </c>
      <c r="E404" s="7" t="s">
        <v>9122</v>
      </c>
    </row>
    <row r="405" ht="22.5" customHeight="1">
      <c r="A405" s="7" t="s">
        <v>9941</v>
      </c>
      <c r="B405" s="8" t="s">
        <v>9975</v>
      </c>
      <c r="C405" s="7" t="s">
        <v>9976</v>
      </c>
      <c r="D405" s="7" t="s">
        <v>9106</v>
      </c>
      <c r="E405" s="7" t="s">
        <v>9107</v>
      </c>
    </row>
    <row r="406" ht="22.5" customHeight="1">
      <c r="A406" s="7" t="s">
        <v>9941</v>
      </c>
      <c r="B406" s="8" t="s">
        <v>9977</v>
      </c>
      <c r="C406" s="7" t="s">
        <v>9978</v>
      </c>
      <c r="D406" s="7" t="s">
        <v>9113</v>
      </c>
      <c r="E406" s="7" t="s">
        <v>9264</v>
      </c>
    </row>
    <row r="407" ht="22.5" customHeight="1">
      <c r="A407" s="7" t="s">
        <v>9941</v>
      </c>
      <c r="B407" s="8" t="s">
        <v>9979</v>
      </c>
      <c r="C407" s="7" t="s">
        <v>9980</v>
      </c>
      <c r="D407" s="7" t="s">
        <v>9117</v>
      </c>
      <c r="E407" s="7" t="s">
        <v>9134</v>
      </c>
    </row>
    <row r="408" ht="22.5" customHeight="1">
      <c r="A408" s="7" t="s">
        <v>9941</v>
      </c>
      <c r="B408" s="8" t="s">
        <v>9981</v>
      </c>
      <c r="C408" s="7" t="s">
        <v>9982</v>
      </c>
      <c r="D408" s="7" t="s">
        <v>9117</v>
      </c>
      <c r="E408" s="7" t="s">
        <v>9118</v>
      </c>
    </row>
    <row r="409" ht="22.5" customHeight="1">
      <c r="A409" s="7" t="s">
        <v>9941</v>
      </c>
      <c r="B409" s="8" t="s">
        <v>9983</v>
      </c>
      <c r="C409" s="7" t="s">
        <v>9984</v>
      </c>
      <c r="D409" s="7" t="s">
        <v>9121</v>
      </c>
      <c r="E409" s="7" t="s">
        <v>9269</v>
      </c>
    </row>
    <row r="410" ht="22.5" customHeight="1">
      <c r="A410" s="7" t="s">
        <v>9941</v>
      </c>
      <c r="B410" s="8" t="s">
        <v>9985</v>
      </c>
      <c r="C410" s="7" t="s">
        <v>9986</v>
      </c>
      <c r="D410" s="7" t="s">
        <v>9102</v>
      </c>
      <c r="E410" s="7" t="s">
        <v>9409</v>
      </c>
    </row>
    <row r="411" ht="22.5" customHeight="1">
      <c r="A411" s="7" t="s">
        <v>9941</v>
      </c>
      <c r="B411" s="8" t="s">
        <v>9987</v>
      </c>
      <c r="C411" s="7" t="s">
        <v>9988</v>
      </c>
      <c r="D411" s="7" t="s">
        <v>9102</v>
      </c>
      <c r="E411" s="7" t="s">
        <v>9409</v>
      </c>
    </row>
    <row r="412" ht="22.5" customHeight="1">
      <c r="A412" s="7" t="s">
        <v>9941</v>
      </c>
      <c r="B412" s="8" t="s">
        <v>9989</v>
      </c>
      <c r="C412" s="7" t="s">
        <v>9990</v>
      </c>
      <c r="D412" s="7" t="s">
        <v>9102</v>
      </c>
      <c r="E412" s="7" t="s">
        <v>9409</v>
      </c>
    </row>
    <row r="413" ht="22.5" customHeight="1">
      <c r="A413" s="7" t="s">
        <v>9941</v>
      </c>
      <c r="B413" s="8" t="s">
        <v>9991</v>
      </c>
      <c r="C413" s="7" t="s">
        <v>9992</v>
      </c>
      <c r="D413" s="7" t="s">
        <v>9113</v>
      </c>
      <c r="E413" s="7" t="s">
        <v>9114</v>
      </c>
    </row>
    <row r="414" ht="22.5" customHeight="1">
      <c r="A414" s="7" t="s">
        <v>9941</v>
      </c>
      <c r="B414" s="8" t="s">
        <v>9993</v>
      </c>
      <c r="C414" s="7" t="s">
        <v>9994</v>
      </c>
      <c r="D414" s="7" t="s">
        <v>9102</v>
      </c>
      <c r="E414" s="7" t="s">
        <v>9103</v>
      </c>
    </row>
    <row r="415" ht="22.5" customHeight="1">
      <c r="A415" s="7" t="s">
        <v>9941</v>
      </c>
      <c r="B415" s="8" t="s">
        <v>9995</v>
      </c>
      <c r="C415" s="7" t="s">
        <v>9996</v>
      </c>
      <c r="D415" s="7" t="s">
        <v>9106</v>
      </c>
      <c r="E415" s="7" t="s">
        <v>9107</v>
      </c>
    </row>
    <row r="416" ht="22.5" customHeight="1">
      <c r="A416" s="7" t="s">
        <v>9941</v>
      </c>
      <c r="B416" s="8" t="s">
        <v>9997</v>
      </c>
      <c r="C416" s="7" t="s">
        <v>9998</v>
      </c>
      <c r="D416" s="7" t="s">
        <v>9113</v>
      </c>
      <c r="E416" s="7" t="s">
        <v>9264</v>
      </c>
    </row>
    <row r="417" ht="22.5" customHeight="1">
      <c r="A417" s="7" t="s">
        <v>9941</v>
      </c>
      <c r="B417" s="8" t="s">
        <v>9999</v>
      </c>
      <c r="C417" s="7" t="s">
        <v>10000</v>
      </c>
      <c r="D417" s="7" t="s">
        <v>9117</v>
      </c>
      <c r="E417" s="7" t="s">
        <v>9118</v>
      </c>
    </row>
    <row r="418" ht="22.5" customHeight="1">
      <c r="A418" s="7" t="s">
        <v>9941</v>
      </c>
      <c r="B418" s="8" t="s">
        <v>10001</v>
      </c>
      <c r="C418" s="7" t="s">
        <v>10002</v>
      </c>
      <c r="D418" s="7" t="s">
        <v>9137</v>
      </c>
      <c r="E418" s="7" t="s">
        <v>9138</v>
      </c>
    </row>
    <row r="419" ht="22.5" customHeight="1">
      <c r="A419" s="7" t="s">
        <v>9941</v>
      </c>
      <c r="B419" s="8" t="s">
        <v>10003</v>
      </c>
      <c r="C419" s="7" t="s">
        <v>10004</v>
      </c>
      <c r="D419" s="7" t="s">
        <v>9113</v>
      </c>
      <c r="E419" s="7" t="s">
        <v>9114</v>
      </c>
    </row>
    <row r="420" ht="22.5" customHeight="1">
      <c r="A420" s="7" t="s">
        <v>9941</v>
      </c>
      <c r="B420" s="8" t="s">
        <v>10005</v>
      </c>
      <c r="C420" s="7" t="s">
        <v>10006</v>
      </c>
      <c r="D420" s="7" t="s">
        <v>9106</v>
      </c>
      <c r="E420" s="7" t="s">
        <v>9107</v>
      </c>
    </row>
    <row r="421" ht="22.5" customHeight="1">
      <c r="A421" s="7" t="s">
        <v>9941</v>
      </c>
      <c r="B421" s="8" t="s">
        <v>10007</v>
      </c>
      <c r="C421" s="7" t="s">
        <v>10008</v>
      </c>
      <c r="D421" s="7" t="s">
        <v>9102</v>
      </c>
      <c r="E421" s="7" t="s">
        <v>9110</v>
      </c>
    </row>
    <row r="422" ht="22.5" customHeight="1">
      <c r="A422" s="7" t="s">
        <v>9941</v>
      </c>
      <c r="B422" s="8" t="s">
        <v>10009</v>
      </c>
      <c r="C422" s="7" t="s">
        <v>10010</v>
      </c>
      <c r="D422" s="7" t="s">
        <v>9106</v>
      </c>
      <c r="E422" s="7" t="s">
        <v>9107</v>
      </c>
    </row>
    <row r="423" ht="22.5" customHeight="1">
      <c r="A423" s="7" t="s">
        <v>9941</v>
      </c>
      <c r="B423" s="8" t="s">
        <v>10011</v>
      </c>
      <c r="C423" s="7" t="s">
        <v>10012</v>
      </c>
      <c r="D423" s="7" t="s">
        <v>9102</v>
      </c>
      <c r="E423" s="7" t="s">
        <v>9110</v>
      </c>
    </row>
    <row r="424" ht="22.5" customHeight="1">
      <c r="A424" s="7" t="s">
        <v>9941</v>
      </c>
      <c r="B424" s="8" t="s">
        <v>10013</v>
      </c>
      <c r="C424" s="7" t="s">
        <v>10014</v>
      </c>
      <c r="D424" s="7" t="s">
        <v>9121</v>
      </c>
      <c r="E424" s="7" t="s">
        <v>9186</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30.63"/>
    <col customWidth="1" min="3" max="3" width="57.13"/>
    <col customWidth="1" min="4" max="4" width="42.88"/>
    <col customWidth="1" min="5" max="5" width="2.75"/>
  </cols>
  <sheetData>
    <row r="1">
      <c r="A1" s="48"/>
      <c r="B1" s="49" t="s">
        <v>10015</v>
      </c>
      <c r="C1" s="48"/>
      <c r="D1" s="48"/>
      <c r="E1" s="48"/>
    </row>
    <row r="2" ht="21.0" customHeight="1">
      <c r="A2" s="50"/>
      <c r="B2" s="51" t="s">
        <v>10016</v>
      </c>
      <c r="C2" s="52" t="s">
        <v>9</v>
      </c>
      <c r="D2" s="52" t="s">
        <v>8736</v>
      </c>
      <c r="E2" s="36"/>
    </row>
    <row r="3" ht="15.75" customHeight="1">
      <c r="A3" s="53"/>
      <c r="B3" s="54"/>
      <c r="C3" s="55"/>
      <c r="D3" s="55"/>
      <c r="E3" s="55"/>
    </row>
    <row r="4" ht="15.75" customHeight="1">
      <c r="A4" s="53"/>
      <c r="B4" s="56" t="s">
        <v>10017</v>
      </c>
      <c r="C4" s="57"/>
      <c r="D4" s="57"/>
      <c r="E4" s="55"/>
    </row>
    <row r="5" ht="15.75" customHeight="1">
      <c r="A5" s="53"/>
      <c r="B5" s="38" t="s">
        <v>10018</v>
      </c>
      <c r="C5" s="38" t="s">
        <v>10019</v>
      </c>
      <c r="D5" s="38" t="s">
        <v>10020</v>
      </c>
      <c r="E5" s="38"/>
    </row>
    <row r="6" ht="15.75" customHeight="1">
      <c r="A6" s="53"/>
      <c r="B6" s="38" t="s">
        <v>10021</v>
      </c>
      <c r="C6" s="38" t="s">
        <v>10022</v>
      </c>
      <c r="D6" s="38" t="s">
        <v>10023</v>
      </c>
      <c r="E6" s="38"/>
    </row>
    <row r="7" ht="15.75" customHeight="1">
      <c r="A7" s="53"/>
      <c r="B7" s="38" t="s">
        <v>10024</v>
      </c>
      <c r="C7" s="58" t="s">
        <v>10025</v>
      </c>
      <c r="D7" s="38" t="s">
        <v>10026</v>
      </c>
      <c r="E7" s="38"/>
    </row>
    <row r="8" ht="15.75" customHeight="1">
      <c r="A8" s="53"/>
      <c r="B8" s="38" t="s">
        <v>10027</v>
      </c>
      <c r="C8" s="58" t="s">
        <v>10028</v>
      </c>
      <c r="D8" s="38" t="s">
        <v>10029</v>
      </c>
      <c r="E8" s="38"/>
    </row>
    <row r="9" ht="15.75" customHeight="1">
      <c r="A9" s="59"/>
      <c r="B9" s="38" t="s">
        <v>10030</v>
      </c>
      <c r="C9" s="38" t="s">
        <v>10031</v>
      </c>
      <c r="D9" s="38" t="s">
        <v>10032</v>
      </c>
      <c r="E9" s="38"/>
    </row>
    <row r="10">
      <c r="A10" s="60"/>
      <c r="B10" s="61" t="s">
        <v>10033</v>
      </c>
      <c r="C10" s="61" t="s">
        <v>10034</v>
      </c>
      <c r="D10" s="61" t="s">
        <v>10035</v>
      </c>
      <c r="E10" s="61"/>
    </row>
    <row r="11">
      <c r="A11" s="60"/>
      <c r="B11" s="61" t="s">
        <v>10036</v>
      </c>
      <c r="C11" s="61" t="s">
        <v>10037</v>
      </c>
      <c r="D11" s="61" t="s">
        <v>10038</v>
      </c>
      <c r="E11" s="61"/>
    </row>
    <row r="12">
      <c r="A12" s="60"/>
      <c r="B12" s="61" t="s">
        <v>10039</v>
      </c>
      <c r="C12" s="61" t="s">
        <v>10040</v>
      </c>
      <c r="D12" s="61" t="s">
        <v>10041</v>
      </c>
      <c r="E12" s="61"/>
    </row>
    <row r="13" ht="15.75" customHeight="1">
      <c r="A13" s="53"/>
      <c r="B13" s="62" t="s">
        <v>10042</v>
      </c>
      <c r="C13" s="63" t="s">
        <v>10043</v>
      </c>
      <c r="D13" s="64" t="s">
        <v>10044</v>
      </c>
      <c r="E13" s="64"/>
    </row>
    <row r="14" ht="15.75" customHeight="1">
      <c r="A14" s="65"/>
      <c r="B14" s="66"/>
      <c r="C14" s="67" t="s">
        <v>10045</v>
      </c>
      <c r="D14" s="67" t="s">
        <v>10046</v>
      </c>
      <c r="E14" s="67"/>
    </row>
    <row r="15" ht="15.75" customHeight="1">
      <c r="A15" s="53"/>
      <c r="B15" s="56" t="s">
        <v>10047</v>
      </c>
      <c r="C15" s="57"/>
      <c r="D15" s="57"/>
      <c r="E15" s="55"/>
    </row>
    <row r="16" ht="15.75" customHeight="1">
      <c r="A16" s="60"/>
      <c r="B16" s="61" t="s">
        <v>10048</v>
      </c>
      <c r="C16" s="61" t="s">
        <v>10049</v>
      </c>
      <c r="D16" s="61" t="s">
        <v>10050</v>
      </c>
      <c r="E16" s="61"/>
    </row>
    <row r="17" ht="15.75" customHeight="1">
      <c r="A17" s="60"/>
      <c r="B17" s="61" t="s">
        <v>10051</v>
      </c>
      <c r="C17" s="61" t="s">
        <v>10052</v>
      </c>
      <c r="D17" s="61" t="s">
        <v>10053</v>
      </c>
      <c r="E17" s="61"/>
    </row>
    <row r="18" ht="15.75" customHeight="1">
      <c r="A18" s="60"/>
      <c r="B18" s="61" t="s">
        <v>10054</v>
      </c>
      <c r="C18" s="61" t="s">
        <v>10055</v>
      </c>
      <c r="D18" s="61" t="s">
        <v>10056</v>
      </c>
      <c r="E18" s="61"/>
    </row>
    <row r="19" ht="15.75" customHeight="1">
      <c r="A19" s="60"/>
      <c r="B19" s="61" t="s">
        <v>10057</v>
      </c>
      <c r="C19" s="61" t="s">
        <v>10058</v>
      </c>
      <c r="D19" s="61" t="s">
        <v>10059</v>
      </c>
      <c r="E19" s="61"/>
    </row>
    <row r="20" ht="15.75" customHeight="1">
      <c r="A20" s="65"/>
      <c r="B20" s="66"/>
      <c r="C20" s="67" t="s">
        <v>10045</v>
      </c>
      <c r="D20" s="67" t="s">
        <v>10046</v>
      </c>
      <c r="E20" s="67"/>
    </row>
    <row r="21" ht="15.75" customHeight="1">
      <c r="A21" s="53"/>
      <c r="B21" s="56" t="s">
        <v>10060</v>
      </c>
      <c r="C21" s="57"/>
      <c r="D21" s="57"/>
      <c r="E21" s="55"/>
    </row>
    <row r="22" ht="15.75" customHeight="1">
      <c r="A22" s="59"/>
      <c r="B22" s="68" t="s">
        <v>7308</v>
      </c>
      <c r="C22" s="69"/>
      <c r="D22" s="69"/>
    </row>
    <row r="23" ht="15.75" customHeight="1">
      <c r="A23" s="59"/>
      <c r="B23" s="58" t="s">
        <v>10061</v>
      </c>
      <c r="C23" s="58" t="s">
        <v>10062</v>
      </c>
      <c r="D23" s="58" t="s">
        <v>10063</v>
      </c>
    </row>
    <row r="24" ht="15.75" customHeight="1">
      <c r="B24" s="58" t="s">
        <v>10064</v>
      </c>
      <c r="C24" s="58" t="s">
        <v>10065</v>
      </c>
      <c r="D24" s="38" t="s">
        <v>10066</v>
      </c>
    </row>
    <row r="25" ht="15.75" customHeight="1">
      <c r="B25" s="38" t="s">
        <v>10067</v>
      </c>
      <c r="C25" s="38" t="s">
        <v>10068</v>
      </c>
      <c r="D25" s="38" t="s">
        <v>10069</v>
      </c>
    </row>
    <row r="26" ht="15.75" customHeight="1">
      <c r="B26" s="68" t="s">
        <v>3963</v>
      </c>
      <c r="C26" s="69"/>
      <c r="D26" s="69"/>
    </row>
    <row r="27" ht="15.75" customHeight="1">
      <c r="B27" s="58" t="s">
        <v>10070</v>
      </c>
      <c r="C27" s="58" t="s">
        <v>10071</v>
      </c>
      <c r="D27" s="58" t="s">
        <v>10072</v>
      </c>
    </row>
    <row r="28" ht="15.75" customHeight="1">
      <c r="B28" s="58" t="s">
        <v>10073</v>
      </c>
      <c r="C28" s="58" t="s">
        <v>10074</v>
      </c>
      <c r="D28" s="38" t="s">
        <v>10075</v>
      </c>
    </row>
    <row r="29" ht="15.75" customHeight="1">
      <c r="B29" s="38" t="s">
        <v>10076</v>
      </c>
      <c r="C29" s="38" t="s">
        <v>10077</v>
      </c>
      <c r="D29" s="38" t="s">
        <v>10078</v>
      </c>
    </row>
    <row r="30" ht="15.75" customHeight="1">
      <c r="B30" s="68" t="s">
        <v>10079</v>
      </c>
      <c r="C30" s="69"/>
      <c r="D30" s="69"/>
    </row>
    <row r="31" ht="15.75" customHeight="1">
      <c r="B31" s="58" t="s">
        <v>10080</v>
      </c>
      <c r="C31" s="58" t="s">
        <v>10081</v>
      </c>
      <c r="D31" s="58" t="s">
        <v>10082</v>
      </c>
    </row>
    <row r="32" ht="15.75" customHeight="1">
      <c r="A32" s="59"/>
      <c r="B32" s="58" t="s">
        <v>10083</v>
      </c>
      <c r="C32" s="58" t="s">
        <v>10084</v>
      </c>
      <c r="D32" s="38" t="s">
        <v>10085</v>
      </c>
    </row>
    <row r="33" ht="15.75" customHeight="1">
      <c r="A33" s="59"/>
      <c r="B33" s="38" t="s">
        <v>10086</v>
      </c>
      <c r="C33" s="38" t="s">
        <v>10087</v>
      </c>
      <c r="D33" s="38" t="s">
        <v>10088</v>
      </c>
    </row>
    <row r="34" ht="15.75" customHeight="1">
      <c r="A34" s="59"/>
      <c r="B34" s="68" t="s">
        <v>4033</v>
      </c>
      <c r="C34" s="69"/>
      <c r="D34" s="69"/>
    </row>
    <row r="35" ht="15.75" customHeight="1">
      <c r="A35" s="59"/>
      <c r="B35" s="58" t="s">
        <v>10089</v>
      </c>
      <c r="C35" s="58" t="s">
        <v>10090</v>
      </c>
      <c r="D35" s="58" t="s">
        <v>10091</v>
      </c>
    </row>
    <row r="36" ht="15.75" customHeight="1">
      <c r="A36" s="59"/>
      <c r="B36" s="58" t="s">
        <v>10092</v>
      </c>
      <c r="C36" s="58" t="s">
        <v>10093</v>
      </c>
      <c r="D36" s="38" t="s">
        <v>10094</v>
      </c>
    </row>
    <row r="37" ht="15.75" customHeight="1">
      <c r="A37" s="59"/>
      <c r="B37" s="38" t="s">
        <v>10095</v>
      </c>
      <c r="C37" s="38" t="s">
        <v>10096</v>
      </c>
      <c r="D37" s="38" t="s">
        <v>10097</v>
      </c>
    </row>
    <row r="38" ht="15.75" customHeight="1">
      <c r="A38" s="59"/>
      <c r="B38" s="68" t="s">
        <v>10098</v>
      </c>
      <c r="C38" s="69"/>
      <c r="D38" s="69"/>
    </row>
    <row r="39" ht="15.75" customHeight="1">
      <c r="A39" s="59"/>
      <c r="B39" s="58" t="s">
        <v>10099</v>
      </c>
      <c r="C39" s="58" t="s">
        <v>10100</v>
      </c>
      <c r="D39" s="58" t="s">
        <v>10101</v>
      </c>
    </row>
    <row r="40" ht="15.75" customHeight="1">
      <c r="A40" s="59"/>
      <c r="B40" s="58" t="s">
        <v>10102</v>
      </c>
      <c r="C40" s="58" t="s">
        <v>10103</v>
      </c>
      <c r="D40" s="38" t="s">
        <v>10104</v>
      </c>
    </row>
    <row r="41">
      <c r="A41" s="60"/>
      <c r="B41" s="38" t="s">
        <v>10105</v>
      </c>
      <c r="C41" s="61" t="s">
        <v>10106</v>
      </c>
      <c r="D41" s="38" t="s">
        <v>10107</v>
      </c>
      <c r="E41" s="61"/>
    </row>
    <row r="42">
      <c r="A42" s="60"/>
      <c r="B42" s="70"/>
      <c r="C42" s="61"/>
      <c r="D42" s="61"/>
      <c r="E42" s="61"/>
    </row>
    <row r="43">
      <c r="A43" s="60"/>
      <c r="B43" s="70"/>
      <c r="C43" s="61"/>
      <c r="D43" s="61"/>
      <c r="E43" s="61"/>
    </row>
    <row r="44">
      <c r="A44" s="60"/>
      <c r="B44" s="70"/>
      <c r="C44" s="61"/>
      <c r="D44" s="61"/>
      <c r="E44" s="61"/>
    </row>
    <row r="45">
      <c r="A45" s="60"/>
      <c r="B45" s="70"/>
      <c r="C45" s="61"/>
      <c r="D45" s="61"/>
      <c r="E45" s="61"/>
    </row>
  </sheetData>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37.5"/>
    <col customWidth="1" min="3" max="3" width="132.5"/>
  </cols>
  <sheetData>
    <row r="1">
      <c r="A1" s="49"/>
      <c r="B1" s="49" t="s">
        <v>10108</v>
      </c>
      <c r="C1" s="71"/>
    </row>
    <row r="2" ht="21.0" customHeight="1">
      <c r="A2" s="72"/>
      <c r="B2" s="51" t="s">
        <v>10109</v>
      </c>
      <c r="C2" s="52" t="s">
        <v>9</v>
      </c>
    </row>
    <row r="3">
      <c r="B3" s="73"/>
      <c r="C3" s="74"/>
    </row>
    <row r="4" ht="15.75" customHeight="1">
      <c r="B4" s="56" t="s">
        <v>10110</v>
      </c>
      <c r="C4" s="57"/>
    </row>
    <row r="5">
      <c r="B5" s="75" t="s">
        <v>10111</v>
      </c>
      <c r="C5" s="75" t="s">
        <v>10112</v>
      </c>
    </row>
    <row r="6">
      <c r="B6" s="76" t="s">
        <v>10113</v>
      </c>
      <c r="C6" s="77" t="s">
        <v>10114</v>
      </c>
    </row>
    <row r="7">
      <c r="B7" s="76" t="s">
        <v>10115</v>
      </c>
      <c r="C7" s="77" t="s">
        <v>10116</v>
      </c>
    </row>
    <row r="8">
      <c r="B8" s="76" t="s">
        <v>10117</v>
      </c>
      <c r="C8" s="77" t="s">
        <v>10118</v>
      </c>
    </row>
    <row r="9">
      <c r="B9" s="76" t="s">
        <v>10119</v>
      </c>
      <c r="C9" s="61" t="s">
        <v>10120</v>
      </c>
    </row>
    <row r="10">
      <c r="B10" s="76" t="s">
        <v>10121</v>
      </c>
      <c r="C10" s="61" t="s">
        <v>10122</v>
      </c>
    </row>
    <row r="11">
      <c r="B11" s="76" t="s">
        <v>10123</v>
      </c>
      <c r="C11" s="61" t="s">
        <v>10124</v>
      </c>
    </row>
    <row r="12">
      <c r="B12" s="76"/>
      <c r="C12" s="61"/>
    </row>
    <row r="13">
      <c r="B13" s="56" t="s">
        <v>10125</v>
      </c>
      <c r="C13" s="57"/>
    </row>
    <row r="14">
      <c r="B14" s="76" t="s">
        <v>10126</v>
      </c>
      <c r="C14" s="61" t="s">
        <v>10127</v>
      </c>
    </row>
    <row r="15">
      <c r="B15" s="76" t="s">
        <v>10128</v>
      </c>
      <c r="C15" s="61" t="s">
        <v>10129</v>
      </c>
    </row>
    <row r="16">
      <c r="B16" s="76" t="s">
        <v>10130</v>
      </c>
      <c r="C16" s="61" t="s">
        <v>10131</v>
      </c>
    </row>
    <row r="17">
      <c r="B17" s="76" t="s">
        <v>10132</v>
      </c>
      <c r="C17" s="61" t="s">
        <v>10133</v>
      </c>
    </row>
    <row r="18">
      <c r="B18" s="76" t="s">
        <v>10134</v>
      </c>
      <c r="C18" s="61" t="s">
        <v>10135</v>
      </c>
    </row>
    <row r="19">
      <c r="B19" s="76" t="s">
        <v>10136</v>
      </c>
      <c r="C19" s="61" t="s">
        <v>10137</v>
      </c>
    </row>
    <row r="20">
      <c r="B20" s="76"/>
      <c r="C20" s="55"/>
    </row>
    <row r="21">
      <c r="B21" s="56" t="s">
        <v>10017</v>
      </c>
      <c r="C21" s="57"/>
    </row>
    <row r="22">
      <c r="B22" s="78" t="s">
        <v>10138</v>
      </c>
      <c r="C22" s="79"/>
    </row>
    <row r="23">
      <c r="B23" s="75" t="s">
        <v>10132</v>
      </c>
      <c r="C23" s="38" t="s">
        <v>10133</v>
      </c>
    </row>
    <row r="24">
      <c r="B24" s="75" t="s">
        <v>10139</v>
      </c>
      <c r="C24" s="38" t="s">
        <v>10140</v>
      </c>
    </row>
    <row r="25">
      <c r="B25" s="80" t="s">
        <v>10141</v>
      </c>
    </row>
    <row r="26">
      <c r="B26" s="78" t="s">
        <v>10142</v>
      </c>
      <c r="C26" s="79"/>
    </row>
    <row r="27">
      <c r="B27" s="75" t="s">
        <v>10134</v>
      </c>
      <c r="C27" s="38" t="s">
        <v>10135</v>
      </c>
    </row>
    <row r="28">
      <c r="B28" s="81" t="s">
        <v>10143</v>
      </c>
      <c r="C28" s="38" t="s">
        <v>10129</v>
      </c>
    </row>
    <row r="29">
      <c r="B29" s="82" t="s">
        <v>10144</v>
      </c>
      <c r="C29" s="83"/>
    </row>
    <row r="30">
      <c r="A30" s="84"/>
      <c r="B30" s="85" t="s">
        <v>10145</v>
      </c>
      <c r="C30" s="86" t="s">
        <v>10146</v>
      </c>
    </row>
    <row r="31">
      <c r="B31" s="85" t="s">
        <v>10136</v>
      </c>
      <c r="C31" s="86" t="s">
        <v>10137</v>
      </c>
    </row>
    <row r="32">
      <c r="B32" s="87" t="s">
        <v>10</v>
      </c>
      <c r="C32" s="79"/>
    </row>
    <row r="33" ht="15.75" customHeight="1">
      <c r="B33" s="76" t="s">
        <v>10147</v>
      </c>
      <c r="C33" s="88" t="s">
        <v>10148</v>
      </c>
    </row>
    <row r="34" ht="15.75" customHeight="1">
      <c r="B34" s="38" t="s">
        <v>10149</v>
      </c>
      <c r="C34" s="88" t="s">
        <v>10150</v>
      </c>
    </row>
    <row r="35" ht="15.75" customHeight="1">
      <c r="B35" s="38" t="s">
        <v>10151</v>
      </c>
      <c r="C35" s="88" t="s">
        <v>10152</v>
      </c>
    </row>
    <row r="36" ht="15.75" customHeight="1">
      <c r="B36" s="76" t="s">
        <v>10153</v>
      </c>
      <c r="C36" s="89" t="s">
        <v>10154</v>
      </c>
    </row>
    <row r="37" ht="15.75" customHeight="1">
      <c r="B37" s="76" t="s">
        <v>10155</v>
      </c>
      <c r="C37" s="90" t="s">
        <v>10156</v>
      </c>
    </row>
    <row r="38">
      <c r="B38" s="87" t="s">
        <v>10157</v>
      </c>
    </row>
    <row r="39">
      <c r="B39" s="38" t="s">
        <v>10158</v>
      </c>
      <c r="C39" s="38" t="s">
        <v>10159</v>
      </c>
    </row>
    <row r="40">
      <c r="B40" s="80" t="s">
        <v>10160</v>
      </c>
    </row>
    <row r="41">
      <c r="B41" s="38" t="s">
        <v>10161</v>
      </c>
      <c r="C41" s="38" t="s">
        <v>10162</v>
      </c>
    </row>
    <row r="42">
      <c r="B42" s="38" t="s">
        <v>10163</v>
      </c>
      <c r="C42" s="38" t="s">
        <v>10164</v>
      </c>
    </row>
    <row r="43">
      <c r="B43" s="38" t="s">
        <v>10165</v>
      </c>
      <c r="C43" s="38" t="s">
        <v>10166</v>
      </c>
    </row>
    <row r="44">
      <c r="B44" s="80" t="s">
        <v>10167</v>
      </c>
    </row>
    <row r="45">
      <c r="B45" s="38" t="s">
        <v>10168</v>
      </c>
      <c r="C45" s="38" t="s">
        <v>10169</v>
      </c>
    </row>
    <row r="46">
      <c r="B46" s="80" t="s">
        <v>10170</v>
      </c>
    </row>
    <row r="47">
      <c r="B47" s="38" t="s">
        <v>10171</v>
      </c>
      <c r="C47" s="38" t="s">
        <v>10172</v>
      </c>
    </row>
    <row r="48">
      <c r="B48" s="38" t="s">
        <v>10173</v>
      </c>
      <c r="C48" s="38" t="s">
        <v>10174</v>
      </c>
    </row>
    <row r="49">
      <c r="B49" s="38" t="s">
        <v>10175</v>
      </c>
      <c r="C49" s="38" t="s">
        <v>10176</v>
      </c>
    </row>
    <row r="50">
      <c r="B50" s="80" t="s">
        <v>10177</v>
      </c>
    </row>
    <row r="51">
      <c r="B51" s="38" t="s">
        <v>10178</v>
      </c>
      <c r="C51" s="38" t="s">
        <v>10179</v>
      </c>
    </row>
    <row r="52">
      <c r="B52" s="80" t="s">
        <v>10180</v>
      </c>
    </row>
    <row r="53">
      <c r="B53" s="38" t="s">
        <v>10181</v>
      </c>
      <c r="C53" s="38" t="s">
        <v>10182</v>
      </c>
    </row>
    <row r="54">
      <c r="B54" s="80" t="s">
        <v>10183</v>
      </c>
    </row>
    <row r="55">
      <c r="B55" s="91" t="s">
        <v>10184</v>
      </c>
      <c r="C55" s="92" t="s">
        <v>10185</v>
      </c>
    </row>
    <row r="56" ht="15.75" customHeight="1">
      <c r="B56" s="76" t="s">
        <v>10186</v>
      </c>
      <c r="C56" s="88" t="s">
        <v>10187</v>
      </c>
    </row>
    <row r="57">
      <c r="B57" s="76"/>
      <c r="C57" s="88"/>
    </row>
    <row r="58">
      <c r="B58" s="56" t="s">
        <v>10188</v>
      </c>
      <c r="C58" s="57"/>
    </row>
    <row r="59" ht="15.75" customHeight="1">
      <c r="B59" s="76" t="s">
        <v>10189</v>
      </c>
      <c r="C59" s="88" t="s">
        <v>10190</v>
      </c>
    </row>
    <row r="60" ht="15.75" customHeight="1">
      <c r="B60" s="76" t="s">
        <v>10191</v>
      </c>
      <c r="C60" s="88" t="s">
        <v>10192</v>
      </c>
    </row>
    <row r="61" ht="15.75" customHeight="1">
      <c r="B61" s="76" t="s">
        <v>10193</v>
      </c>
      <c r="C61" s="88" t="s">
        <v>10194</v>
      </c>
    </row>
    <row r="62" ht="15.75" customHeight="1">
      <c r="B62" s="76" t="s">
        <v>10195</v>
      </c>
      <c r="C62" s="88" t="s">
        <v>10196</v>
      </c>
    </row>
    <row r="64">
      <c r="B64" s="56" t="s">
        <v>10197</v>
      </c>
      <c r="C64" s="57"/>
    </row>
    <row r="65">
      <c r="B65" s="38" t="s">
        <v>10198</v>
      </c>
      <c r="C65" s="38" t="s">
        <v>10199</v>
      </c>
    </row>
    <row r="66">
      <c r="B66" s="38" t="s">
        <v>10200</v>
      </c>
      <c r="C66" s="38" t="s">
        <v>10201</v>
      </c>
    </row>
    <row r="67">
      <c r="B67" s="38" t="s">
        <v>10202</v>
      </c>
      <c r="C67" s="38" t="s">
        <v>10203</v>
      </c>
    </row>
    <row r="68">
      <c r="B68" s="38" t="s">
        <v>10204</v>
      </c>
      <c r="C68" s="38" t="s">
        <v>10205</v>
      </c>
    </row>
    <row r="69">
      <c r="B69" s="38" t="s">
        <v>10206</v>
      </c>
      <c r="C69" s="38" t="s">
        <v>10207</v>
      </c>
    </row>
    <row r="70">
      <c r="B70" s="76"/>
      <c r="C70" s="88"/>
    </row>
    <row r="71">
      <c r="B71" s="56" t="s">
        <v>10208</v>
      </c>
      <c r="C71" s="57"/>
    </row>
    <row r="72">
      <c r="A72" s="84"/>
      <c r="B72" s="92" t="s">
        <v>10209</v>
      </c>
      <c r="C72" s="77" t="s">
        <v>10210</v>
      </c>
    </row>
    <row r="73">
      <c r="A73" s="84"/>
      <c r="B73" s="92" t="s">
        <v>10211</v>
      </c>
      <c r="C73" s="77" t="s">
        <v>10212</v>
      </c>
    </row>
    <row r="74">
      <c r="A74" s="84"/>
      <c r="B74" s="92"/>
      <c r="C74" s="77"/>
    </row>
    <row r="75">
      <c r="A75" s="84"/>
      <c r="B75" s="56" t="s">
        <v>10213</v>
      </c>
      <c r="C75" s="56"/>
    </row>
    <row r="76">
      <c r="A76" s="84"/>
      <c r="B76" s="38" t="s">
        <v>10214</v>
      </c>
      <c r="C76" s="38" t="s">
        <v>10215</v>
      </c>
    </row>
    <row r="77">
      <c r="A77" s="84"/>
      <c r="B77" s="92" t="s">
        <v>10216</v>
      </c>
      <c r="C77" s="77" t="s">
        <v>10217</v>
      </c>
    </row>
    <row r="78">
      <c r="A78" s="84"/>
      <c r="B78" s="92" t="s">
        <v>10218</v>
      </c>
      <c r="C78" s="77" t="s">
        <v>10219</v>
      </c>
    </row>
    <row r="79">
      <c r="A79" s="84"/>
      <c r="B79" s="38" t="s">
        <v>10220</v>
      </c>
      <c r="C79" s="38" t="s">
        <v>10221</v>
      </c>
    </row>
    <row r="80">
      <c r="A80" s="84"/>
      <c r="B80" s="92" t="s">
        <v>10222</v>
      </c>
      <c r="C80" s="77" t="s">
        <v>10223</v>
      </c>
    </row>
    <row r="81">
      <c r="A81" s="84"/>
      <c r="B81" s="38" t="s">
        <v>10224</v>
      </c>
      <c r="C81" s="38" t="s">
        <v>10225</v>
      </c>
    </row>
    <row r="82">
      <c r="A82" s="84"/>
      <c r="B82" s="92" t="s">
        <v>10226</v>
      </c>
      <c r="C82" s="77" t="s">
        <v>10227</v>
      </c>
    </row>
    <row r="83">
      <c r="A83" s="84"/>
      <c r="B83" s="38" t="s">
        <v>10228</v>
      </c>
      <c r="C83" s="38" t="s">
        <v>10229</v>
      </c>
    </row>
    <row r="84">
      <c r="A84" s="84"/>
      <c r="B84" s="92" t="s">
        <v>10230</v>
      </c>
      <c r="C84" s="77" t="s">
        <v>10231</v>
      </c>
    </row>
    <row r="85">
      <c r="A85" s="84"/>
      <c r="B85" s="92" t="s">
        <v>10232</v>
      </c>
      <c r="C85" s="77" t="s">
        <v>10233</v>
      </c>
    </row>
    <row r="86">
      <c r="A86" s="84"/>
      <c r="B86" s="92"/>
      <c r="C86" s="77"/>
    </row>
    <row r="87">
      <c r="B87" s="56" t="s">
        <v>10234</v>
      </c>
      <c r="C87" s="57"/>
    </row>
    <row r="88">
      <c r="B88" s="93" t="s">
        <v>10235</v>
      </c>
      <c r="C88" s="94" t="s">
        <v>10236</v>
      </c>
    </row>
    <row r="89">
      <c r="A89" s="84"/>
      <c r="B89" s="92" t="s">
        <v>10237</v>
      </c>
      <c r="C89" s="77" t="s">
        <v>10238</v>
      </c>
    </row>
    <row r="90">
      <c r="A90" s="84"/>
      <c r="B90" s="92" t="s">
        <v>10239</v>
      </c>
      <c r="C90" s="77" t="s">
        <v>10240</v>
      </c>
    </row>
    <row r="91">
      <c r="A91" s="84"/>
      <c r="B91" s="92"/>
      <c r="C91" s="77"/>
    </row>
    <row r="92">
      <c r="A92" s="84"/>
      <c r="B92" s="95" t="s">
        <v>10241</v>
      </c>
      <c r="C92" s="96"/>
    </row>
    <row r="93">
      <c r="A93" s="84"/>
      <c r="B93" s="92" t="s">
        <v>10242</v>
      </c>
      <c r="C93" s="77" t="s">
        <v>10243</v>
      </c>
    </row>
    <row r="94">
      <c r="A94" s="84"/>
      <c r="B94" s="92" t="s">
        <v>10244</v>
      </c>
      <c r="C94" s="77" t="s">
        <v>10245</v>
      </c>
    </row>
    <row r="95">
      <c r="A95" s="84"/>
      <c r="B95" s="92"/>
      <c r="C95" s="77"/>
    </row>
    <row r="96">
      <c r="B96" s="95" t="s">
        <v>10246</v>
      </c>
      <c r="C96" s="96"/>
    </row>
    <row r="97">
      <c r="B97" s="78" t="s">
        <v>10247</v>
      </c>
      <c r="C97" s="79"/>
    </row>
    <row r="98">
      <c r="B98" s="59" t="s">
        <v>10248</v>
      </c>
      <c r="C98" s="77" t="s">
        <v>10249</v>
      </c>
    </row>
    <row r="99" ht="15.75" customHeight="1">
      <c r="B99" s="97"/>
      <c r="C99" s="67" t="s">
        <v>10250</v>
      </c>
    </row>
    <row r="100">
      <c r="B100" s="78" t="s">
        <v>10251</v>
      </c>
      <c r="C100" s="79"/>
    </row>
    <row r="101">
      <c r="B101" s="98" t="s">
        <v>10252</v>
      </c>
      <c r="C101" s="99" t="s">
        <v>10253</v>
      </c>
    </row>
    <row r="102">
      <c r="B102" s="98" t="s">
        <v>10254</v>
      </c>
      <c r="C102" s="99" t="s">
        <v>10255</v>
      </c>
    </row>
    <row r="103">
      <c r="B103" s="98" t="s">
        <v>10256</v>
      </c>
      <c r="C103" s="99" t="s">
        <v>10257</v>
      </c>
    </row>
    <row r="104">
      <c r="B104" s="98" t="s">
        <v>10258</v>
      </c>
      <c r="C104" s="77" t="s">
        <v>10259</v>
      </c>
    </row>
    <row r="105">
      <c r="B105" s="78" t="s">
        <v>10260</v>
      </c>
      <c r="C105" s="79"/>
    </row>
    <row r="106">
      <c r="B106" s="100" t="s">
        <v>10261</v>
      </c>
      <c r="C106" s="77" t="s">
        <v>10262</v>
      </c>
    </row>
    <row r="107">
      <c r="B107" s="100" t="s">
        <v>10263</v>
      </c>
      <c r="C107" s="77" t="s">
        <v>10264</v>
      </c>
    </row>
    <row r="108">
      <c r="B108" s="87" t="s">
        <v>1508</v>
      </c>
      <c r="C108" s="79"/>
    </row>
    <row r="109">
      <c r="B109" s="59" t="s">
        <v>10265</v>
      </c>
      <c r="C109" s="92" t="s">
        <v>10266</v>
      </c>
    </row>
    <row r="110">
      <c r="B110" s="91" t="s">
        <v>10267</v>
      </c>
      <c r="C110" s="92" t="s">
        <v>10268</v>
      </c>
    </row>
    <row r="111">
      <c r="B111" s="91" t="s">
        <v>10269</v>
      </c>
      <c r="C111" s="101" t="s">
        <v>10270</v>
      </c>
    </row>
    <row r="112">
      <c r="B112" s="91" t="s">
        <v>10271</v>
      </c>
      <c r="C112" s="92" t="s">
        <v>10272</v>
      </c>
    </row>
    <row r="113">
      <c r="B113" s="87" t="s">
        <v>10273</v>
      </c>
      <c r="C113" s="79"/>
    </row>
    <row r="114">
      <c r="B114" s="91" t="s">
        <v>10274</v>
      </c>
      <c r="C114" s="92" t="s">
        <v>10275</v>
      </c>
    </row>
    <row r="115">
      <c r="B115" s="78" t="s">
        <v>10276</v>
      </c>
      <c r="C115" s="79"/>
    </row>
    <row r="116">
      <c r="B116" s="91" t="s">
        <v>10277</v>
      </c>
      <c r="C116" s="92" t="s">
        <v>10278</v>
      </c>
    </row>
    <row r="117">
      <c r="B117" s="87" t="s">
        <v>10279</v>
      </c>
      <c r="C117" s="102"/>
    </row>
    <row r="118">
      <c r="B118" s="38" t="s">
        <v>10280</v>
      </c>
      <c r="C118" s="38" t="s">
        <v>10281</v>
      </c>
    </row>
    <row r="119">
      <c r="B119" s="38" t="s">
        <v>10282</v>
      </c>
      <c r="C119" s="38" t="s">
        <v>10283</v>
      </c>
    </row>
    <row r="120">
      <c r="B120" s="87" t="s">
        <v>10284</v>
      </c>
      <c r="C120" s="102"/>
    </row>
    <row r="121">
      <c r="B121" s="38" t="s">
        <v>10285</v>
      </c>
      <c r="C121" s="38" t="s">
        <v>10286</v>
      </c>
    </row>
    <row r="122">
      <c r="B122" s="38" t="s">
        <v>10287</v>
      </c>
      <c r="C122" s="38" t="s">
        <v>10288</v>
      </c>
    </row>
    <row r="123">
      <c r="B123" s="87" t="s">
        <v>10289</v>
      </c>
      <c r="C123" s="102"/>
    </row>
    <row r="124">
      <c r="B124" s="38" t="s">
        <v>10290</v>
      </c>
      <c r="C124" s="103" t="s">
        <v>10291</v>
      </c>
    </row>
    <row r="125" ht="15.75" customHeight="1">
      <c r="B125" s="80" t="s">
        <v>10292</v>
      </c>
    </row>
    <row r="126">
      <c r="B126" s="38" t="s">
        <v>10293</v>
      </c>
      <c r="C126" s="38" t="s">
        <v>10294</v>
      </c>
    </row>
    <row r="127" ht="15.75" customHeight="1">
      <c r="B127" s="80" t="s">
        <v>10295</v>
      </c>
      <c r="C127" s="38"/>
    </row>
    <row r="128">
      <c r="B128" s="38" t="s">
        <v>10296</v>
      </c>
      <c r="C128" s="38" t="s">
        <v>10297</v>
      </c>
    </row>
    <row r="129">
      <c r="B129" s="80" t="s">
        <v>10298</v>
      </c>
    </row>
    <row r="131">
      <c r="A131" s="104"/>
      <c r="B131" s="95" t="s">
        <v>10299</v>
      </c>
      <c r="C131" s="105"/>
    </row>
    <row r="132">
      <c r="B132" s="38" t="s">
        <v>10300</v>
      </c>
      <c r="C132" s="38" t="s">
        <v>10301</v>
      </c>
    </row>
    <row r="133">
      <c r="B133" s="80" t="s">
        <v>10302</v>
      </c>
    </row>
    <row r="134">
      <c r="B134" s="38" t="s">
        <v>10303</v>
      </c>
      <c r="C134" s="38" t="s">
        <v>10304</v>
      </c>
    </row>
    <row r="135">
      <c r="B135" s="80" t="s">
        <v>10305</v>
      </c>
    </row>
    <row r="136">
      <c r="B136" s="38" t="s">
        <v>10306</v>
      </c>
      <c r="C136" s="38" t="s">
        <v>10307</v>
      </c>
    </row>
    <row r="137">
      <c r="B137" s="80" t="s">
        <v>10308</v>
      </c>
    </row>
    <row r="139">
      <c r="B139" s="95" t="s">
        <v>10309</v>
      </c>
      <c r="C139" s="96"/>
    </row>
    <row r="140">
      <c r="B140" s="38" t="s">
        <v>10310</v>
      </c>
      <c r="C140" s="38" t="s">
        <v>10311</v>
      </c>
    </row>
    <row r="141">
      <c r="B141" s="38" t="s">
        <v>10312</v>
      </c>
      <c r="C141" s="38" t="s">
        <v>10313</v>
      </c>
    </row>
    <row r="142">
      <c r="B142" s="38" t="s">
        <v>10314</v>
      </c>
      <c r="C142" s="38" t="s">
        <v>10315</v>
      </c>
    </row>
    <row r="143">
      <c r="B143" s="38" t="s">
        <v>10316</v>
      </c>
      <c r="C143" s="38" t="s">
        <v>10317</v>
      </c>
    </row>
    <row r="144">
      <c r="B144" s="38" t="s">
        <v>10318</v>
      </c>
      <c r="C144" s="38" t="s">
        <v>10319</v>
      </c>
    </row>
    <row r="146">
      <c r="A146" s="104"/>
      <c r="B146" s="95" t="s">
        <v>10320</v>
      </c>
      <c r="C146" s="105"/>
    </row>
    <row r="147">
      <c r="B147" s="87" t="s">
        <v>10321</v>
      </c>
      <c r="C147" s="79"/>
    </row>
    <row r="148">
      <c r="B148" s="38" t="s">
        <v>10322</v>
      </c>
      <c r="C148" s="38" t="s">
        <v>10323</v>
      </c>
    </row>
    <row r="149">
      <c r="B149" s="38" t="s">
        <v>10324</v>
      </c>
      <c r="C149" s="38" t="s">
        <v>10325</v>
      </c>
    </row>
    <row r="150">
      <c r="B150" s="38" t="s">
        <v>10326</v>
      </c>
      <c r="C150" s="38" t="s">
        <v>10327</v>
      </c>
    </row>
    <row r="151">
      <c r="B151" s="38" t="s">
        <v>10328</v>
      </c>
      <c r="C151" s="38" t="s">
        <v>10329</v>
      </c>
    </row>
    <row r="152">
      <c r="B152" s="80" t="s">
        <v>10330</v>
      </c>
    </row>
    <row r="153">
      <c r="B153" s="38" t="s">
        <v>10331</v>
      </c>
      <c r="C153" s="38" t="s">
        <v>10332</v>
      </c>
    </row>
    <row r="154">
      <c r="B154" s="80" t="s">
        <v>10330</v>
      </c>
    </row>
    <row r="155">
      <c r="B155" s="87" t="s">
        <v>10333</v>
      </c>
      <c r="C155" s="79"/>
    </row>
    <row r="156">
      <c r="B156" s="38" t="s">
        <v>10334</v>
      </c>
      <c r="C156" s="38" t="s">
        <v>10335</v>
      </c>
    </row>
    <row r="157">
      <c r="B157" s="38" t="s">
        <v>10336</v>
      </c>
      <c r="C157" s="38" t="s">
        <v>10337</v>
      </c>
    </row>
    <row r="158">
      <c r="B158" s="87" t="s">
        <v>10338</v>
      </c>
      <c r="C158" s="79"/>
    </row>
    <row r="159">
      <c r="B159" s="38" t="s">
        <v>10339</v>
      </c>
      <c r="C159" s="38" t="s">
        <v>10340</v>
      </c>
    </row>
    <row r="160">
      <c r="B160" s="38" t="s">
        <v>10341</v>
      </c>
      <c r="C160" s="38" t="s">
        <v>10342</v>
      </c>
    </row>
    <row r="161">
      <c r="B161" s="38" t="s">
        <v>10343</v>
      </c>
      <c r="C161" s="38" t="s">
        <v>10344</v>
      </c>
    </row>
    <row r="162">
      <c r="B162" s="87" t="s">
        <v>10345</v>
      </c>
      <c r="C162" s="79"/>
    </row>
    <row r="163">
      <c r="B163" s="38" t="s">
        <v>10346</v>
      </c>
      <c r="C163" s="38" t="s">
        <v>10347</v>
      </c>
    </row>
    <row r="164">
      <c r="B164" s="38" t="s">
        <v>10348</v>
      </c>
      <c r="C164" s="38" t="s">
        <v>10349</v>
      </c>
    </row>
    <row r="165">
      <c r="B165" s="38" t="s">
        <v>10350</v>
      </c>
      <c r="C165" s="38" t="s">
        <v>10351</v>
      </c>
    </row>
    <row r="166">
      <c r="B166" s="38" t="s">
        <v>10352</v>
      </c>
      <c r="C166" s="38" t="s">
        <v>10353</v>
      </c>
    </row>
    <row r="167">
      <c r="A167" s="104"/>
      <c r="B167" s="106" t="s">
        <v>10354</v>
      </c>
      <c r="C167" s="104"/>
    </row>
    <row r="169">
      <c r="A169" s="104"/>
      <c r="B169" s="95" t="s">
        <v>10355</v>
      </c>
      <c r="C169" s="105"/>
    </row>
    <row r="170">
      <c r="B170" s="38" t="s">
        <v>10356</v>
      </c>
      <c r="C170" s="38" t="s">
        <v>10357</v>
      </c>
    </row>
    <row r="171">
      <c r="B171" s="38" t="s">
        <v>10358</v>
      </c>
      <c r="C171" s="38" t="s">
        <v>10359</v>
      </c>
    </row>
    <row r="172">
      <c r="B172" s="38" t="s">
        <v>10360</v>
      </c>
      <c r="C172" s="38" t="s">
        <v>10361</v>
      </c>
    </row>
    <row r="173">
      <c r="B173" s="38" t="s">
        <v>10362</v>
      </c>
      <c r="C173" s="38" t="s">
        <v>10363</v>
      </c>
    </row>
    <row r="174">
      <c r="B174" s="38" t="s">
        <v>10364</v>
      </c>
      <c r="C174" s="38" t="s">
        <v>10365</v>
      </c>
    </row>
    <row r="175">
      <c r="B175" s="38" t="s">
        <v>10366</v>
      </c>
      <c r="C175" s="38" t="s">
        <v>10367</v>
      </c>
    </row>
    <row r="176">
      <c r="B176" s="38" t="s">
        <v>10368</v>
      </c>
      <c r="C176" s="38" t="s">
        <v>10369</v>
      </c>
    </row>
    <row r="177">
      <c r="B177" s="38" t="s">
        <v>10370</v>
      </c>
      <c r="C177" s="38" t="s">
        <v>10371</v>
      </c>
    </row>
    <row r="178">
      <c r="B178" s="38" t="s">
        <v>10372</v>
      </c>
      <c r="C178" s="38" t="s">
        <v>10373</v>
      </c>
    </row>
    <row r="179">
      <c r="B179" s="38" t="s">
        <v>10374</v>
      </c>
      <c r="C179" s="38" t="s">
        <v>10375</v>
      </c>
    </row>
    <row r="180">
      <c r="B180" s="38" t="s">
        <v>10376</v>
      </c>
      <c r="C180" s="38" t="s">
        <v>10377</v>
      </c>
    </row>
    <row r="181">
      <c r="B181" s="38" t="s">
        <v>10378</v>
      </c>
      <c r="C181" s="38" t="s">
        <v>10379</v>
      </c>
    </row>
    <row r="182">
      <c r="B182" s="87" t="s">
        <v>10380</v>
      </c>
      <c r="C182" s="79"/>
    </row>
    <row r="183">
      <c r="B183" s="38" t="s">
        <v>10381</v>
      </c>
      <c r="C183" s="38" t="s">
        <v>10382</v>
      </c>
    </row>
    <row r="184">
      <c r="B184" s="38" t="s">
        <v>10383</v>
      </c>
      <c r="C184" s="38" t="s">
        <v>10384</v>
      </c>
    </row>
    <row r="185">
      <c r="B185" s="38" t="s">
        <v>10385</v>
      </c>
      <c r="C185" s="38" t="s">
        <v>10386</v>
      </c>
    </row>
    <row r="186">
      <c r="B186" s="38" t="s">
        <v>10387</v>
      </c>
      <c r="C186" s="38" t="s">
        <v>10388</v>
      </c>
    </row>
    <row r="187">
      <c r="B187" s="38" t="s">
        <v>10389</v>
      </c>
      <c r="C187" s="38" t="s">
        <v>10390</v>
      </c>
    </row>
    <row r="188">
      <c r="B188" s="38" t="s">
        <v>10391</v>
      </c>
      <c r="C188" s="38" t="s">
        <v>10392</v>
      </c>
    </row>
  </sheetData>
  <mergeCells count="1">
    <mergeCell ref="B1:C1"/>
  </mergeCell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2.75"/>
    <col customWidth="1" min="2" max="2" width="36.5"/>
    <col customWidth="1" min="3" max="3" width="14.13"/>
    <col customWidth="1" min="4" max="4" width="79.88"/>
  </cols>
  <sheetData>
    <row r="1" ht="30.75" customHeight="1">
      <c r="A1" s="107"/>
      <c r="B1" s="108" t="s">
        <v>10393</v>
      </c>
      <c r="C1" s="109"/>
      <c r="D1" s="109"/>
    </row>
    <row r="2" ht="26.25" customHeight="1">
      <c r="A2" s="110"/>
      <c r="B2" s="111" t="s">
        <v>10394</v>
      </c>
      <c r="C2" s="112"/>
      <c r="D2" s="112"/>
    </row>
    <row r="3">
      <c r="A3" s="49"/>
      <c r="B3" s="49" t="s">
        <v>10395</v>
      </c>
      <c r="C3" s="113"/>
      <c r="D3" s="49"/>
    </row>
    <row r="4" ht="21.0" customHeight="1">
      <c r="A4" s="114"/>
      <c r="B4" s="115" t="s">
        <v>10396</v>
      </c>
      <c r="C4" s="116" t="s">
        <v>10397</v>
      </c>
      <c r="D4" s="117" t="s">
        <v>9</v>
      </c>
    </row>
    <row r="5">
      <c r="B5" s="76"/>
      <c r="C5" s="55"/>
      <c r="D5" s="55"/>
    </row>
    <row r="6">
      <c r="B6" s="56" t="s">
        <v>10398</v>
      </c>
      <c r="C6" s="57"/>
      <c r="D6" s="57"/>
    </row>
    <row r="7">
      <c r="B7" s="118" t="s">
        <v>10399</v>
      </c>
      <c r="C7" s="119">
        <v>30.0</v>
      </c>
      <c r="D7" s="120" t="str">
        <f>"ProfType = gamedataProficiencyType.Level; DS = PlayerDevelopmentSystem.GetInstance(Game.GetPlayer()):GetDevelopmentData(Game.GetPlayer()); DS:SetLevel(ProfType, "&amp;C7&amp;", telemetryLevelGainReason.Gameplay)"</f>
        <v>ProfType = gamedataProficiencyType.Level; DS = PlayerDevelopmentSystem.GetInstance(Game.GetPlayer()):GetDevelopmentData(Game.GetPlayer()); DS:SetLevel(ProfType, 30, telemetryLevelGainReason.Gameplay)</v>
      </c>
    </row>
    <row r="8">
      <c r="B8" s="73"/>
      <c r="C8" s="121"/>
      <c r="D8" s="74"/>
    </row>
    <row r="9">
      <c r="B9" s="56" t="s">
        <v>10400</v>
      </c>
      <c r="C9" s="57"/>
      <c r="D9" s="57"/>
    </row>
    <row r="10">
      <c r="B10" s="118" t="s">
        <v>10401</v>
      </c>
      <c r="C10" s="119">
        <v>20.0</v>
      </c>
      <c r="D10" s="120" t="str">
        <f>"ProfType = gamedataProficiencyType.StreetCred; DS = PlayerDevelopmentSystem.GetInstance(Game.GetPlayer()):GetDevelopmentData(Game.GetPlayer()); DS:SetLevel(ProfType, "&amp;C10&amp;", telemetryLevelGainReason.Gameplay)"</f>
        <v>ProfType = gamedataProficiencyType.StreetCred; DS = PlayerDevelopmentSystem.GetInstance(Game.GetPlayer()):GetDevelopmentData(Game.GetPlayer()); DS:SetLevel(ProfType, 20, telemetryLevelGainReason.Gameplay)</v>
      </c>
    </row>
    <row r="11">
      <c r="B11" s="73"/>
      <c r="C11" s="74"/>
      <c r="D11" s="74"/>
    </row>
    <row r="12">
      <c r="B12" s="56" t="s">
        <v>10138</v>
      </c>
      <c r="C12" s="57"/>
      <c r="D12" s="57"/>
    </row>
    <row r="13">
      <c r="B13" s="118" t="s">
        <v>10402</v>
      </c>
      <c r="C13" s="119">
        <v>10.0</v>
      </c>
      <c r="D13" s="122" t="str">
        <f>"PlayerDevelopmentSystem.GetInstance(Game.GetPlayer()):GetDevelopmentData(Game.GetPlayer()):AddDevelopmentPoints("&amp;C13&amp;", gamedataDevelopmentPointType.Attribute)"</f>
        <v>PlayerDevelopmentSystem.GetInstance(Game.GetPlayer()):GetDevelopmentData(Game.GetPlayer()):AddDevelopmentPoints(10, gamedataDevelopmentPointType.Attribute)</v>
      </c>
    </row>
    <row r="14">
      <c r="B14" s="123"/>
      <c r="C14" s="121"/>
      <c r="D14" s="124"/>
    </row>
    <row r="15">
      <c r="B15" s="56" t="s">
        <v>10142</v>
      </c>
      <c r="C15" s="57"/>
      <c r="D15" s="57"/>
    </row>
    <row r="16">
      <c r="B16" s="118" t="s">
        <v>10403</v>
      </c>
      <c r="C16" s="119">
        <v>10.0</v>
      </c>
      <c r="D16" s="122" t="str">
        <f>"PlayerDevelopmentSystem.GetInstance(Game.GetPlayer()):GetDevelopmentData(Game.GetPlayer()):AddDevelopmentPoints("&amp;C16&amp;", gamedataDevelopmentPointType.Primary)"</f>
        <v>PlayerDevelopmentSystem.GetInstance(Game.GetPlayer()):GetDevelopmentData(Game.GetPlayer()):AddDevelopmentPoints(10, gamedataDevelopmentPointType.Primary)</v>
      </c>
    </row>
    <row r="18">
      <c r="B18" s="125" t="s">
        <v>10144</v>
      </c>
      <c r="C18" s="126"/>
      <c r="D18" s="127"/>
    </row>
    <row r="19">
      <c r="B19" s="128" t="s">
        <v>10404</v>
      </c>
      <c r="C19" s="129">
        <v>10.0</v>
      </c>
      <c r="D19" s="130" t="str">
        <f>"PlayerDevelopmentSystem.GetInstance(Game.GetPlayer()):GetDevelopmentData(Game.GetPlayer()):AddDevelopmentPoints("&amp;C19&amp;", gamedataDevelopmentPointType.Espionage)"</f>
        <v>PlayerDevelopmentSystem.GetInstance(Game.GetPlayer()):GetDevelopmentData(Game.GetPlayer()):AddDevelopmentPoints(10, gamedataDevelopmentPointType.Espionage)</v>
      </c>
    </row>
    <row r="20">
      <c r="B20" s="131"/>
      <c r="C20" s="132"/>
      <c r="D20" s="64"/>
    </row>
    <row r="21">
      <c r="B21" s="56" t="s">
        <v>10405</v>
      </c>
      <c r="C21" s="133"/>
      <c r="D21" s="57"/>
    </row>
    <row r="22">
      <c r="B22" s="118" t="s">
        <v>10406</v>
      </c>
      <c r="C22" s="134" t="s">
        <v>10407</v>
      </c>
      <c r="D22" s="135"/>
    </row>
    <row r="23">
      <c r="B23" s="38" t="str">
        <f>"Set Skill Headhunter to level "&amp;C22</f>
        <v>Set Skill Headhunter to level 30</v>
      </c>
      <c r="C23" s="38"/>
      <c r="D23" s="38" t="str">
        <f>"ProfType = gamedataProficiencyType.CoolSkill; DS = PlayerDevelopmentSystem.GetInstance(Game.GetPlayer()):GetDevelopmentData(Game.GetPlayer()); DS:SetLevel(ProfType, "&amp;C22&amp;", telemetryLevelGainReason.Gameplay)"</f>
        <v>ProfType = gamedataProficiencyType.CoolSkill; DS = PlayerDevelopmentSystem.GetInstance(Game.GetPlayer()):GetDevelopmentData(Game.GetPlayer()); DS:SetLevel(ProfType, 30, telemetryLevelGainReason.Gameplay)</v>
      </c>
    </row>
    <row r="24">
      <c r="B24" s="38" t="str">
        <f>"Set Skill Netrunner to level "&amp;C22</f>
        <v>Set Skill Netrunner to level 30</v>
      </c>
      <c r="C24" s="38"/>
      <c r="D24" s="38" t="str">
        <f>"ProfType = gamedataProficiencyType.IntelligenceSkill; DS = PlayerDevelopmentSystem.GetInstance(Game.GetPlayer()):GetDevelopmentData(Game.GetPlayer()); DS:SetLevel(ProfType, "&amp;C22&amp;", telemetryLevelGainReason.Gameplay)"</f>
        <v>ProfType = gamedataProficiencyType.IntelligenceSkill; DS = PlayerDevelopmentSystem.GetInstance(Game.GetPlayer()):GetDevelopmentData(Game.GetPlayer()); DS:SetLevel(ProfType, 30, telemetryLevelGainReason.Gameplay)</v>
      </c>
    </row>
    <row r="25">
      <c r="B25" s="38" t="str">
        <f>"Set Skill Shinobi to level "&amp;C22</f>
        <v>Set Skill Shinobi to level 30</v>
      </c>
      <c r="C25" s="38"/>
      <c r="D25" s="38" t="str">
        <f>"ProfType = gamedataProficiencyType.ReflexesSkill; DS = PlayerDevelopmentSystem.GetInstance(Game.GetPlayer()):GetDevelopmentData(Game.GetPlayer()); DS:SetLevel(ProfType, "&amp;C22&amp;", telemetryLevelGainReason.Gameplay)"</f>
        <v>ProfType = gamedataProficiencyType.ReflexesSkill; DS = PlayerDevelopmentSystem.GetInstance(Game.GetPlayer()):GetDevelopmentData(Game.GetPlayer()); DS:SetLevel(ProfType, 30, telemetryLevelGainReason.Gameplay)</v>
      </c>
    </row>
    <row r="26">
      <c r="B26" s="38" t="str">
        <f>"Set Skill Solo to level "&amp;C22</f>
        <v>Set Skill Solo to level 30</v>
      </c>
      <c r="C26" s="136"/>
      <c r="D26" s="136" t="str">
        <f>"ProfType = gamedataProficiencyType.StrengthSkill; DS = PlayerDevelopmentSystem.GetInstance(Game.GetPlayer()):GetDevelopmentData(Game.GetPlayer()); DS:SetLevel(ProfType, "&amp;C22&amp;", telemetryLevelGainReason.Gameplay)"</f>
        <v>ProfType = gamedataProficiencyType.StrengthSkill; DS = PlayerDevelopmentSystem.GetInstance(Game.GetPlayer()):GetDevelopmentData(Game.GetPlayer()); DS:SetLevel(ProfType, 30, telemetryLevelGainReason.Gameplay)</v>
      </c>
    </row>
    <row r="27">
      <c r="B27" s="38" t="str">
        <f>"Set Skill Engineer to level "&amp;C22</f>
        <v>Set Skill Engineer to level 30</v>
      </c>
      <c r="C27" s="38"/>
      <c r="D27" s="38" t="str">
        <f>"ProfType = gamedataProficiencyType.TechnicalAbilitySkill; DS = PlayerDevelopmentSystem.GetInstance(Game.GetPlayer()):GetDevelopmentData(Game.GetPlayer()); DS:SetLevel(ProfType, "&amp;C22&amp;", telemetryLevelGainReason.Gameplay)"</f>
        <v>ProfType = gamedataProficiencyType.TechnicalAbilitySkill; DS = PlayerDevelopmentSystem.GetInstance(Game.GetPlayer()):GetDevelopmentData(Game.GetPlayer()); DS:SetLevel(ProfType, 30, telemetryLevelGainReason.Gameplay)</v>
      </c>
    </row>
    <row r="28">
      <c r="B28" s="93"/>
      <c r="C28" s="94"/>
      <c r="D28" s="94"/>
    </row>
    <row r="29">
      <c r="B29" s="56" t="s">
        <v>10047</v>
      </c>
      <c r="C29" s="133"/>
      <c r="D29" s="57"/>
    </row>
    <row r="30">
      <c r="B30" s="118" t="s">
        <v>10408</v>
      </c>
      <c r="C30" s="137" t="s">
        <v>10409</v>
      </c>
      <c r="D30" s="138" t="str">
        <f>"StatType = 'Humanity'; PID = Game.GetPlayer():GetEntityID(); SS = Game.GetStatsSystem(); StatValue = "&amp;C30&amp;"; currValue = SS:GetStatValue(PID, StatType) print(' -  Current  [  '..StatType.. '  ]  value: '..string.format('%f', currValue)) if currValue == StatValue then print(' -  '..StatType..' is already '..StatValue..', no need to edit. \n ') else statMOD = Ga"&amp;"me['gameRPGManager::CreateStatModifier;gamedataStatTypegameStatModifierTypeFloat'](StatType, 'Additive', StatValue); SS:RemoveAllModifiers(PID, StatType, true) SS:AddSavedModifier(PID, statMOD) print(' -  [ '..StatType..' ]  SETTED TO :  '..string.format("&amp;"'%f', StatValue)..' \n ') end"</f>
        <v>StatType = 'Humanity'; PID = Game.GetPlayer():GetEntityID(); SS = Game.GetStatsSystem(); StatValue = 256; currValue = SS:GetStatValue(PID, StatType) print(' -  Current  [  '..StatType.. '  ]  value: '..string.format('%f', currValue)) if currValue == StatValue then print(' -  '..StatType..' is already '..StatValue..', no need to edit. \n ') else statMOD = Game['gameRPGManager::CreateStatModifier;gamedataStatTypegameStatModifierTypeFloat'](StatType, 'Additive', StatValue); SS:RemoveAllModifiers(PID, StatType, true) SS:AddSavedModifier(PID, statMOD) print(' -  [ '..StatType..' ]  SETTED TO :  '..string.format('%f', StatValue)..' \n ') end</v>
      </c>
    </row>
    <row r="31">
      <c r="A31" s="139"/>
      <c r="B31" s="80" t="s">
        <v>10410</v>
      </c>
      <c r="C31" s="140"/>
      <c r="D31" s="140"/>
    </row>
    <row r="32">
      <c r="B32" s="141" t="s">
        <v>10411</v>
      </c>
      <c r="C32" s="142">
        <v>50.0</v>
      </c>
      <c r="D32" s="138" t="str">
        <f>"Game.GetStatsSystem():AddModifier(Game.GetPlayer():GetEntityID(), RPGManager.CreateStatModifier(gamedataStatType.Humanity, gameStatModifierType.Additive, -"&amp;C32&amp;"))"</f>
        <v>Game.GetStatsSystem():AddModifier(Game.GetPlayer():GetEntityID(), RPGManager.CreateStatModifier(gamedataStatType.Humanity, gameStatModifierType.Additive, -50))</v>
      </c>
    </row>
    <row r="33">
      <c r="B33" s="141" t="s">
        <v>10412</v>
      </c>
      <c r="C33" s="142">
        <v>50.0</v>
      </c>
      <c r="D33" s="138" t="str">
        <f>"Game.GetStatsSystem():AddModifier(Game.GetPlayer():GetEntityID(), RPGManager.CreateStatModifier(gamedataStatType.Humanity, gameStatModifierType.Additive, "&amp;C33&amp;"))"</f>
        <v>Game.GetStatsSystem():AddModifier(Game.GetPlayer():GetEntityID(), RPGManager.CreateStatModifier(gamedataStatType.Humanity, gameStatModifierType.Additive, 50))</v>
      </c>
    </row>
    <row r="34">
      <c r="B34" s="93"/>
      <c r="C34" s="94"/>
      <c r="D34" s="94"/>
    </row>
    <row r="35">
      <c r="A35" s="84"/>
      <c r="B35" s="56" t="s">
        <v>10413</v>
      </c>
      <c r="C35" s="57"/>
      <c r="D35" s="57"/>
    </row>
    <row r="36">
      <c r="A36" s="84"/>
      <c r="B36" s="143" t="s">
        <v>10414</v>
      </c>
      <c r="C36" s="144">
        <v>999.0</v>
      </c>
      <c r="D36" s="77"/>
    </row>
    <row r="37">
      <c r="A37" s="84"/>
      <c r="B37" s="92" t="str">
        <f>"Add "&amp;C36&amp;" Pistol Ammo"</f>
        <v>Add 999 Pistol Ammo</v>
      </c>
      <c r="C37" s="77"/>
      <c r="D37" s="77" t="str">
        <f>"Game.AddToInventory(""Ammo.HandgunAmmo"","&amp;C36&amp;")"</f>
        <v>Game.AddToInventory("Ammo.HandgunAmmo",999)</v>
      </c>
    </row>
    <row r="38">
      <c r="A38" s="84"/>
      <c r="B38" s="92" t="str">
        <f>"Add "&amp;C36&amp;" Shotgun Ammo"</f>
        <v>Add 999 Shotgun Ammo</v>
      </c>
      <c r="C38" s="77"/>
      <c r="D38" s="77" t="str">
        <f>"Game.AddToInventory(""Ammo.ShotgunAmmo"","&amp;C36&amp;")"</f>
        <v>Game.AddToInventory("Ammo.ShotgunAmmo",999)</v>
      </c>
    </row>
    <row r="39">
      <c r="A39" s="84"/>
      <c r="B39" s="92" t="str">
        <f>"Add "&amp;C36&amp;" Rifle Ammo"</f>
        <v>Add 999 Rifle Ammo</v>
      </c>
      <c r="C39" s="77"/>
      <c r="D39" s="77" t="str">
        <f>"Game.AddToInventory(""Ammo.RifleAmmo"","&amp;C36&amp;")"</f>
        <v>Game.AddToInventory("Ammo.RifleAmmo",999)</v>
      </c>
    </row>
    <row r="40">
      <c r="A40" s="84"/>
      <c r="B40" s="92" t="str">
        <f>"Add "&amp;C36&amp;" Sniper Rifle Ammo"</f>
        <v>Add 999 Sniper Rifle Ammo</v>
      </c>
      <c r="C40" s="77"/>
      <c r="D40" s="77" t="str">
        <f>"Game.AddToInventory(""Ammo.SniperRifleAmmo"","&amp;C36&amp;")"</f>
        <v>Game.AddToInventory("Ammo.SniperRifleAmmo",999)</v>
      </c>
    </row>
    <row r="41">
      <c r="A41" s="84"/>
      <c r="B41" s="92" t="str">
        <f>"Add "&amp;C36&amp;" Special Ammo"</f>
        <v>Add 999 Special Ammo</v>
      </c>
      <c r="C41" s="77"/>
      <c r="D41" s="77" t="str">
        <f>"Game.AddToInventory(""Ammo.Special"","&amp;C36&amp;")"</f>
        <v>Game.AddToInventory("Ammo.Special",999)</v>
      </c>
    </row>
    <row r="43">
      <c r="B43" s="95" t="s">
        <v>10415</v>
      </c>
      <c r="C43" s="96"/>
      <c r="D43" s="96"/>
    </row>
    <row r="44">
      <c r="B44" s="145" t="s">
        <v>10416</v>
      </c>
      <c r="C44" s="144">
        <v>5.0</v>
      </c>
      <c r="D44" s="38" t="str">
        <f>"Game.GetTimeSystem():SetGameTimeByHMS("&amp;C44&amp;", "&amp;C45&amp;", "&amp;C46&amp;")"</f>
        <v>Game.GetTimeSystem():SetGameTimeByHMS(5, 15, 45)</v>
      </c>
    </row>
    <row r="45">
      <c r="B45" s="145" t="s">
        <v>10417</v>
      </c>
      <c r="C45" s="146">
        <v>15.0</v>
      </c>
    </row>
    <row r="46">
      <c r="B46" s="147" t="s">
        <v>10418</v>
      </c>
      <c r="C46" s="146">
        <v>45.0</v>
      </c>
      <c r="D46" s="148"/>
    </row>
  </sheetData>
  <mergeCells count="2">
    <mergeCell ref="B1:D1"/>
    <mergeCell ref="B2:D2"/>
  </mergeCell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48.5"/>
    <col customWidth="1" min="3" max="3" width="80.25"/>
    <col customWidth="1" min="4" max="4" width="2.75"/>
  </cols>
  <sheetData>
    <row r="1">
      <c r="A1" s="49"/>
      <c r="B1" s="49" t="s">
        <v>10419</v>
      </c>
      <c r="C1" s="71"/>
      <c r="D1" s="49"/>
    </row>
    <row r="2" ht="21.0" customHeight="1">
      <c r="A2" s="72"/>
      <c r="B2" s="51" t="s">
        <v>10420</v>
      </c>
      <c r="C2" s="52" t="s">
        <v>10421</v>
      </c>
      <c r="D2" s="36"/>
    </row>
    <row r="3">
      <c r="C3" s="84"/>
      <c r="D3" s="84"/>
    </row>
    <row r="4">
      <c r="B4" s="149" t="s">
        <v>10422</v>
      </c>
      <c r="C4" s="150" t="s">
        <v>10423</v>
      </c>
      <c r="D4" s="151"/>
    </row>
    <row r="5">
      <c r="B5" s="152" t="s">
        <v>10424</v>
      </c>
      <c r="C5" s="150" t="s">
        <v>10425</v>
      </c>
      <c r="D5" s="151"/>
    </row>
    <row r="6">
      <c r="B6" s="152" t="s">
        <v>10426</v>
      </c>
      <c r="C6" s="150" t="s">
        <v>10427</v>
      </c>
      <c r="D6" s="153"/>
    </row>
    <row r="7">
      <c r="B7" s="152" t="s">
        <v>10428</v>
      </c>
      <c r="C7" s="150" t="s">
        <v>10429</v>
      </c>
      <c r="D7" s="153"/>
    </row>
    <row r="8">
      <c r="B8" s="152" t="s">
        <v>10430</v>
      </c>
      <c r="C8" s="150" t="s">
        <v>10431</v>
      </c>
      <c r="D8" s="153"/>
    </row>
    <row r="9">
      <c r="B9" s="154" t="s">
        <v>10432</v>
      </c>
      <c r="C9" s="155" t="s">
        <v>10433</v>
      </c>
      <c r="D9" s="38"/>
    </row>
    <row r="10">
      <c r="B10" s="154" t="s">
        <v>10434</v>
      </c>
      <c r="C10" s="155" t="s">
        <v>10435</v>
      </c>
      <c r="D10" s="38"/>
    </row>
    <row r="11">
      <c r="B11" s="154" t="s">
        <v>10436</v>
      </c>
      <c r="C11" s="155" t="s">
        <v>10437</v>
      </c>
      <c r="D11" s="38"/>
    </row>
    <row r="12">
      <c r="B12" s="156" t="s">
        <v>10438</v>
      </c>
      <c r="C12" s="155" t="s">
        <v>10439</v>
      </c>
    </row>
  </sheetData>
  <mergeCells count="1">
    <mergeCell ref="B1:C1"/>
  </mergeCells>
  <hyperlinks>
    <hyperlink r:id="rId1" ref="C4"/>
    <hyperlink r:id="rId2" ref="C5"/>
    <hyperlink r:id="rId3" ref="C6"/>
    <hyperlink r:id="rId4" ref="C7"/>
    <hyperlink r:id="rId5" ref="C8"/>
    <hyperlink r:id="rId6" location="gid=0" ref="C9"/>
    <hyperlink r:id="rId7" ref="C10"/>
    <hyperlink r:id="rId8" ref="C11"/>
    <hyperlink r:id="rId9" ref="C12"/>
  </hyperlinks>
  <drawing r:id="rId10"/>
</worksheet>
</file>